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orakot/Downloads/"/>
    </mc:Choice>
  </mc:AlternateContent>
  <xr:revisionPtr revIDLastSave="0" documentId="13_ncr:1_{F416D620-B245-9846-9C94-D68A967C684B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covid_data_12June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1zfnzE3b9/uPOZGuFC4OoUsvmNzcQqTVXk2/u+yd63A="/>
    </ext>
  </extLst>
</workbook>
</file>

<file path=xl/calcChain.xml><?xml version="1.0" encoding="utf-8"?>
<calcChain xmlns="http://schemas.openxmlformats.org/spreadsheetml/2006/main">
  <c r="HI195" i="1" l="1"/>
  <c r="HH195" i="1"/>
  <c r="GN195" i="1"/>
  <c r="GM195" i="1"/>
  <c r="A195" i="1"/>
  <c r="HI194" i="1"/>
  <c r="HH194" i="1"/>
  <c r="GN194" i="1"/>
  <c r="GM194" i="1"/>
  <c r="A194" i="1"/>
  <c r="HI193" i="1"/>
  <c r="HH193" i="1"/>
  <c r="GN193" i="1"/>
  <c r="GM193" i="1"/>
  <c r="A193" i="1"/>
  <c r="HI192" i="1"/>
  <c r="HH192" i="1"/>
  <c r="GN192" i="1"/>
  <c r="GM192" i="1"/>
  <c r="A192" i="1"/>
  <c r="HI191" i="1"/>
  <c r="HH191" i="1"/>
  <c r="GN191" i="1"/>
  <c r="GM191" i="1"/>
  <c r="BT191" i="1"/>
  <c r="A191" i="1"/>
  <c r="HI190" i="1"/>
  <c r="HH190" i="1"/>
  <c r="GN190" i="1"/>
  <c r="GM190" i="1"/>
  <c r="A190" i="1"/>
  <c r="HI189" i="1"/>
  <c r="HH189" i="1"/>
  <c r="GN189" i="1"/>
  <c r="GM189" i="1"/>
  <c r="A189" i="1"/>
  <c r="HI188" i="1"/>
  <c r="HH188" i="1"/>
  <c r="GN188" i="1"/>
  <c r="GM188" i="1"/>
  <c r="A188" i="1"/>
  <c r="HI187" i="1"/>
  <c r="HH187" i="1"/>
  <c r="GN187" i="1"/>
  <c r="GM187" i="1"/>
  <c r="A187" i="1"/>
  <c r="HI186" i="1"/>
  <c r="HH186" i="1"/>
  <c r="GN186" i="1"/>
  <c r="GM186" i="1"/>
  <c r="A186" i="1"/>
  <c r="HI185" i="1"/>
  <c r="HH185" i="1"/>
  <c r="GN185" i="1"/>
  <c r="GM185" i="1"/>
  <c r="A185" i="1"/>
  <c r="HI184" i="1"/>
  <c r="HH184" i="1"/>
  <c r="GN184" i="1"/>
  <c r="GM184" i="1"/>
  <c r="A184" i="1"/>
  <c r="HI183" i="1"/>
  <c r="HH183" i="1"/>
  <c r="GN183" i="1"/>
  <c r="GM183" i="1"/>
  <c r="A183" i="1"/>
  <c r="HI182" i="1"/>
  <c r="HH182" i="1"/>
  <c r="GN182" i="1"/>
  <c r="GM182" i="1"/>
  <c r="A182" i="1"/>
  <c r="HI181" i="1"/>
  <c r="HH181" i="1"/>
  <c r="GN181" i="1"/>
  <c r="GM181" i="1"/>
  <c r="A181" i="1"/>
  <c r="HI180" i="1"/>
  <c r="HH180" i="1"/>
  <c r="GN180" i="1"/>
  <c r="GM180" i="1"/>
  <c r="A180" i="1"/>
  <c r="HI179" i="1"/>
  <c r="HH179" i="1"/>
  <c r="GN179" i="1"/>
  <c r="GM179" i="1"/>
  <c r="BV179" i="1"/>
  <c r="A179" i="1"/>
  <c r="HI178" i="1"/>
  <c r="HH178" i="1"/>
  <c r="GN178" i="1"/>
  <c r="GM178" i="1"/>
  <c r="HI177" i="1"/>
  <c r="HH177" i="1"/>
  <c r="GN177" i="1"/>
  <c r="GM177" i="1"/>
  <c r="A177" i="1"/>
  <c r="HI176" i="1"/>
  <c r="HH176" i="1"/>
  <c r="GN176" i="1"/>
  <c r="GM176" i="1"/>
  <c r="A176" i="1"/>
  <c r="HI175" i="1"/>
  <c r="HH175" i="1"/>
  <c r="GN175" i="1"/>
  <c r="GM175" i="1"/>
  <c r="A175" i="1"/>
  <c r="HI174" i="1"/>
  <c r="HH174" i="1"/>
  <c r="GN174" i="1"/>
  <c r="GM174" i="1"/>
  <c r="A174" i="1"/>
  <c r="HI173" i="1"/>
  <c r="HH173" i="1"/>
  <c r="GN173" i="1"/>
  <c r="GM173" i="1"/>
  <c r="A173" i="1"/>
  <c r="HI172" i="1"/>
  <c r="HH172" i="1"/>
  <c r="GN172" i="1"/>
  <c r="GM172" i="1"/>
  <c r="A172" i="1"/>
  <c r="HI171" i="1"/>
  <c r="HH171" i="1"/>
  <c r="GN171" i="1"/>
  <c r="GM171" i="1"/>
  <c r="A171" i="1"/>
  <c r="HI170" i="1"/>
  <c r="HH170" i="1"/>
  <c r="GN170" i="1"/>
  <c r="GM170" i="1"/>
  <c r="A170" i="1"/>
  <c r="HI169" i="1"/>
  <c r="HH169" i="1"/>
  <c r="GN169" i="1"/>
  <c r="GM169" i="1"/>
  <c r="A169" i="1"/>
  <c r="HI168" i="1"/>
  <c r="HH168" i="1"/>
  <c r="GN168" i="1"/>
  <c r="GM168" i="1"/>
  <c r="A168" i="1"/>
  <c r="HI167" i="1"/>
  <c r="HH167" i="1"/>
  <c r="GN167" i="1"/>
  <c r="GM167" i="1"/>
  <c r="A167" i="1"/>
  <c r="HI166" i="1"/>
  <c r="HH166" i="1"/>
  <c r="GN166" i="1"/>
  <c r="GM166" i="1"/>
  <c r="A166" i="1"/>
  <c r="HI165" i="1"/>
  <c r="HH165" i="1"/>
  <c r="GN165" i="1"/>
  <c r="GM165" i="1"/>
  <c r="A165" i="1"/>
  <c r="HI164" i="1"/>
  <c r="HH164" i="1"/>
  <c r="GN164" i="1"/>
  <c r="GM164" i="1"/>
  <c r="A164" i="1"/>
  <c r="HI163" i="1"/>
  <c r="HH163" i="1"/>
  <c r="GN163" i="1"/>
  <c r="GM163" i="1"/>
  <c r="A163" i="1"/>
  <c r="HI162" i="1"/>
  <c r="HH162" i="1"/>
  <c r="GN162" i="1"/>
  <c r="GM162" i="1"/>
  <c r="A162" i="1"/>
  <c r="HI161" i="1"/>
  <c r="HH161" i="1"/>
  <c r="GN161" i="1"/>
  <c r="GM161" i="1"/>
  <c r="A161" i="1"/>
  <c r="HI160" i="1"/>
  <c r="HH160" i="1"/>
  <c r="GN160" i="1"/>
  <c r="GM160" i="1"/>
  <c r="A160" i="1"/>
  <c r="HI159" i="1"/>
  <c r="HH159" i="1"/>
  <c r="GN159" i="1"/>
  <c r="GM159" i="1"/>
  <c r="A159" i="1"/>
  <c r="HI158" i="1"/>
  <c r="HH158" i="1"/>
  <c r="GN158" i="1"/>
  <c r="GM158" i="1"/>
  <c r="A158" i="1"/>
  <c r="HI157" i="1"/>
  <c r="HH157" i="1"/>
  <c r="GN157" i="1"/>
  <c r="GM157" i="1"/>
  <c r="A157" i="1"/>
  <c r="HI156" i="1"/>
  <c r="HH156" i="1"/>
  <c r="GN156" i="1"/>
  <c r="GM156" i="1"/>
  <c r="A156" i="1"/>
  <c r="HI155" i="1"/>
  <c r="HH155" i="1"/>
  <c r="GN155" i="1"/>
  <c r="GM155" i="1"/>
  <c r="A155" i="1"/>
  <c r="HI154" i="1"/>
  <c r="HH154" i="1"/>
  <c r="GN154" i="1"/>
  <c r="GM154" i="1"/>
  <c r="A154" i="1"/>
  <c r="HI153" i="1"/>
  <c r="HH153" i="1"/>
  <c r="GN153" i="1"/>
  <c r="GM153" i="1"/>
  <c r="A153" i="1"/>
  <c r="HI152" i="1"/>
  <c r="HH152" i="1"/>
  <c r="GN152" i="1"/>
  <c r="GM152" i="1"/>
  <c r="A152" i="1"/>
  <c r="HI151" i="1"/>
  <c r="HH151" i="1"/>
  <c r="GN151" i="1"/>
  <c r="GM151" i="1"/>
  <c r="A151" i="1"/>
  <c r="HI150" i="1"/>
  <c r="HH150" i="1"/>
  <c r="GN150" i="1"/>
  <c r="GM150" i="1"/>
  <c r="A150" i="1"/>
  <c r="HI149" i="1"/>
  <c r="HH149" i="1"/>
  <c r="GN149" i="1"/>
  <c r="GM149" i="1"/>
  <c r="A149" i="1"/>
  <c r="HI148" i="1"/>
  <c r="HH148" i="1"/>
  <c r="GN148" i="1"/>
  <c r="GM148" i="1"/>
  <c r="A148" i="1"/>
  <c r="HI147" i="1"/>
  <c r="HH147" i="1"/>
  <c r="GN147" i="1"/>
  <c r="GM147" i="1"/>
  <c r="A147" i="1"/>
  <c r="HI146" i="1"/>
  <c r="HH146" i="1"/>
  <c r="GN146" i="1"/>
  <c r="GM146" i="1"/>
  <c r="A146" i="1"/>
  <c r="HI145" i="1"/>
  <c r="HH145" i="1"/>
  <c r="GN145" i="1"/>
  <c r="GM145" i="1"/>
  <c r="A145" i="1"/>
  <c r="HI144" i="1"/>
  <c r="HH144" i="1"/>
  <c r="GN144" i="1"/>
  <c r="GM144" i="1"/>
  <c r="A144" i="1"/>
  <c r="HI143" i="1"/>
  <c r="HH143" i="1"/>
  <c r="GN143" i="1"/>
  <c r="GM143" i="1"/>
  <c r="A143" i="1"/>
  <c r="HI142" i="1"/>
  <c r="HH142" i="1"/>
  <c r="GN142" i="1"/>
  <c r="GM142" i="1"/>
  <c r="A142" i="1"/>
  <c r="HI141" i="1"/>
  <c r="HH141" i="1"/>
  <c r="GN141" i="1"/>
  <c r="GM141" i="1"/>
  <c r="A141" i="1"/>
  <c r="HI140" i="1"/>
  <c r="HH140" i="1"/>
  <c r="GN140" i="1"/>
  <c r="GM140" i="1"/>
  <c r="A140" i="1"/>
  <c r="HI139" i="1"/>
  <c r="HH139" i="1"/>
  <c r="GN139" i="1"/>
  <c r="GM139" i="1"/>
  <c r="A139" i="1"/>
  <c r="HI138" i="1"/>
  <c r="HH138" i="1"/>
  <c r="GN138" i="1"/>
  <c r="GM138" i="1"/>
  <c r="A138" i="1"/>
  <c r="HI137" i="1"/>
  <c r="HH137" i="1"/>
  <c r="GN137" i="1"/>
  <c r="GM137" i="1"/>
  <c r="A137" i="1"/>
  <c r="HI136" i="1"/>
  <c r="HH136" i="1"/>
  <c r="GN136" i="1"/>
  <c r="GM136" i="1"/>
  <c r="A136" i="1"/>
  <c r="HI135" i="1"/>
  <c r="HH135" i="1"/>
  <c r="GN135" i="1"/>
  <c r="GM135" i="1"/>
  <c r="A135" i="1"/>
  <c r="HI134" i="1"/>
  <c r="HH134" i="1"/>
  <c r="GN134" i="1"/>
  <c r="GM134" i="1"/>
  <c r="A134" i="1"/>
  <c r="HI133" i="1"/>
  <c r="HH133" i="1"/>
  <c r="GN133" i="1"/>
  <c r="GM133" i="1"/>
  <c r="A133" i="1"/>
  <c r="HI132" i="1"/>
  <c r="HH132" i="1"/>
  <c r="GN132" i="1"/>
  <c r="GM132" i="1"/>
  <c r="A132" i="1"/>
  <c r="HI131" i="1"/>
  <c r="HH131" i="1"/>
  <c r="GN131" i="1"/>
  <c r="GM131" i="1"/>
  <c r="A131" i="1"/>
  <c r="HI130" i="1"/>
  <c r="HH130" i="1"/>
  <c r="GN130" i="1"/>
  <c r="GM130" i="1"/>
  <c r="A130" i="1"/>
  <c r="HI129" i="1"/>
  <c r="HH129" i="1"/>
  <c r="GN129" i="1"/>
  <c r="GM129" i="1"/>
  <c r="A129" i="1"/>
  <c r="HI128" i="1"/>
  <c r="HH128" i="1"/>
  <c r="GN128" i="1"/>
  <c r="GM128" i="1"/>
  <c r="A128" i="1"/>
  <c r="HI127" i="1"/>
  <c r="HH127" i="1"/>
  <c r="GN127" i="1"/>
  <c r="GM127" i="1"/>
  <c r="HI126" i="1"/>
  <c r="HH126" i="1"/>
  <c r="GN126" i="1"/>
  <c r="GM126" i="1"/>
  <c r="A126" i="1"/>
  <c r="HI125" i="1"/>
  <c r="HH125" i="1"/>
  <c r="GN125" i="1"/>
  <c r="GM125" i="1"/>
  <c r="A125" i="1"/>
  <c r="HI124" i="1"/>
  <c r="HH124" i="1"/>
  <c r="GN124" i="1"/>
  <c r="GM124" i="1"/>
  <c r="A124" i="1"/>
  <c r="HI123" i="1"/>
  <c r="HH123" i="1"/>
  <c r="GN123" i="1"/>
  <c r="GM123" i="1"/>
  <c r="A123" i="1"/>
  <c r="HI122" i="1"/>
  <c r="HH122" i="1"/>
  <c r="GN122" i="1"/>
  <c r="GM122" i="1"/>
  <c r="A122" i="1"/>
  <c r="HI121" i="1"/>
  <c r="HH121" i="1"/>
  <c r="GN121" i="1"/>
  <c r="GM121" i="1"/>
  <c r="A121" i="1"/>
  <c r="HI120" i="1"/>
  <c r="HH120" i="1"/>
  <c r="GN120" i="1"/>
  <c r="GM120" i="1"/>
  <c r="A120" i="1"/>
  <c r="HI119" i="1"/>
  <c r="HH119" i="1"/>
  <c r="GN119" i="1"/>
  <c r="GM119" i="1"/>
  <c r="A119" i="1"/>
  <c r="HI118" i="1"/>
  <c r="HH118" i="1"/>
  <c r="GN118" i="1"/>
  <c r="GM118" i="1"/>
  <c r="A118" i="1"/>
  <c r="HI117" i="1"/>
  <c r="HH117" i="1"/>
  <c r="GN117" i="1"/>
  <c r="GM117" i="1"/>
  <c r="HI116" i="1"/>
  <c r="HH116" i="1"/>
  <c r="GN116" i="1"/>
  <c r="GM116" i="1"/>
  <c r="A116" i="1"/>
  <c r="HI115" i="1"/>
  <c r="HH115" i="1"/>
  <c r="GN115" i="1"/>
  <c r="GM115" i="1"/>
  <c r="A115" i="1"/>
  <c r="HI114" i="1"/>
  <c r="HH114" i="1"/>
  <c r="GN114" i="1"/>
  <c r="GM114" i="1"/>
  <c r="A114" i="1"/>
  <c r="HI113" i="1"/>
  <c r="HH113" i="1"/>
  <c r="GN113" i="1"/>
  <c r="GM113" i="1"/>
  <c r="A113" i="1"/>
  <c r="HI112" i="1"/>
  <c r="HH112" i="1"/>
  <c r="GN112" i="1"/>
  <c r="GM112" i="1"/>
  <c r="A112" i="1"/>
  <c r="HI111" i="1"/>
  <c r="HH111" i="1"/>
  <c r="GN111" i="1"/>
  <c r="GM111" i="1"/>
  <c r="A111" i="1"/>
  <c r="HI110" i="1"/>
  <c r="HH110" i="1"/>
  <c r="GN110" i="1"/>
  <c r="GM110" i="1"/>
  <c r="A110" i="1"/>
  <c r="HI109" i="1"/>
  <c r="HH109" i="1"/>
  <c r="GN109" i="1"/>
  <c r="GM109" i="1"/>
  <c r="A109" i="1"/>
  <c r="HI108" i="1"/>
  <c r="HH108" i="1"/>
  <c r="GN108" i="1"/>
  <c r="GM108" i="1"/>
  <c r="A108" i="1"/>
  <c r="HI107" i="1"/>
  <c r="HH107" i="1"/>
  <c r="GN107" i="1"/>
  <c r="GM107" i="1"/>
  <c r="A107" i="1"/>
  <c r="HI106" i="1"/>
  <c r="HH106" i="1"/>
  <c r="GN106" i="1"/>
  <c r="GM106" i="1"/>
  <c r="A106" i="1"/>
  <c r="HI105" i="1"/>
  <c r="HH105" i="1"/>
  <c r="GN105" i="1"/>
  <c r="GM105" i="1"/>
  <c r="A105" i="1"/>
  <c r="HI104" i="1"/>
  <c r="HH104" i="1"/>
  <c r="GN104" i="1"/>
  <c r="GM104" i="1"/>
  <c r="A104" i="1"/>
  <c r="HI103" i="1"/>
  <c r="HH103" i="1"/>
  <c r="GN103" i="1"/>
  <c r="GM103" i="1"/>
  <c r="A103" i="1"/>
  <c r="HI102" i="1"/>
  <c r="HH102" i="1"/>
  <c r="GN102" i="1"/>
  <c r="GM102" i="1"/>
  <c r="A102" i="1"/>
  <c r="HI101" i="1"/>
  <c r="HH101" i="1"/>
  <c r="GN101" i="1"/>
  <c r="GM101" i="1"/>
  <c r="A101" i="1"/>
  <c r="HI100" i="1"/>
  <c r="HH100" i="1"/>
  <c r="GN100" i="1"/>
  <c r="GM100" i="1"/>
  <c r="A100" i="1"/>
  <c r="HI99" i="1"/>
  <c r="HH99" i="1"/>
  <c r="GN99" i="1"/>
  <c r="GM99" i="1"/>
  <c r="BW99" i="1"/>
  <c r="A99" i="1"/>
  <c r="HI98" i="1"/>
  <c r="HH98" i="1"/>
  <c r="GN98" i="1"/>
  <c r="GM98" i="1"/>
  <c r="A98" i="1"/>
  <c r="HI97" i="1"/>
  <c r="HH97" i="1"/>
  <c r="GN97" i="1"/>
  <c r="GM97" i="1"/>
  <c r="A97" i="1"/>
  <c r="HI96" i="1"/>
  <c r="HH96" i="1"/>
  <c r="GN96" i="1"/>
  <c r="GM96" i="1"/>
  <c r="A96" i="1"/>
  <c r="HI95" i="1"/>
  <c r="HH95" i="1"/>
  <c r="GN95" i="1"/>
  <c r="GM95" i="1"/>
  <c r="A95" i="1"/>
  <c r="HI94" i="1"/>
  <c r="HH94" i="1"/>
  <c r="GN94" i="1"/>
  <c r="GM94" i="1"/>
  <c r="A94" i="1"/>
  <c r="HI93" i="1"/>
  <c r="HH93" i="1"/>
  <c r="GN93" i="1"/>
  <c r="GM93" i="1"/>
  <c r="A93" i="1"/>
  <c r="HI92" i="1"/>
  <c r="HH92" i="1"/>
  <c r="GN92" i="1"/>
  <c r="GM92" i="1"/>
  <c r="A92" i="1"/>
  <c r="HI91" i="1"/>
  <c r="HH91" i="1"/>
  <c r="GN91" i="1"/>
  <c r="GM91" i="1"/>
  <c r="A91" i="1"/>
  <c r="HI90" i="1"/>
  <c r="HH90" i="1"/>
  <c r="GN90" i="1"/>
  <c r="GM90" i="1"/>
  <c r="A90" i="1"/>
  <c r="HI89" i="1"/>
  <c r="HH89" i="1"/>
  <c r="GN89" i="1"/>
  <c r="GM89" i="1"/>
  <c r="A89" i="1"/>
  <c r="HI88" i="1"/>
  <c r="HH88" i="1"/>
  <c r="GN88" i="1"/>
  <c r="GM88" i="1"/>
  <c r="A88" i="1"/>
  <c r="HI87" i="1"/>
  <c r="HH87" i="1"/>
  <c r="GN87" i="1"/>
  <c r="GM87" i="1"/>
  <c r="A87" i="1"/>
  <c r="HI86" i="1"/>
  <c r="HH86" i="1"/>
  <c r="GN86" i="1"/>
  <c r="GM86" i="1"/>
  <c r="A86" i="1"/>
  <c r="HI85" i="1"/>
  <c r="HH85" i="1"/>
  <c r="GN85" i="1"/>
  <c r="GM85" i="1"/>
  <c r="A85" i="1"/>
  <c r="HI84" i="1"/>
  <c r="HH84" i="1"/>
  <c r="GN84" i="1"/>
  <c r="GM84" i="1"/>
  <c r="A84" i="1"/>
  <c r="HI83" i="1"/>
  <c r="HH83" i="1"/>
  <c r="GN83" i="1"/>
  <c r="GM83" i="1"/>
  <c r="A83" i="1"/>
  <c r="HI82" i="1"/>
  <c r="HH82" i="1"/>
  <c r="GN82" i="1"/>
  <c r="GM82" i="1"/>
  <c r="A82" i="1"/>
  <c r="HI81" i="1"/>
  <c r="HH81" i="1"/>
  <c r="GN81" i="1"/>
  <c r="GM81" i="1"/>
  <c r="A81" i="1"/>
  <c r="HI80" i="1"/>
  <c r="HH80" i="1"/>
  <c r="GN80" i="1"/>
  <c r="GM80" i="1"/>
  <c r="A80" i="1"/>
  <c r="HI79" i="1"/>
  <c r="HH79" i="1"/>
  <c r="GN79" i="1"/>
  <c r="GM79" i="1"/>
  <c r="A79" i="1"/>
  <c r="HI78" i="1"/>
  <c r="HH78" i="1"/>
  <c r="GN78" i="1"/>
  <c r="GM78" i="1"/>
  <c r="A78" i="1"/>
  <c r="HI77" i="1"/>
  <c r="HH77" i="1"/>
  <c r="GN77" i="1"/>
  <c r="GM77" i="1"/>
  <c r="A77" i="1"/>
  <c r="HI76" i="1"/>
  <c r="HH76" i="1"/>
  <c r="GN76" i="1"/>
  <c r="GM76" i="1"/>
  <c r="A76" i="1"/>
  <c r="HI75" i="1"/>
  <c r="HH75" i="1"/>
  <c r="GN75" i="1"/>
  <c r="GM75" i="1"/>
  <c r="A75" i="1"/>
  <c r="HI74" i="1"/>
  <c r="HH74" i="1"/>
  <c r="GN74" i="1"/>
  <c r="GM74" i="1"/>
  <c r="A74" i="1"/>
  <c r="HI73" i="1"/>
  <c r="HH73" i="1"/>
  <c r="GN73" i="1"/>
  <c r="GM73" i="1"/>
  <c r="A73" i="1"/>
  <c r="HI72" i="1"/>
  <c r="HH72" i="1"/>
  <c r="GN72" i="1"/>
  <c r="GM72" i="1"/>
  <c r="A72" i="1"/>
  <c r="HI71" i="1"/>
  <c r="HH71" i="1"/>
  <c r="GN71" i="1"/>
  <c r="GM71" i="1"/>
  <c r="A71" i="1"/>
  <c r="HI70" i="1"/>
  <c r="HH70" i="1"/>
  <c r="GN70" i="1"/>
  <c r="GM70" i="1"/>
  <c r="A70" i="1"/>
  <c r="HI69" i="1"/>
  <c r="HH69" i="1"/>
  <c r="GN69" i="1"/>
  <c r="GM69" i="1"/>
  <c r="A69" i="1"/>
  <c r="HI68" i="1"/>
  <c r="HH68" i="1"/>
  <c r="GN68" i="1"/>
  <c r="GM68" i="1"/>
  <c r="A68" i="1"/>
  <c r="HI67" i="1"/>
  <c r="HH67" i="1"/>
  <c r="GN67" i="1"/>
  <c r="GM67" i="1"/>
  <c r="A67" i="1"/>
  <c r="HI66" i="1"/>
  <c r="HH66" i="1"/>
  <c r="GN66" i="1"/>
  <c r="GM66" i="1"/>
  <c r="A66" i="1"/>
  <c r="HI65" i="1"/>
  <c r="HH65" i="1"/>
  <c r="GN65" i="1"/>
  <c r="GM65" i="1"/>
  <c r="A65" i="1"/>
  <c r="HI64" i="1"/>
  <c r="HH64" i="1"/>
  <c r="GN64" i="1"/>
  <c r="GM64" i="1"/>
  <c r="A64" i="1"/>
  <c r="HI63" i="1"/>
  <c r="HH63" i="1"/>
  <c r="GN63" i="1"/>
  <c r="GM63" i="1"/>
  <c r="A63" i="1"/>
  <c r="HI62" i="1"/>
  <c r="HH62" i="1"/>
  <c r="GN62" i="1"/>
  <c r="GM62" i="1"/>
  <c r="A62" i="1"/>
  <c r="HI61" i="1"/>
  <c r="HH61" i="1"/>
  <c r="GN61" i="1"/>
  <c r="GM61" i="1"/>
  <c r="A61" i="1"/>
  <c r="HI60" i="1"/>
  <c r="HH60" i="1"/>
  <c r="GN60" i="1"/>
  <c r="GM60" i="1"/>
  <c r="A60" i="1"/>
  <c r="HI59" i="1"/>
  <c r="HH59" i="1"/>
  <c r="GN59" i="1"/>
  <c r="GM59" i="1"/>
  <c r="A59" i="1"/>
  <c r="HI58" i="1"/>
  <c r="HH58" i="1"/>
  <c r="GN58" i="1"/>
  <c r="GM58" i="1"/>
  <c r="A58" i="1"/>
  <c r="HI57" i="1"/>
  <c r="HH57" i="1"/>
  <c r="GN57" i="1"/>
  <c r="GM57" i="1"/>
  <c r="A57" i="1"/>
  <c r="HI56" i="1"/>
  <c r="HH56" i="1"/>
  <c r="GN56" i="1"/>
  <c r="GM56" i="1"/>
  <c r="A56" i="1"/>
  <c r="HI55" i="1"/>
  <c r="HH55" i="1"/>
  <c r="GN55" i="1"/>
  <c r="GM55" i="1"/>
  <c r="A55" i="1"/>
  <c r="HI54" i="1"/>
  <c r="HH54" i="1"/>
  <c r="GN54" i="1"/>
  <c r="GM54" i="1"/>
  <c r="A54" i="1"/>
  <c r="HI53" i="1"/>
  <c r="HH53" i="1"/>
  <c r="GN53" i="1"/>
  <c r="GM53" i="1"/>
  <c r="A53" i="1"/>
  <c r="HI52" i="1"/>
  <c r="HH52" i="1"/>
  <c r="GN52" i="1"/>
  <c r="GM52" i="1"/>
  <c r="A52" i="1"/>
  <c r="HI51" i="1"/>
  <c r="HH51" i="1"/>
  <c r="GN51" i="1"/>
  <c r="GM51" i="1"/>
  <c r="A51" i="1"/>
  <c r="HI50" i="1"/>
  <c r="HH50" i="1"/>
  <c r="GN50" i="1"/>
  <c r="GM50" i="1"/>
  <c r="A50" i="1"/>
  <c r="HI49" i="1"/>
  <c r="HH49" i="1"/>
  <c r="GN49" i="1"/>
  <c r="GM49" i="1"/>
  <c r="A49" i="1"/>
  <c r="HI48" i="1"/>
  <c r="HH48" i="1"/>
  <c r="GN48" i="1"/>
  <c r="GM48" i="1"/>
  <c r="A48" i="1"/>
  <c r="HI47" i="1"/>
  <c r="HH47" i="1"/>
  <c r="GN47" i="1"/>
  <c r="GM47" i="1"/>
  <c r="A47" i="1"/>
  <c r="HI46" i="1"/>
  <c r="HH46" i="1"/>
  <c r="GN46" i="1"/>
  <c r="GM46" i="1"/>
  <c r="A46" i="1"/>
  <c r="HI45" i="1"/>
  <c r="HH45" i="1"/>
  <c r="GN45" i="1"/>
  <c r="GM45" i="1"/>
  <c r="A45" i="1"/>
  <c r="HI44" i="1"/>
  <c r="HH44" i="1"/>
  <c r="GN44" i="1"/>
  <c r="GM44" i="1"/>
  <c r="A44" i="1"/>
  <c r="HI43" i="1"/>
  <c r="HH43" i="1"/>
  <c r="GN43" i="1"/>
  <c r="GM43" i="1"/>
  <c r="A43" i="1"/>
  <c r="HI42" i="1"/>
  <c r="HH42" i="1"/>
  <c r="GN42" i="1"/>
  <c r="GM42" i="1"/>
  <c r="BW42" i="1"/>
  <c r="A42" i="1"/>
  <c r="HI41" i="1"/>
  <c r="HH41" i="1"/>
  <c r="GN41" i="1"/>
  <c r="GM41" i="1"/>
  <c r="A41" i="1"/>
  <c r="HI40" i="1"/>
  <c r="HH40" i="1"/>
  <c r="GN40" i="1"/>
  <c r="GM40" i="1"/>
  <c r="A40" i="1"/>
  <c r="HI39" i="1"/>
  <c r="HH39" i="1"/>
  <c r="GN39" i="1"/>
  <c r="GM39" i="1"/>
  <c r="A39" i="1"/>
  <c r="HI38" i="1"/>
  <c r="HH38" i="1"/>
  <c r="GN38" i="1"/>
  <c r="GM38" i="1"/>
  <c r="A38" i="1"/>
  <c r="HI37" i="1"/>
  <c r="HH37" i="1"/>
  <c r="GN37" i="1"/>
  <c r="GM37" i="1"/>
  <c r="A37" i="1"/>
  <c r="HI36" i="1"/>
  <c r="HH36" i="1"/>
  <c r="GN36" i="1"/>
  <c r="GM36" i="1"/>
  <c r="A36" i="1"/>
  <c r="HI35" i="1"/>
  <c r="HH35" i="1"/>
  <c r="GN35" i="1"/>
  <c r="GM35" i="1"/>
  <c r="A35" i="1"/>
  <c r="HI34" i="1"/>
  <c r="HH34" i="1"/>
  <c r="GN34" i="1"/>
  <c r="GM34" i="1"/>
  <c r="A34" i="1"/>
  <c r="HI33" i="1"/>
  <c r="HH33" i="1"/>
  <c r="GN33" i="1"/>
  <c r="GM33" i="1"/>
  <c r="A33" i="1"/>
  <c r="HI32" i="1"/>
  <c r="HH32" i="1"/>
  <c r="GN32" i="1"/>
  <c r="GM32" i="1"/>
  <c r="A32" i="1"/>
  <c r="HI31" i="1"/>
  <c r="HH31" i="1"/>
  <c r="GN31" i="1"/>
  <c r="GM31" i="1"/>
  <c r="A31" i="1"/>
  <c r="HI30" i="1"/>
  <c r="HH30" i="1"/>
  <c r="GN30" i="1"/>
  <c r="GM30" i="1"/>
  <c r="BW30" i="1"/>
  <c r="BV30" i="1"/>
  <c r="BU30" i="1"/>
  <c r="BT30" i="1"/>
  <c r="A30" i="1"/>
  <c r="HI29" i="1"/>
  <c r="HH29" i="1"/>
  <c r="GN29" i="1"/>
  <c r="GM29" i="1"/>
  <c r="A29" i="1"/>
  <c r="HI28" i="1"/>
  <c r="HH28" i="1"/>
  <c r="GN28" i="1"/>
  <c r="GM28" i="1"/>
  <c r="A28" i="1"/>
  <c r="HI27" i="1"/>
  <c r="HH27" i="1"/>
  <c r="GN27" i="1"/>
  <c r="GM27" i="1"/>
  <c r="A27" i="1"/>
  <c r="HI26" i="1"/>
  <c r="HH26" i="1"/>
  <c r="GN26" i="1"/>
  <c r="GM26" i="1"/>
  <c r="A26" i="1"/>
  <c r="HI25" i="1"/>
  <c r="HH25" i="1"/>
  <c r="GN25" i="1"/>
  <c r="GM25" i="1"/>
  <c r="A25" i="1"/>
  <c r="HI24" i="1"/>
  <c r="HH24" i="1"/>
  <c r="GN24" i="1"/>
  <c r="GM24" i="1"/>
  <c r="A24" i="1"/>
  <c r="HI23" i="1"/>
  <c r="HH23" i="1"/>
  <c r="GN23" i="1"/>
  <c r="GM23" i="1"/>
  <c r="A23" i="1"/>
  <c r="HI22" i="1"/>
  <c r="HH22" i="1"/>
  <c r="GN22" i="1"/>
  <c r="GM22" i="1"/>
  <c r="A22" i="1"/>
  <c r="HI21" i="1"/>
  <c r="HH21" i="1"/>
  <c r="GN21" i="1"/>
  <c r="GM21" i="1"/>
  <c r="A21" i="1"/>
  <c r="HI20" i="1"/>
  <c r="HH20" i="1"/>
  <c r="GN20" i="1"/>
  <c r="GM20" i="1"/>
  <c r="A20" i="1"/>
  <c r="HI19" i="1"/>
  <c r="HH19" i="1"/>
  <c r="GN19" i="1"/>
  <c r="GM19" i="1"/>
  <c r="A19" i="1"/>
  <c r="HI18" i="1"/>
  <c r="HH18" i="1"/>
  <c r="GN18" i="1"/>
  <c r="GM18" i="1"/>
  <c r="A18" i="1"/>
  <c r="HI17" i="1"/>
  <c r="HH17" i="1"/>
  <c r="GN17" i="1"/>
  <c r="GM17" i="1"/>
  <c r="A17" i="1"/>
  <c r="HI16" i="1"/>
  <c r="HH16" i="1"/>
  <c r="GN16" i="1"/>
  <c r="GM16" i="1"/>
  <c r="A16" i="1"/>
  <c r="HI15" i="1"/>
  <c r="HH15" i="1"/>
  <c r="GN15" i="1"/>
  <c r="GM15" i="1"/>
  <c r="A15" i="1"/>
  <c r="HI14" i="1"/>
  <c r="HH14" i="1"/>
  <c r="GN14" i="1"/>
  <c r="GM14" i="1"/>
  <c r="A14" i="1"/>
  <c r="HI13" i="1"/>
  <c r="HH13" i="1"/>
  <c r="GN13" i="1"/>
  <c r="GM13" i="1"/>
  <c r="A13" i="1"/>
  <c r="HI12" i="1"/>
  <c r="HH12" i="1"/>
  <c r="GN12" i="1"/>
  <c r="GM12" i="1"/>
  <c r="A12" i="1"/>
  <c r="HI11" i="1"/>
  <c r="HH11" i="1"/>
  <c r="GN11" i="1"/>
  <c r="GM11" i="1"/>
  <c r="A11" i="1"/>
  <c r="HI10" i="1"/>
  <c r="HH10" i="1"/>
  <c r="GN10" i="1"/>
  <c r="GM10" i="1"/>
  <c r="A10" i="1"/>
  <c r="HI9" i="1"/>
  <c r="HH9" i="1"/>
  <c r="GN9" i="1"/>
  <c r="GM9" i="1"/>
  <c r="A9" i="1"/>
  <c r="HI8" i="1"/>
  <c r="HH8" i="1"/>
  <c r="GN8" i="1"/>
  <c r="GM8" i="1"/>
  <c r="A8" i="1"/>
  <c r="HI7" i="1"/>
  <c r="HH7" i="1"/>
  <c r="GN7" i="1"/>
  <c r="GM7" i="1"/>
  <c r="A7" i="1"/>
  <c r="HI6" i="1"/>
  <c r="HH6" i="1"/>
  <c r="GN6" i="1"/>
  <c r="GM6" i="1"/>
  <c r="HI5" i="1"/>
  <c r="HH5" i="1"/>
  <c r="GN5" i="1"/>
  <c r="GM5" i="1"/>
  <c r="HI4" i="1"/>
  <c r="HH4" i="1"/>
  <c r="GN4" i="1"/>
  <c r="GM4" i="1"/>
  <c r="A4" i="1"/>
  <c r="HI3" i="1"/>
  <c r="HH3" i="1"/>
  <c r="GN3" i="1"/>
  <c r="GM3" i="1"/>
  <c r="A3" i="1"/>
  <c r="HI2" i="1"/>
  <c r="HH2" i="1"/>
  <c r="GN2" i="1"/>
  <c r="GM2" i="1"/>
  <c r="A2" i="1"/>
</calcChain>
</file>

<file path=xl/sharedStrings.xml><?xml version="1.0" encoding="utf-8"?>
<sst xmlns="http://schemas.openxmlformats.org/spreadsheetml/2006/main" count="11598" uniqueCount="697">
  <si>
    <t>Filter timestamp</t>
  </si>
  <si>
    <t>Timestamp</t>
  </si>
  <si>
    <t>ID</t>
  </si>
  <si>
    <t>Language</t>
  </si>
  <si>
    <t>AtLeastOneOpenResponse</t>
  </si>
  <si>
    <t>RolesIncludeDeveloper</t>
  </si>
  <si>
    <t>YearsOfExperience</t>
  </si>
  <si>
    <t>YearsOfWorkFromHomeExperience</t>
  </si>
  <si>
    <t>Fulltime</t>
  </si>
  <si>
    <t>Coinhabitants</t>
  </si>
  <si>
    <t>Children</t>
  </si>
  <si>
    <t>Age</t>
  </si>
  <si>
    <t>Gender</t>
  </si>
  <si>
    <t>Education</t>
  </si>
  <si>
    <t>OrganizationSize</t>
  </si>
  <si>
    <t>Disabilities</t>
  </si>
  <si>
    <t>COVIDStatus</t>
  </si>
  <si>
    <t>Isolation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</si>
  <si>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</si>
  <si>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</si>
  <si>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</si>
  <si>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</si>
  <si>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</si>
  <si>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</si>
  <si>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</si>
  <si>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</si>
  <si>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</si>
  <si>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DP1</t>
  </si>
  <si>
    <t>DP2</t>
  </si>
  <si>
    <t>DP3</t>
  </si>
  <si>
    <t>DP4</t>
  </si>
  <si>
    <t>DP5</t>
  </si>
  <si>
    <t>Erg1</t>
  </si>
  <si>
    <t>Erg2</t>
  </si>
  <si>
    <t>Erg3</t>
  </si>
  <si>
    <t>Erg4</t>
  </si>
  <si>
    <t>Erg5</t>
  </si>
  <si>
    <t>Erg6</t>
  </si>
  <si>
    <t>WHO5B1</t>
  </si>
  <si>
    <t>WHO5B2</t>
  </si>
  <si>
    <t>WHO5B3</t>
  </si>
  <si>
    <t>WHO5B4</t>
  </si>
  <si>
    <t>WHO5B5</t>
  </si>
  <si>
    <t>HPQB1</t>
  </si>
  <si>
    <t>HPQB2</t>
  </si>
  <si>
    <t>HPQB3</t>
  </si>
  <si>
    <t>HPQB4</t>
  </si>
  <si>
    <t>HPQB5</t>
  </si>
  <si>
    <t>HPQB6</t>
  </si>
  <si>
    <t>HPQB7</t>
  </si>
  <si>
    <t>HPQB8</t>
  </si>
  <si>
    <t>WHO5S1</t>
  </si>
  <si>
    <t>WHO5S2</t>
  </si>
  <si>
    <t>WHO5S3</t>
  </si>
  <si>
    <t>WHO5S4</t>
  </si>
  <si>
    <t>WHO5S5</t>
  </si>
  <si>
    <t>HPQS1</t>
  </si>
  <si>
    <t>HPQS2</t>
  </si>
  <si>
    <t>HPQS3</t>
  </si>
  <si>
    <t>HPQS4</t>
  </si>
  <si>
    <t>HPQS5</t>
  </si>
  <si>
    <t>HPQS6</t>
  </si>
  <si>
    <t>HPQS7</t>
  </si>
  <si>
    <t>HPQS8</t>
  </si>
  <si>
    <t>PerformanceOthers</t>
  </si>
  <si>
    <t>PerB1item</t>
  </si>
  <si>
    <t>PerS1item</t>
  </si>
  <si>
    <t>Q_F2</t>
  </si>
  <si>
    <t>Q_I4</t>
  </si>
  <si>
    <t>Q_J7</t>
  </si>
  <si>
    <t>Q_K1</t>
  </si>
  <si>
    <t>Q_H11</t>
  </si>
  <si>
    <t>Q_H9</t>
  </si>
  <si>
    <t>Q_H12</t>
  </si>
  <si>
    <t>Q_H13</t>
  </si>
  <si>
    <t>H8_1</t>
  </si>
  <si>
    <t>H8_2</t>
  </si>
  <si>
    <t>H8_3</t>
  </si>
  <si>
    <t>H8_4</t>
  </si>
  <si>
    <t>H8_5</t>
  </si>
  <si>
    <t>H8_6</t>
  </si>
  <si>
    <t>H8_7</t>
  </si>
  <si>
    <t>H8_8</t>
  </si>
  <si>
    <t>H8_9</t>
  </si>
  <si>
    <t>H8_10</t>
  </si>
  <si>
    <t>H8_11</t>
  </si>
  <si>
    <t>H8_12</t>
  </si>
  <si>
    <t>H8_13</t>
  </si>
  <si>
    <t>H8_14</t>
  </si>
  <si>
    <t>H8_15</t>
  </si>
  <si>
    <t>H10_1</t>
  </si>
  <si>
    <t>H10_2</t>
  </si>
  <si>
    <t>H10_3</t>
  </si>
  <si>
    <t>H10_4</t>
  </si>
  <si>
    <t>H10_5</t>
  </si>
  <si>
    <t>H10_6</t>
  </si>
  <si>
    <t>H10_7</t>
  </si>
  <si>
    <t>H10_8</t>
  </si>
  <si>
    <t>H10_9</t>
  </si>
  <si>
    <t>H10_10</t>
  </si>
  <si>
    <t>H10_11</t>
  </si>
  <si>
    <t>H10_12</t>
  </si>
  <si>
    <t>H10_13</t>
  </si>
  <si>
    <t>H10_14</t>
  </si>
  <si>
    <t>H10_15</t>
  </si>
  <si>
    <t>H10_16</t>
  </si>
  <si>
    <t>H10_17</t>
  </si>
  <si>
    <t>H10_18</t>
  </si>
  <si>
    <t>H10_19</t>
  </si>
  <si>
    <t>H10_20</t>
  </si>
  <si>
    <t>J5_1</t>
  </si>
  <si>
    <t>J5_2</t>
  </si>
  <si>
    <t>J5_3</t>
  </si>
  <si>
    <t>J5_4</t>
  </si>
  <si>
    <t>J5_5</t>
  </si>
  <si>
    <t>J5_6</t>
  </si>
  <si>
    <t>J5_7</t>
  </si>
  <si>
    <t>J5_8</t>
  </si>
  <si>
    <t>J5_9</t>
  </si>
  <si>
    <t>J5_10</t>
  </si>
  <si>
    <t>J5_11</t>
  </si>
  <si>
    <t>J5_12</t>
  </si>
  <si>
    <t>J6_1</t>
  </si>
  <si>
    <t>J6_2</t>
  </si>
  <si>
    <t>J6_3</t>
  </si>
  <si>
    <t>J6_4</t>
  </si>
  <si>
    <t>J6_5</t>
  </si>
  <si>
    <t>J6_6</t>
  </si>
  <si>
    <t>J6_7</t>
  </si>
  <si>
    <t>J6_8</t>
  </si>
  <si>
    <t>COVIDStatus_0</t>
  </si>
  <si>
    <t>COVIDStatus_2</t>
  </si>
  <si>
    <t>COVIDStatus_3</t>
  </si>
  <si>
    <t>COVIDStatus_5</t>
  </si>
  <si>
    <t>COVIDStatus_ตอนนี้ข้าพเจ้ากำลังกักตัว(quarantine)หรือเพิ่งกักตัวไปไม่นาน(โดยไม่เดินทางออกจากบ้านหรือที่พัก)</t>
  </si>
  <si>
    <t>COVIDStatus_สมาชิกในบ้านของข้าพเจ้า(แต่ไม่ใช่ญาติ)เคยได้รับการตรวจและติดเชื้อCOVID-19</t>
  </si>
  <si>
    <t>COVIDStatus_เพื่อสนิทของข้าพเจ้าเคยได้รับการตรวจและติดเชื้อCOVID-19</t>
  </si>
  <si>
    <t>OS1_h</t>
  </si>
  <si>
    <t>OS1_y</t>
  </si>
  <si>
    <t>OS2_h</t>
  </si>
  <si>
    <t>OS2_y</t>
  </si>
  <si>
    <t>OS3_h</t>
  </si>
  <si>
    <t>OS3_y</t>
  </si>
  <si>
    <t>OS4_h</t>
  </si>
  <si>
    <t>OS4_y</t>
  </si>
  <si>
    <t>OS5_h</t>
  </si>
  <si>
    <t>OS5_y</t>
  </si>
  <si>
    <t>OS6_h</t>
  </si>
  <si>
    <t>OS6_y</t>
  </si>
  <si>
    <t>OS7_h</t>
  </si>
  <si>
    <t>OS7_y</t>
  </si>
  <si>
    <t>OS8_h</t>
  </si>
  <si>
    <t>OS8_y</t>
  </si>
  <si>
    <t>OS9_h</t>
  </si>
  <si>
    <t>OS9_y</t>
  </si>
  <si>
    <t>OS10_h</t>
  </si>
  <si>
    <t>OS10_y</t>
  </si>
  <si>
    <t>OS11_h</t>
  </si>
  <si>
    <t>OS11_y</t>
  </si>
  <si>
    <t>OS12_h</t>
  </si>
  <si>
    <t>OS12_y</t>
  </si>
  <si>
    <t>OS13_h</t>
  </si>
  <si>
    <t>OS13_y</t>
  </si>
  <si>
    <t>OS14_h</t>
  </si>
  <si>
    <t>OS14_y</t>
  </si>
  <si>
    <t>OS15_h</t>
  </si>
  <si>
    <t>OS15_y</t>
  </si>
  <si>
    <t>OS16_h</t>
  </si>
  <si>
    <t>OS16_y</t>
  </si>
  <si>
    <t>OS17_h</t>
  </si>
  <si>
    <t>OS17_y</t>
  </si>
  <si>
    <t>OS18_h</t>
  </si>
  <si>
    <t>OS18_y</t>
  </si>
  <si>
    <t>OS19_h</t>
  </si>
  <si>
    <t>OS19_y</t>
  </si>
  <si>
    <t>OS20_h</t>
  </si>
  <si>
    <t>OS20_y</t>
  </si>
  <si>
    <t>OS21_h</t>
  </si>
  <si>
    <t>OS21_y</t>
  </si>
  <si>
    <t>OS22_h</t>
  </si>
  <si>
    <t>OS22_y</t>
  </si>
  <si>
    <t>WHO_Before</t>
  </si>
  <si>
    <t>WHO_After</t>
  </si>
  <si>
    <t>HPQ_Before</t>
  </si>
  <si>
    <t>HPQ_After</t>
  </si>
  <si>
    <t>Thai</t>
  </si>
  <si>
    <t>Software Developer</t>
  </si>
  <si>
    <t>Male</t>
  </si>
  <si>
    <t>0-No</t>
  </si>
  <si>
    <t>3-High</t>
  </si>
  <si>
    <t>2-Medium</t>
  </si>
  <si>
    <t>1-Low</t>
  </si>
  <si>
    <t>NoImpact</t>
  </si>
  <si>
    <t>LowImpact</t>
  </si>
  <si>
    <t>เท่าเดิม</t>
  </si>
  <si>
    <t>ลดลง</t>
  </si>
  <si>
    <t>เพิ่มขึ้น</t>
  </si>
  <si>
    <t>แทบจะไม่เคยหรือไม่เคยเลย</t>
  </si>
  <si>
    <t>สัปดาห์ละครั้ง</t>
  </si>
  <si>
    <t>2-4 ครั้งต่อสัปดาห์</t>
  </si>
  <si>
    <t>HighImpact</t>
  </si>
  <si>
    <t>ลดลงอย่างมาก</t>
  </si>
  <si>
    <t xml:space="preserve"> ไม่เสียเวลาไปกับการเดินทาง ประหยัดค่าเดินทาง</t>
  </si>
  <si>
    <t>ห่างเหินกับเพื่อนร่วมงาน</t>
  </si>
  <si>
    <t>Machine Learning Engineer</t>
  </si>
  <si>
    <t>ได้ทำกาแฟดื่มเองบ่อยขึ้น</t>
  </si>
  <si>
    <t>มีเวลามากขึ้นจากไม่ต้องเดินทาง</t>
  </si>
  <si>
    <t>เส้นแบ่งระหว่างบ้านและที่ทำงานเริ่มไม่ชัดเจน บ้านกลายเป็นสถานที่ทำงาน</t>
  </si>
  <si>
    <t>Not identified</t>
  </si>
  <si>
    <t>เนื่องจากการปฏิสัมพันธ์กับผู้คนน้อยลงไปบ้าง แต่ดีกับ Introvert มาก บางครั้งเราก็ดูที่ผลของงาน การปฏิสัมพันธ์ลดลง แต่ความเกรงใจมากขึ้น และผลของงานดีขึ้น ก็อาจจะเป็นเรื่องที่ดี เรื่อง Team , People ไม่ใช่หน้าที่ของ Dev ที่ต้องคิด เรามีหน้าที่ทำงาน ให้เรื่องนี้ตัดสินใจหรือหาทางแก้ไขโดย People / HR Team</t>
  </si>
  <si>
    <t>อยากให้การทำงานที่บ้านเป็นมาตราฐานสำหรับ Dev เหมือนเซลที่ไม่ต้องประจำออฟฟิศฉันใด Dev ก็ทำงานที่บ้านได้ฉันนั้น
แต่ว่าสิ่งที่สำคัญคือ องค์กรที่พร้อมและมี Culture และ Pattern ที่ดีพอ รายละเอียดในแบบสอบถามนี้ อิงจากที่ผ่านมาทั้ง บริษัทไทย และ ต่างประเทศในช่วงสองปีนี้ มีความคล้ายคลึงและต่างกันบ้าง แต่ทั้งสองที่มีความพร้อมอยู่แล้วเลยทำได้ เชื่อว่าอีกหลายๆที่ ถ้าไม่พร้อม การทำงานที่บ้านคงเป็นเรื่องที่น่าเศร้ามากแน่ๆ</t>
  </si>
  <si>
    <t>ดีกว่ามาก ในเรื่องของเวลา และ ประสิทธิภาพสำหรับสายงานอย่าง Software Developer เนื่องจากการอยู่ในออฟฟิศมีแต่สิ่งรบกวน เรียกเข้าประชุม หรือพูดคุยที่ไม่ค่อยจำเป็น ประชุมอันยืดยาว พอเป็นการทำงานที่บ้าน ทุกอย่างถูกทำให้สั้นลง ทุกคนได้โฟกัสกับงานมากขึ้น รู้สึกมีข้อดีเยอะมาก จนไม่อยากกลับไปหางานที่ต้องเข้าออฟฟิศ</t>
  </si>
  <si>
    <t xml:space="preserve">บางครั้งก็เกิดผลเสียเมื่องานไม่เสร็จ ก็อาจจะกินเวลาส่วนตัวเพื่อทำงานให้เสร็จบ้าง แต่ไม่บ่อย / บางครั้งเกิดเหตุการณ์ไม่คาดฝัน เช่นน้ำไม่ไหล ไฟดับ หรือ อินเตอร์เน็ตเสีย ทำให้ต้องหาหนทางไปทำที่อื่น ซึ่ง นานๆเกิดขึ้นที </t>
  </si>
  <si>
    <t>Female</t>
  </si>
  <si>
    <t>สมาชิกในบ้านของข้าพเจ้า(แต่ไม่ใช่ญาติ)เคยได้รับการตรวจและติดเชื้อCOVID-19</t>
  </si>
  <si>
    <t>ควรจะปรับให้มี WFH เป็นปกติ เข้าออฟฟิศเมื่อจำเป็น (new normal)</t>
  </si>
  <si>
    <t>การประชุมที่ยาวนานขึ้นเพราะต้องสลับกันพูด</t>
  </si>
  <si>
    <t>รู้สึกว่าการทำงานที่ออฟฟิศไม่จำเป็นอีกแล้ว</t>
  </si>
  <si>
    <t>ผ่อนคลาย, ไม่เสียเวลาเดินทาง, พักผ่อนได้มากขึ้น, มีแรงในการทำงานมากขึ้น</t>
  </si>
  <si>
    <t>ค่าไฟที่เพิ่มขึ้น, หาอาการยากขึ้น (ไม่รู้จะทานอะไร แต่สั่ง delivery ได้), ในเวลาไม่ทำงานบ้าง ทำนอกเวลาบ้าง</t>
  </si>
  <si>
    <t>เพิ่มขึ้นอย่างมาก</t>
  </si>
  <si>
    <t>หลายครั้งต่อวัน</t>
  </si>
  <si>
    <t>วันละครั้ง</t>
  </si>
  <si>
    <t>Data Op</t>
  </si>
  <si>
    <t>-</t>
  </si>
  <si>
    <t>เนื่องจากมีที่พักหลายที่สามารถจัดการได้สบายขึ้น และถนนรถติดน้อยลงมาก ใช้ชีวิตง่ายขึ้น</t>
  </si>
  <si>
    <t>สบายใจมากขึ้น</t>
  </si>
  <si>
    <t>ใช้ชีวิตได้ง่ายขึ้น</t>
  </si>
  <si>
    <t xml:space="preserve">คำถามนี้แปลกนะเอาจริงๆ </t>
  </si>
  <si>
    <t>สบายดี</t>
  </si>
  <si>
    <t>ประหยัดค่าเดินทาง รายจ่ายน้อยลง เลือกเวลาที่อยากทำงานได้เอง</t>
  </si>
  <si>
    <t>สมาธิในการทำงานน้อยลง ความขี้เกียจมีมากขึ้น</t>
  </si>
  <si>
    <t>Product or Project Manager</t>
  </si>
  <si>
    <t>Periodically mental health check /survey</t>
  </si>
  <si>
    <t>เข้าห้องน้ำสะดวกมากขึ้น</t>
  </si>
  <si>
    <t>ยืดหยุ่นมากขึ้น, ไม่ต้องเสียเวลาในการเดินทาง มีเวลาพักมากขึ้น กินข้าวตรงเวลามากขึ้น</t>
  </si>
  <si>
    <t>ประชุมยืดเยื้อ , ทำงานเกินเวลาไปมาก</t>
  </si>
  <si>
    <t>Analyst</t>
  </si>
  <si>
    <t>มีการจัดความสำคัญของงานที่จะให้ทำจากผู้บริหาร</t>
  </si>
  <si>
    <t>ไม่เสียค่าใช้จ่ายและเวลาในการเดินทาง</t>
  </si>
  <si>
    <t>ใช้เวลาทำงานต่อวันมากขึ้น</t>
  </si>
  <si>
    <t>2,ตอนนี้ข้าพเจ้ากำลังกักตัว(quarantine)หรือเพิ่งกักตัวไปไม่นาน(โดยไม่เดินทางออกจากบ้านหรือที่พัก)</t>
  </si>
  <si>
    <t>การทำงานที่บ้านน่าจะตอบโจทย์สำหรับองค์กรที่สามารถให้พนักงานบริหารจัดการเวลาในการทำงานได้เอง และ/หรือ องค์กรที่มีเวลาในการทำงานแน่นอน ไม่ยืดเยื้อจนเกินเวลา โดยองค์กรจัดสรรงบประมาณในส่วนที่เป็นค่าใช้จ่ายกรณีพนักงานต้องเข้าไปทำงานที่ออฟฟิศ มาสนับสนุนอุปกรณ์ต่างๆ ให้พนักงานสามารถทำานที่บ้านได้อย่างมีประสิทธิภาพ เพื่อประโยชน์ของทั้งสองฝ่าย</t>
  </si>
  <si>
    <t>การประชุมกับคนจำนวนมากแบบออนไลน์ทำให้ใช้เวลาในการประชุมเพิ่มขึ้น และการสื่อสารเป็นไปได้ยากขึ้น จากเสียงรบกวน สัญญาณอินเตอร์เน็ต หรือ การพูดซ้อนกัน</t>
  </si>
  <si>
    <t>ได้อยู่ใกล้ชิดกับสัตว์เลี้ยงมากขึ้น</t>
  </si>
  <si>
    <t>ลดเวลาและค่าใช้จ่ายในการเดินทาง ทำให้ได้พักผ่อนและมีเวลาอยู่กับครอบครัวมากขึ้น</t>
  </si>
  <si>
    <t>สภาพแวดล้อมในการทำงานไม่เอื้ออำนวย</t>
  </si>
  <si>
    <t>Business specialist</t>
  </si>
  <si>
    <t>สนับสนุนค่า internet หรือค่าอาหาร</t>
  </si>
  <si>
    <t>ทำงานมีบ้านมีผลทำให้ burnout</t>
  </si>
  <si>
    <t>สภาพแวดล้อมอาจจะไม่อำนวยมากนัก แต่ค่อนข้างสบายและสะดวกกว่าการทำงานที่ออฟฟิต</t>
  </si>
  <si>
    <t xml:space="preserve">ไม่เสียค่าเดินทาง ไม่ต้องตื่นเช้ามาก </t>
  </si>
  <si>
    <t>คุยกับทีมน้อยลง</t>
  </si>
  <si>
    <t>สามารถโฟกัสกับงานได้เต็มที่</t>
  </si>
  <si>
    <t>work-life balance ไม่ดี, ทำงานเกินเวลา</t>
  </si>
  <si>
    <t>ควรจะเลิกล้มความคิดที่ว่าการที่พนักงานติด covid เป็นความผิดของพนักงานคนนั้นทั้งหมด</t>
  </si>
  <si>
    <t>ลดค่าใช้จ่ายและเวลาในการเดินทางได้เป็นอย่างมาก</t>
  </si>
  <si>
    <t>สิ่งรบกวนรอบข้างมากเกินไป เพราะ บ้านคือที่สำหรับพักผ่อนไม่ใช่ที่สำหรับทำงานอยู่แล้ว</t>
  </si>
  <si>
    <t>ไม่มี</t>
  </si>
  <si>
    <t>ตัวเองไม่มีอะไรเปลี่ยน แต่เพื่อนร่วมงาน โดยเฉพาะน้องjunior ประสิทธิผลลดไปอย่างเห็นได้ชัด</t>
  </si>
  <si>
    <t>ไม่มี แค่งานคุณภาพดร็อปลง สื่อสารกันแย่ลง</t>
  </si>
  <si>
    <t>เสียสมาธิมากคน คนในครอบครัวเรียกร้องให้ช่วยนี่นั่นในเวลาทำงาน</t>
  </si>
  <si>
    <t>ไม่</t>
  </si>
  <si>
    <t>มีเวลาได้ออกกำลังเพิ่ม ไม่ต้องเสียเวลาเดินทาง</t>
  </si>
  <si>
    <t>สื่อสารกับทีมได้ยาก งานมีโอกาสผิดพลาดมากขึ้น</t>
  </si>
  <si>
    <t>Executive Advisor</t>
  </si>
  <si>
    <t>2,0</t>
  </si>
  <si>
    <t>ไม่มีสำหรับ เพราะเพียงพอต่อกาทำงานแล้ว</t>
  </si>
  <si>
    <t>เพราะเป็นงานแนวหน้า จึงใช้เวลาอยู่มากจนเกินไปไม่ได้</t>
  </si>
  <si>
    <t>ไม่ค่อยชอบทำงานที่บ้าน</t>
  </si>
  <si>
    <t>ไม่ต้องใช้เวลาเดินทาง</t>
  </si>
  <si>
    <t>งานใกล้ชิดกับความเป็นส่วนตัวมากจนเกินไป</t>
  </si>
  <si>
    <t>ควรจะมีการส่ง ATK ให้พนักงานตรวจก่อนเข้าออฟฟิศเป็น regular ทุกๆ 7 หรือ 14 วัน</t>
  </si>
  <si>
    <t>การติดต่อประสานงานกับลูกค้าเป็นไปได้ยากมากขึ้นเนื่องจากไม่ทราบว่าลูกค้ายุ่งหรือไม่ หรือติดประชุมหรือไม่ การติดต่อภายในองค์กรไม่มีปัญหา แต่มีปัญหาอย่างมากกับการติดต่อคนภายนอกองค์กร ซึ่งส่งผลต่อประสิทธิผลในการทำงานโดยรวม</t>
  </si>
  <si>
    <t>การมีสัตว์เลี้ยงช่วยให้สามารถผ่อนคลายจากงานได้บ้าง</t>
  </si>
  <si>
    <t>สามารถ focus กับงานได้มากขึ้น เรียง priority ได้ดีขึ้น จัดการงานแทรกได้ คน interupt ระหว่างทำงานมีน้อยลง</t>
  </si>
  <si>
    <t>ไม่มีเวลาพักหรือ work life balance ทำงานตั้งแต่ 8:00-22:00 เกือบทุกวันเพราะมีเรื่องที่ต้องจัดการเพิ่มมากขึ้น</t>
  </si>
  <si>
    <t>3,2</t>
  </si>
  <si>
    <t>ปรับปรุงระบบ VPN</t>
  </si>
  <si>
    <t>ergonomic ที่ดี จะมี cost ที่สูง ** fyi</t>
  </si>
  <si>
    <t>จัดการเวลาได้ดีขึ้น</t>
  </si>
  <si>
    <t>คุยงานลำบากขึ้น</t>
  </si>
  <si>
    <t>สมาชิกในบ้านของข้าพเจ้า(แต่ไม่ใช่ญาติ)เคยได้รับการตรวจและติดเชื้อCOVID-19,3</t>
  </si>
  <si>
    <t>Database developer</t>
  </si>
  <si>
    <t>แค่อนุญาติให้อยู่บ้านก็ดีใจแล้ว</t>
  </si>
  <si>
    <t>โชคดีที่ได้อยู่บ้าน เพราะว่าท้อง
คนอื่นต้องกลับไปบริษัทตามปรกติ มีเมลล์มาทุกอาทิตย์ว่ามีคนคิดเชื้อ น่ากลัวมาก</t>
  </si>
  <si>
    <t>คนจะขาดหวังให้เราเฝ้าจอคอมตลอดเวลา กลายเป็นทำงานเยอะขึ้นกว่าตอนอยู่ออฟฟิส</t>
  </si>
  <si>
    <t>ไม่กังวลเรื่องการติดเชื้อ</t>
  </si>
  <si>
    <t>ไม่ต้องเดินทาง เลิกงาน ก็อยู่บ้านเลย</t>
  </si>
  <si>
    <t>ลูกกวน</t>
  </si>
  <si>
    <t>ไม่ต้องเสียเวลารถติดทั้งไปและกลับ</t>
  </si>
  <si>
    <t>อากาศร้อน ไม่ได้เจอผู้คน</t>
  </si>
  <si>
    <t>SAP Consultant</t>
  </si>
  <si>
    <t>ลดเวลาเดินทาง จัดสรรเวลาเองได้ focusกับงานที่ต้องทำได้มากขึ้น</t>
  </si>
  <si>
    <t>ไม่ได้เจอเพื่อนร่วมงาน การสืาอสารยากและใช้เวลามากขึ้น สิ่งแวดล้อมจำเจ</t>
  </si>
  <si>
    <t>support wfh equipment</t>
  </si>
  <si>
    <t>ได้เล่นกับสัตว์เลี้ยง</t>
  </si>
  <si>
    <t>ประหยัดเวลาเดินทาง</t>
  </si>
  <si>
    <t>ไม่ได้คุยกับเพื่อนร่วมงาน</t>
  </si>
  <si>
    <t>ประหยัดเวลาในการเดินทาง, ไม่ต้องเตรียมตัวเยอะ ใส่ชุดอะไรก็ได้ตอนทำงาน</t>
  </si>
  <si>
    <t>รู้สึดห่างเหินกับเพื่อนร่วมงานเพราะแทบไม่ได้เจอกันเลย</t>
  </si>
  <si>
    <t>ขึ้นอยู่กับ วินัย ของพนักงานแต่ละคนในทีม หากวินัยดี สามารถติดตามได้ตลอดเวลา (ช่วงเวลางาน)
หากวินัยแย่ ต้องหาวิธีในการ tracking daily progress ในแง่บวก เพื่อ encourage พนักงานให้มีประสิทธิภาพอย่างน้อยๆก็เทียบเท่ากับการทำงานที่ ออฟฟิศ</t>
  </si>
  <si>
    <t>ด้วย generation gap ทำให้ level เดียวที่อายุมากกว่า 10 ปี ไม่มีความสนใจ และ สนุกกับ team building หรือ party ผ่าน video conference</t>
  </si>
  <si>
    <t>ไม่ต้องใช้เวลาในการเดินทาง สามารถตื่นแล้วพร้อมทำงานได้ภายใน 30 นาที</t>
  </si>
  <si>
    <t>สำหรับผมครอบครัวคือปัจจัย ถ้าครอบครัวมีปัญหาบ่อยครั้ง การทำงานที่บ้านก็ไม่ใช่คำตอบ และทำให้ประสิทธิภาพการทำงานลดลง และถ้าปัญหาครอบครัวแก้ไขไม่ได้ ก็ทำให้เกิดอาการซึมเศร้าได้</t>
  </si>
  <si>
    <t xml:space="preserve">จ่ายค่าอินเตอร์เน็ต, ค่าโต๊ะ เก้าอี้ </t>
  </si>
  <si>
    <t>คุยกันน้อยลง</t>
  </si>
  <si>
    <t>เบื่อ อยากกลับไปทำงานที่ออฟฟิต และควรให้ทีมบังคับกันเข้าไปทำงานบ้างได้แล้ว ทั้งๆที่บางคนยังออกไปเดินห้างหรือทานข้าวนอกบ้าน ก็ไม่ต่างกัน..</t>
  </si>
  <si>
    <t>คุยกับคนอื่นลำบาก ขาดการปฏิสัมพันธ์กับเพื่อนร่วมงาน เหนื่อยเมื่อตอนนัดประชุมให้ทุกคนโฟกัสในสิ่งที่เราต้องการ</t>
  </si>
  <si>
    <t>ช่วยจ่ายค่าไฟ, work anywhere</t>
  </si>
  <si>
    <t>Teamwork แย่ลง</t>
  </si>
  <si>
    <t>Work from home ทำให้ชีวิตลำบาก</t>
  </si>
  <si>
    <t>ไม่ค่อยมีข้อดี</t>
  </si>
  <si>
    <t>มาก โดยเฉพาะ work life balance</t>
  </si>
  <si>
    <t>Product Owner</t>
  </si>
  <si>
    <t>สะดวกดี มี work-life balance ดีขึ้น</t>
  </si>
  <si>
    <t>UX Designer</t>
  </si>
  <si>
    <t>สนับสนุนให้ทำงานที่บ้าน ไม่จำเป็นไม่ต้องเข้าออฟฟิศเลย</t>
  </si>
  <si>
    <t xml:space="preserve"> แอบไปทำงานบ้านบางครั้ง</t>
  </si>
  <si>
    <t>ไม่เสียเวลาเดินทาง</t>
  </si>
  <si>
    <t>ไม่สามารถทำการทดสอบ usability test แบบเห็นหน้า และ interaction การใช้งานแบบเต็มที่ ลำบากสำหรับ ux designer มากๆ</t>
  </si>
  <si>
    <t>การแบ่งเวลางาน กับเวลาพักผ่อน สำคัญมาก</t>
  </si>
  <si>
    <t>ได้มี work &amp; life balance ที่ดีขึ้นมาก</t>
  </si>
  <si>
    <t>Scrum Master</t>
  </si>
  <si>
    <t>ยืดหยุ่นชั่วโมงทำงาน / เวลาเริ่มงาน</t>
  </si>
  <si>
    <t>ไม่ต้องเดินทาง</t>
  </si>
  <si>
    <t>team collaboration, ปฏิสัมพันธ์กับเพื่อนร่วมงาน, การแบ่งเวลางานกับเวลาส่วนตัว</t>
  </si>
  <si>
    <t>ไม่เสียเวลา เงินและแรงไปกับการเดินทางหลายชั่วโมง</t>
  </si>
  <si>
    <t>สื่อสารยากขึ้น ความสัมพันธ์กับเพื่อนร่วมงานน้อยลง</t>
  </si>
  <si>
    <t>Facilities สำหรับการทำงาน รวมถึงรายจ่ายค่าไฟที่เพิ่มมากขึ้นจากการทำงานที่บ้าน</t>
  </si>
  <si>
    <t>อยากให้ทุกที่ใส่ใจเรื่องสุขภาพของพนักงานให้มากขึ้น ทั้งสุขภาพกายและสุขภาพจิตของพนักงาน</t>
  </si>
  <si>
    <t>ไม่ต้องเดินทาง มีเวลาทานอาหารเช้าและเย็นให้ตรงตามเวลา</t>
  </si>
  <si>
    <t>ปัจจัยหนึ่งในการทำงานที่มีประสิทธิภาพของงานประเภทโปรเจคท์คือ สมาชิกของทั้งทีม เพราะตัวปัจเจกบุคคลเราไม่สามารถควบคุมทุกอย่างได้ทั้งหมด แม้เราตั้งใจทำงานเต็มที่ แต่ถ้าติดต่อบางคนในทีมที่มีหน้าที่ลำกับถัดไป ก็อาจจะทำให้หารงทำงานไม่เกิดประสิทธิผลได้</t>
  </si>
  <si>
    <t>อยากให้เป็นมาตรฐานใหม่สำหรับประเทศไทย อาจจะเป็นการทำงานแบบ hybrid เช่น เข้าออฟฟิศ 2-3 วัน สลับกับทำงานที่บ้าน 2-3 วันต่ออาทิตย์ เพราะทั้งช่วยในเรื่องของประสิทธิภาพการทำงาน และการจราจรภาพรวมของ กทม.</t>
  </si>
  <si>
    <t>ได้รับค่าเดินทาง (สวัสดิการจากบริษัท) น้อยลงมาก แต่ต้องลงทุนสำหรับอุปกรณ์ทำงานที่บ้านเพิ่มขึ้น</t>
  </si>
  <si>
    <t xml:space="preserve">ลดความเสี่ยงในการแพร่เชื้อ covid-19 </t>
  </si>
  <si>
    <t>ลดเวลาการเดินทางไปทำงาน เปลี่ยนเป็นชั่วโมงทำงานที่มีประสิทธิภาพได้ โดยมีการรบกวน/แทรกการทำงาน น้อยลงมาก</t>
  </si>
  <si>
    <t>ได้ออกกำลังน้อยลงมาก ออกไปเจอโลกภายนอกน้อยลงมาก ส่งผลต่อสุขภาพทั้งระยะสั้นและระยะยาว</t>
  </si>
  <si>
    <t>3,ตอนนี้ข้าพเจ้ากำลังกักตัว(quarantine)หรือเพิ่งกักตัวไปไม่นาน(โดยไม่เดินทางออกจากบ้านหรือที่พัก)</t>
  </si>
  <si>
    <t>ลดเวลาการเดินทาง ไม่เหนื่อยเดินทาง</t>
  </si>
  <si>
    <t>มีสิ่งรบกวนบ้างเล็กน้อย เช่นเสียง</t>
  </si>
  <si>
    <t>5,2</t>
  </si>
  <si>
    <t>มีงบเพิ่มเติมจากเงินเดือนเพื่อช่วยค่าใช้จ่าย</t>
  </si>
  <si>
    <t>มีอิสระในการทำงานที่หลากหลายขึ้น</t>
  </si>
  <si>
    <t>ทำงานสบายขึ้นสำหรับงานที่เราทำด้วยตัวเองไม่ต้องถามความคิดเห็นคนอื่น</t>
  </si>
  <si>
    <t>การประชุมที่เยอะมากและกระทบเวลาในการทำงาน</t>
  </si>
  <si>
    <t>ให้โอกาสเลือกสถานที่ทำงาน</t>
  </si>
  <si>
    <t>Quality Assurance Specialist, Software Testers</t>
  </si>
  <si>
    <t>บางงานที่ต้องไปคุยกับลูกค้าออนไซต์ จะมีความกังวลมากขึ้น</t>
  </si>
  <si>
    <t>ไม่มีมากกว่าที่ถามในแบบสอบถามมา แต่อยากให้ฝั่งผู้บริหารส่วนใหญ่เข้าใจการทำงานจากที่บ้านมากขึ้น</t>
  </si>
  <si>
    <t>หัวหน้าหรือผู้บริหารระดับสูงไม่เข้าใจและไม่รู้ว่าจะเช็คประสิทธิภาพของการทำงานที่บ้านของพนักงานอย่างไร บางครั้งเรามี performance ที่ดีขึ้นมากๆ แต่ผู้บริหารก็ไม่เข้าใจว่าดีขึ้นยังไง พยายามหาวิธิให้เรา uncomfortable ในการทำงาน แต่ตัวเขาสบายใจ</t>
  </si>
  <si>
    <t>สามารถจัดการกับ metal breakdown ได้โดยไม่ต้องกลั้นหรือแคร์สายตาใคร</t>
  </si>
  <si>
    <t>ลดเวลาการเดินทางได้มากๆ ลดปัญหาการพักผ่อนไม่พอ และการเสียสุขภาพจิตจากการเดินทางสาธารณะ</t>
  </si>
  <si>
    <t>บางทีการประชุมออนไลน์ก็มีปัญหาในการ response กัน เพราะไม่เห็นหน้า ส่วนใหญ่จะปิดไมค์ ปิดกล้องกัน(เรื่อง privacy อันนี้สมควรแล้ว) ถ้ามีวิธีที่เราสามารถ response ได้ โดยที่ไม่กระทบ privacy ของเราได้ก็จะดีมากๆ</t>
  </si>
  <si>
    <t>5,2,ตอนนี้ข้าพเจ้ากำลังกักตัว(quarantine)หรือเพิ่งกักตัวไปไม่นาน(โดยไม่เดินทางออกจากบ้านหรือที่พัก)</t>
  </si>
  <si>
    <t>เงินสนับสนุนซื้ออุปกรณ์สำหรับการ WFH</t>
  </si>
  <si>
    <t>ทำงานที่บ้านทำให้มีเงินเหลือใช้เพิ่มมากขึ้น แต่สุขภาพกายและใจค่อนข้างแย่ลง...</t>
  </si>
  <si>
    <t>ไม่ต้องเสียเวลาและค่าใช้จ่ายเดินทาง</t>
  </si>
  <si>
    <t>เวลาพักกลางวันน้อยลง บางวันไม่ได้พัก</t>
  </si>
  <si>
    <t>มีความเป็นส่วนตัว ไม่ต้องเดินทาง</t>
  </si>
  <si>
    <t>การทำงานร่วมกันลำบากขึ้น สื่อสารกันยากขึ้น</t>
  </si>
  <si>
    <t>ไม่เจอปัญหาจราจร ฝนฟ้าอากาศ</t>
  </si>
  <si>
    <t>สามารถเอาเวลาเดินทางมาทำงานหรือพักผ่อนได้</t>
  </si>
  <si>
    <t>ติดต่อสื่อสารกับเพื่อนร่วมงานอาจจะใช้เวลา</t>
  </si>
  <si>
    <t>Business Analyst</t>
  </si>
  <si>
    <t>should distribute laptop to all employees</t>
  </si>
  <si>
    <t>nothing</t>
  </si>
  <si>
    <t xml:space="preserve">I paid a lot about the work station and it's quite worth! </t>
  </si>
  <si>
    <t>none</t>
  </si>
  <si>
    <t>time/energy saving from transportation</t>
  </si>
  <si>
    <t>less face-to-face interaction with other colleagues especially new joiners who just join during wfh period</t>
  </si>
  <si>
    <t>ช่วยจ่ายค่าไฟ, เน็ต และลดกระบวนการทำงานบางอย่างลง</t>
  </si>
  <si>
    <t>ลดการเดินทาง, การทำงานยืดหยุ่นมากขึ้น</t>
  </si>
  <si>
    <t>ประชุมเยอะ</t>
  </si>
  <si>
    <t>มีเวลาทำอาหารเพื่อสุขภาพ และมีเวลาให้กิจกรรมที่น่าสนใจอื่นๆมากกว่าเดิม</t>
  </si>
  <si>
    <t>มีเวลามากขึ้นเนื่องจากไม่มีการเดินทาง</t>
  </si>
  <si>
    <t>ใช้เวลานั่งอยู่กับที่นานเกินไป</t>
  </si>
  <si>
    <t xml:space="preserve"> Giftbox during WFH</t>
  </si>
  <si>
    <t>การจัดสรรค์เวลาทำได้อย่างมีประสิทธิภาพ</t>
  </si>
  <si>
    <t>การติดต่อสื่อสารกับทีม หรือ องค์กร</t>
  </si>
  <si>
    <t>ปัญหาสุขภาพ การปวดเมื่อย</t>
  </si>
  <si>
    <t>น้ำหนักตัวลดลง</t>
  </si>
  <si>
    <t>ประหยัดค่าใช้จ่าย, มีเวลาในการทำงาน และใช้ชีวิตมากขึ้น, สามารถเลือกทำงานก่อนหลังได้, ไม่ถูกรบกวนจากเพื่อนร่วมงาน</t>
  </si>
  <si>
    <t>เรื่องสุขภาพ เนื่องจากอุปกรณ์การทำงานไม่ support เช่นโต๊ะทำงาน เก้าอี้ ทำให้ปวดเมื่อยตัว</t>
  </si>
  <si>
    <t>5,สมาชิกในบ้านของข้าพเจ้า(แต่ไม่ใช่ญาติ)เคยได้รับการตรวจและติดเชื้อCOVID-19,3,2</t>
  </si>
  <si>
    <t>flexible time</t>
  </si>
  <si>
    <t>ในมุมมองผม การทำงานที่บ้านมีทั้งข้อดึและมีข้อเสีย เช่นเดียวกันกับการทำงานที่บริษัท ดังนั้นอยู่ที่เราว่าจะคงข้อดีของการทำงานที่บ้านไว้ แล้ว adapt/ปรับจูน/หรือทดแทน ข้อเสียของการทำงานที่บ้านได้มากน้อยขนาดไหน เช่น การทำงานที่บ้าน ทำให้ทีมเราสนิทกันน้อยลง ก็ต้องหากิจกรรมเพิ่มเพื่อกระชับมิตร ซึ่งปกติถ้าทำงานที่บริษัท กินข้าวกลางวันด้วยกันก็กระชับมิตรกันได้แล้ว เราก็แค่ต้องทดแทนการกินข้าวกลางวันด้วยการหากิจกรรมเพิ่มเติมเพื่อทดแทนการกินข้างกลางวัน ประมาณนี้ครับ</t>
  </si>
  <si>
    <t>Flexible benefit 20k/ปี นับตาม fiscal year</t>
  </si>
  <si>
    <t>ยืดยุ่นเวลา ไม่เสียเวลาเดินทาง</t>
  </si>
  <si>
    <t>ปฏิสัมพันธ์กับทีมน้อยลง ไม่สนิทกับคนในทีม</t>
  </si>
  <si>
    <t xml:space="preserve">การประสานงานตรงกับคนแบ็งและvendor ที่ไม่ได้ใช้ platform การทำงาน online เดียวกัน ทำให้ไม่สามารถเข้าถึงได้ในทันที และไม่ทราบตาราง </t>
  </si>
  <si>
    <t>สมาธิ เป็นสิ่งสำคัญที่ทำให้งานออกมามีประสิทธิภาพ</t>
  </si>
  <si>
    <t xml:space="preserve">ความสัมพันธ์เชิงสังคมน้อยลง </t>
  </si>
  <si>
    <t>ช่วยสร้าง ความรับผิดชอบมากขึ้น งานเป็นรูปธรรมมากขึ้น เสียเวลาในการซิ้งกันมากขึ้นและถี่ขึ้น แต่มีประสิทธิภาพมากขึ้น</t>
  </si>
  <si>
    <t>การตอบสนองช้า ทำให้บางครั้งไม่สามารถแก้ปัญหาได้ไวเท่ากับการที่อยู่ออฟฟิส เพราะเราสามารถเดินไปหาที่โต๊ะทำงานได้เลย และจบปัญหาได้เร็วขึ้น</t>
  </si>
  <si>
    <t xml:space="preserve"> มีสมาธิมากขึ้น, จัด priority ได้ดียิ่งขึ้น</t>
  </si>
  <si>
    <t>ทุกวินาทีคือเนื้องาน</t>
  </si>
  <si>
    <t>ปฏิสัมพันธ์กับเพื่อนร่วมงานลดลง ซึ่งเป็นองค์ประกอบสำคัญในการทำงานร่วมกัน</t>
  </si>
  <si>
    <t>มีเวลาอยู่กับครอบครัว</t>
  </si>
  <si>
    <t>แยกเวลางาน ส่วนตัวยาก</t>
  </si>
  <si>
    <t>กำหนดเวลาทำงานให้เป็นเวลา เนื่องจาก WFH แล้วทำงานดึกๆตลอด</t>
  </si>
  <si>
    <t>ทำงานไม่เป็นเวลา</t>
  </si>
  <si>
    <t>ได้อยู่กับครอบครัว</t>
  </si>
  <si>
    <t>ขาดความสัมพันธ์กับเพื่อนร่วมงาน</t>
  </si>
  <si>
    <t>ความสนิทในทีมงาน โดยเฉพาะกลุ่มคนเข้าใหม่ น้อยลง</t>
  </si>
  <si>
    <t>ลดค่าใช้จ่าย และเวลาการเดินทางลงอย่างมาก</t>
  </si>
  <si>
    <t>ขาดสังคม และการติดต่อสื่อสารได้ยากขึ้น</t>
  </si>
  <si>
    <t>ควรช่วยเหลือพนักงานในด้านสาธารณูปโภคโดยปราศจากเงื่อนไข</t>
  </si>
  <si>
    <t>เวลามากขึ้น</t>
  </si>
  <si>
    <t>ขาดวินัยและความปฏิสัมพันธ์</t>
  </si>
  <si>
    <t>สมาชิกในบ้านของข้าพเจ้า(แต่ไม่ใช่ญาติ)เคยได้รับการตรวจและติดเชื้อCOVID-19,2</t>
  </si>
  <si>
    <t>ควรจะมีการให้ความช่วยเหลือกรณีติด COVID - เช่น ประสานงาน รพ หรือเตียงในเครือ</t>
  </si>
  <si>
    <t>ได้ทำงานนานขึ้น</t>
  </si>
  <si>
    <t>ตื่นมาทำงานได้เลย โดยไม่ต้องเสียเวลาเดินทาง</t>
  </si>
  <si>
    <t>ทำงานตลอดเวลา นอนในห้องทำงาน ทำงานแม้จะเลยเวลางาน ทำงานไม่หยุด</t>
  </si>
  <si>
    <t>Interaction Designer</t>
  </si>
  <si>
    <t>ไม่มร</t>
  </si>
  <si>
    <t>ลดเวลาการเดินทาง</t>
  </si>
  <si>
    <t>ไม่มีแรงกระตุ้น</t>
  </si>
  <si>
    <t>ควรจะแระชุมให้น้อยลงและลดการประชุมซ้ำซ้อน</t>
  </si>
  <si>
    <t>สามารถบริหารจัดการเวลาได้ดีขึ้น เนื่องจากลดเวลาเดินทาง</t>
  </si>
  <si>
    <t>ประชุมเยอะไป ขาดสมดุลในการทำงาน</t>
  </si>
  <si>
    <t>5,3</t>
  </si>
  <si>
    <t xml:space="preserve"> ระบบการทำงานที่ชัดเจน coach และการ balance meeting</t>
  </si>
  <si>
    <t xml:space="preserve">Business Development </t>
  </si>
  <si>
    <t>สนับสนุนค่าเน็ตและค่าไฟ</t>
  </si>
  <si>
    <t>ตอนนี้ข้าพเจ้ากำลังกักตัว(quarantine)หรือเพิ่งกักตัวไปไม่นาน(โดยไม่เดินทางออกจากบ้านหรือที่พัก)</t>
  </si>
  <si>
    <t>สมาชิกในบ้านของข้าพเจ้า(แต่ไม่ใช่ญาติ)เคยได้รับการตรวจและติดเชื้อCOVID-19,3,2</t>
  </si>
  <si>
    <t>คนที่มีวินัยอยู่แล้วงานจะดีขึ้น ส่วนคนที่ไม่มีวินัยมักจะแย่ลง</t>
  </si>
  <si>
    <t>ประหยัดเวลาเดินทางและเวลาทำงานมากขึ้น</t>
  </si>
  <si>
    <t>ตามงานลูกน้องในทีมบางคนที่วินัยต่ำยากขึ้น</t>
  </si>
  <si>
    <t>สมาชิกในบ้านของข้าพเจ้า(แต่ไม่ใช่ญาติ)เคยได้รับการตรวจและติดเชื้อCOVID-19,2,ตอนนี้ข้าพเจ้ากำลังกักตัว(quarantine)หรือเพิ่งกักตัวไปไม่นาน(โดยไม่เดินทางออกจากบ้านหรือที่พัก)</t>
  </si>
  <si>
    <t>Mental Support/ประกันที่ช่วยเรื่องกายภาพบำบัด</t>
  </si>
  <si>
    <t>ลดค่าใช้จ่ายเรื่องการเดินทาง</t>
  </si>
  <si>
    <t>ที่บ้านไม่เข้าใจการทำงานของเรา</t>
  </si>
  <si>
    <t>ควรใช้ MS Teams ในการติดต่อสื่อสารมากกว่า slack หรือ  google meet ที่ไม่ค่อยสเถียร</t>
  </si>
  <si>
    <t>ประสิทธิภาพ WFH แย่กว่าทำที่ออฟฟิศ บรรยากาศที่บ้านชวนให้ง่วงและหลุดโฟกัสง่าย ใช้เวลารอคุยงาน และคุยงานนานกว่า</t>
  </si>
  <si>
    <t>ส่งผลต่อการเงินของบริษัท ทำให้ต้องลดจำนวนคนลง งานจึง load ที่คนที่เหลือมากขึ้น</t>
  </si>
  <si>
    <t>อากาศร้อน, ไปดูปัญหาที่หน้างานของลูกค้าไม่ได้เพราะ lock down</t>
  </si>
  <si>
    <t>ประหยัดเวลาเดินทางจึงมีเวลาให้กับการเรียนปริญญาโทมากขึ้น, เข้ารับการผ่าตัด (elective surgery) ที่ต้องใช้เวลาฟื้นฟูที่บ้านหลายเดือนได้โดยไม่ค่อยกระทบกับงาน</t>
  </si>
  <si>
    <t>ได้พักผ่อนมากขึ้น</t>
  </si>
  <si>
    <t>work-life balance แย่, ใช้เวลาคุยงานมากขึ้น, ขาดแรงกระตุ้นให้อยากทำงานเพราะไม่มีบรรยากาศที่เห็นทุกคนตั้งใจทำงาน</t>
  </si>
  <si>
    <t>ไม่น่ามีนะครับตอนนี้</t>
  </si>
  <si>
    <t>การที่ซัพพอคุณพ่อคุณแม่ที่บ้านด้วย</t>
  </si>
  <si>
    <t>เหมือนตัวเองมีเวลามากขึ้น ไม่ต้องไปเจอกับสภาพรถติดอยู่ที่ที่เราเซฟใจตัวเองได้</t>
  </si>
  <si>
    <t>สือสารกันยากการส่งต่อสาร</t>
  </si>
  <si>
    <t>Consultant</t>
  </si>
  <si>
    <t>ปฏิสัมพันธ์กับเพื่อนร่วมงานน้อย</t>
  </si>
  <si>
    <t>ใช้​ cloud computer โดยเช่าคอมพิวเตอร์ที่มี ram สูง​ประมวลผลเร็ว แต่ตัวพนักงานยังถือ laptop เบาๆ ไปนั่งทำงานตามคาเฟ่​ได้อยู่​</t>
  </si>
  <si>
    <t>Sa &amp;&amp; dev</t>
  </si>
  <si>
    <t>Innovation design &amp; developer</t>
  </si>
  <si>
    <t>ฟังความคิดเห็นในเป็นระยะ</t>
  </si>
  <si>
    <t>เหมาะกับคนที่โฟกัสกับการทำงาน เช่น โปรแกรมเมอร์ ไม่เหมาะกับคนที่ต้องประสานงานจำนวนมากๆ</t>
  </si>
  <si>
    <t>มีเวลามากขึ้น เนื่องจากไม่เดินทาง ลดเรื่องไร้สาระลง ทำให้ได้มากขึ้น แต่ปฏิสัมพันธ์น้อยลง ไม่สามารถเข้าใจในภาพรวมได้</t>
  </si>
  <si>
    <t>ความสัมพันธ์น้อยแต่เหมาะกับคน introvert</t>
  </si>
  <si>
    <t>ไม่ต้องตื่นเช้าและไม่เสียเวลาในการเดินทาง</t>
  </si>
  <si>
    <t>คุยกับคนในทีมน้อยลง</t>
  </si>
  <si>
    <t>3,2,ตอนนี้ข้าพเจ้ากำลังกักตัว(quarantine)หรือเพิ่งกักตัวไปไม่นาน(โดยไม่เดินทางออกจากบ้านหรือที่พัก)</t>
  </si>
  <si>
    <t>พัฒนาระบบ Document approval มาใช้แทนการอนุมัติเอกสารแบบเดิมๆ</t>
  </si>
  <si>
    <t>มีสมาธิในการทำงานมากขึ้นเวลาทำงานในส่วนของตัวเอง</t>
  </si>
  <si>
    <t>ประหยัดเวลาการเดินทาง</t>
  </si>
  <si>
    <t>เพิ่มเงินช่วยเหลือ</t>
  </si>
  <si>
    <t>ชอบการทำงานที่บ้านมาก สามารถจัดการชีวิตส่วนตัวและเรื่องงานได้อย่างลงตัว</t>
  </si>
  <si>
    <t>ได้ทำงานบ้านช่วงพัก ทำให้ไม่ต้องเก็บไว้ทำเสาร์อาทิตย์เหมือนตอนทำงานที่ office</t>
  </si>
  <si>
    <t>relax กว่า ได้เวลาในการทำงานและกิจกรรมอื่นๆ เยอะขึ้น ไม่ต้องเสียเวลาเดินทางไปทำงาน</t>
  </si>
  <si>
    <t>ทานอาหารซ้ำซาก</t>
  </si>
  <si>
    <t xml:space="preserve">สนับสนุนค่าไฟ  </t>
  </si>
  <si>
    <t xml:space="preserve">ไม่เสียเวลาอยู่บนท้องถนน </t>
  </si>
  <si>
    <t>สถานที่ไม่เหมาะสม  ไม่มีเส้นแบ่งเวลางานกับเวลาชีวิตส่วนตัว</t>
  </si>
  <si>
    <t>ค่าใช้จ่าย ค่าไฟ</t>
  </si>
  <si>
    <t>เหนื่อย ไม่มีเวลาให้ชีวิตส่วนตัว</t>
  </si>
  <si>
    <t>ลดความกดดัน</t>
  </si>
  <si>
    <t>เสียเวลาอธิบายคนอื่นนานขึ้น</t>
  </si>
  <si>
    <t>คนลาออกเยอะ หาคนใหม่ยาก</t>
  </si>
  <si>
    <t>ลง timesheet ละเอียดกว่าตอนไปออฟฟิศ</t>
  </si>
  <si>
    <t>ได้ใช้อุปกรณ์อย่างดีที่ลงทุนซื้อเอง</t>
  </si>
  <si>
    <t>ประหยัดเวลาเดินทางที่ไม่เกิดประโยชน์ ได้ใช้เวลากับครอบครัว</t>
  </si>
  <si>
    <t>ไม่มีจังหวะให้หยุดพัก</t>
  </si>
  <si>
    <t>Product owner</t>
  </si>
  <si>
    <t>ได้ focus ในงาน ทำงานได้เยอะกว่าไป office</t>
  </si>
  <si>
    <t>มีความจำเจ ใช้พลังงานน้อย ทำงานเลยเวลาทำงานเป็นประจำ และถูกรบกวนในวันหยุด</t>
  </si>
  <si>
    <t>ลดการประชุมที่ไม่จำเป็น</t>
  </si>
  <si>
    <t>ไม่ต้องเสียเงินเยอะ</t>
  </si>
  <si>
    <t>ไม่ได้ออกไปข้างนอกเจอใคร อยู่แต่บ้านทั้งวัน</t>
  </si>
  <si>
    <t>Application Specialist</t>
  </si>
  <si>
    <t>ลดภาระค่าเดินทาง</t>
  </si>
  <si>
    <t>เวลาทำงานมากขึ้น</t>
  </si>
  <si>
    <t>ux designer</t>
  </si>
  <si>
    <t>สนับสนุนการตรวจอาการป่วยทางจิต</t>
  </si>
  <si>
    <t>มีกิจกรรมต่างๆเพื่อให้พนักงานได้ทำความรู้จักมากขึ้น และมีประชุมอัพเดทสถานการณ์บริษัทในวันแรกของเดือนในทุกๆเดือน</t>
  </si>
  <si>
    <t>จัดสรรเวลาได้ มีความยืดหยุ่นมากกว่าที่ทำงาน หากอจกรรมอื่นในรอบบ้านได้ง่ายขึ้น</t>
  </si>
  <si>
    <t xml:space="preserve">มีการออกกำลังที่น้อยลง จัดสรรการทำงานลำบาก </t>
  </si>
  <si>
    <t>แจกATKสำหรับตรวจไปSITEลูกค้า</t>
  </si>
  <si>
    <t>ได้ทำกิจกรรมเสริม(ช่วงพัก)หรือธุระระยะสั้นแบบไม่ต้องลากิจได้</t>
  </si>
  <si>
    <t>สบายขึ้น ไม่ต้องรีบตื่นเพื่อเผื่อเวลาในการเดินทาง สัตว์เลี้ยงไม่เหงา ทำงานได้ต่อเนื่องแม้เลยเวลาปกติ ฝึกจัดสรรบริหารการทำงานตัวเองไปในตัว ไม่เสียตังกินอาหารนอกบ้านเยอะ</t>
  </si>
  <si>
    <t>มีสมาธิจดจ่อน้อยลง ได้คุยกับคนอื่นน้อยลง คิดไม่ออกจะกินไร</t>
  </si>
  <si>
    <t>เรื่องของการนำ Agile มาใช้กับคนเก่าๆ ด้วย software ใหม่ๆ และ ผลักดันให้คนเหล่านั้นมีความเข้าใจถึงความสำคัญ และ active กับมันมากยิ่งขึ้น</t>
  </si>
  <si>
    <t>ทำงานกันไม่เป็นเวลา กลางวันไม่พัก ตอนเย็นไม่เลิก</t>
  </si>
  <si>
    <t>ปัจจุบันเป็นการเข้าออฟฟิศสลับ wfh สัปดาห์เว้นสัปดาห์ ซึ่งบางครั้ง</t>
  </si>
  <si>
    <t>ไม่ปวดหัวเรื่องเดินทาง การกิน การนอนอย่างเพียงพอ</t>
  </si>
  <si>
    <t>ได้นอนพักผ่อนเพียงพอ ได้เล่นกับแมว ได้อยู่กับครอบครัว</t>
  </si>
  <si>
    <t>คุยงานยากขึ้น</t>
  </si>
  <si>
    <t>สมาชิกในบ้านของข้าพเจ้า(แต่ไม่ใช่ญาติ)เคยได้รับการตรวจและติดเชื้อCOVID-19,ตอนนี้ข้าพเจ้ากำลังกักตัว(quarantine)หรือเพิ่งกักตัวไปไม่นาน(โดยไม่เดินทางออกจากบ้านหรือที่พัก)</t>
  </si>
  <si>
    <t>การเดินทาง</t>
  </si>
  <si>
    <t>ความเข้าใจในการสื่อสารลดลง ระยะเวลารอคอยคำตอบนานขึ้น</t>
  </si>
  <si>
    <t>ค่าใช้</t>
  </si>
  <si>
    <t>ได้มีเวลาในการทำงานดีขึ้น ไม่เสียอารมณ์กับการเดินทางโดยเฉพาะหน้าฝน</t>
  </si>
  <si>
    <t>ค่าใช้จ่ายส่วนเพิ่มมากขึ้น</t>
  </si>
  <si>
    <t>ไม่ได้เจอเพื่อนที่ทำงาน</t>
  </si>
  <si>
    <t>เพิ่มเงิน</t>
  </si>
  <si>
    <t>ดูหนัง กินเลี้ยงปกติเลย</t>
  </si>
  <si>
    <t>เมื่อไม่มีกรอบเวลา เราก็รีบทำรีบเสร็จรีบว่าง</t>
  </si>
  <si>
    <t>ไม่มีปัญหา</t>
  </si>
  <si>
    <t>เงินเยอะขึ้น</t>
  </si>
  <si>
    <t>งานเสร็จเร็ว เวลาว่างเยอะ</t>
  </si>
  <si>
    <t>มีเวลาส่วนตัวมากขึ่น ตื่นสาย และ สามารถทำกิจกรรมอื่นๆในระหว่างการทำงานได้</t>
  </si>
  <si>
    <t>ประชุมเยอะจนแทบไม่ได้ทำงาน</t>
  </si>
  <si>
    <t>ถ้าอยู่บ้านก็สบายแต่ค่าไฟขึ่น และทางบริษัทไม่ได้ support ในเรื่องนี้ แต่ถ้าออกไปทำงานที่ร้านกาแฟก็ไม่มีสมาธิ</t>
  </si>
  <si>
    <t>สามารถหลีกเลี่ยงการคุยกับเพื่อนร่วมงานบางคนในเรื่องที่ไม่จำเป็นหรือทำให้รู้สึกแย่ ลดความรู้สึกตึงเครียดหรืออึดอัดกับเพื่อนร่วมงานบางคนที่เป็นสาเหตุที่ทำให้ไม่มีความสุขในการทำงาน</t>
  </si>
  <si>
    <t>ทำให้มีความสุขในการทำงานขึ้น มีเวลาให้ตัวเอง ไม่กดดันเหมือนตอนนั่งในออฟฟิศที่ยิ่งคิดงานไม่ออกยิ่งเครียด แต่ก็ไปไหนไม่ได้นอกจากเข้าห้องน้ำให้โล่งแล้วกลับมาเครียดต่อ แต่พออยู่บ้านสามารถแรับเวลาการทำงานได้ถ้าเครียดมากๆก็สามารถไปทำอย่างอื่นคลาดเครียดได้แล้วค่อยมาทำต่อ</t>
  </si>
  <si>
    <t>มีความยืดหยุ่นในการทำงานมากขึ้น</t>
  </si>
  <si>
    <t>ปฏิสัมพันธ์​กับคนในทีมแบบ f2f น้อยลง ทำให้อาจจะสนิทสนมน้อยกว่าเจอหน้ากันจริงๆ</t>
  </si>
  <si>
    <t>ลดเวลาเดินทาง ได้พักผ่อนมากขึ้น ได้คุณภาพของงานมากขึ้น</t>
  </si>
  <si>
    <t>ปฏิสัมพันธ์กับเพื่อนร่วมงานต่างทีมน้อยลง</t>
  </si>
  <si>
    <t>ขาดการสร้างสัมพันธ์กับเพื่อนร่วมงาน</t>
  </si>
  <si>
    <t>3,เพื่อสนิทของข้าพเจ้าเคยได้รับการตรวจและติดเชื้อCOVID-19</t>
  </si>
  <si>
    <t>ช่วยค่าไฟหรือค่าอินเตอร์เน็ต</t>
  </si>
  <si>
    <t>ไม่ได้เจอกันหรือทำกิจกรรมร่วมกันหลังเลิกงาน</t>
  </si>
  <si>
    <t>มีเวลากับงานมากขึ้น</t>
  </si>
  <si>
    <t xml:space="preserve">ทำงานจนเกินเวลาส่วนตัวไปมาก ลากยาวเช้ายันค่ำหรือข้ามวันได้เลย </t>
  </si>
  <si>
    <t>เพื่อสนิทของข้าพเจ้าเคยได้รับการตรวจและติดเชื้อCOVID-19</t>
  </si>
  <si>
    <t>ปรับเวลาทำงานได้</t>
  </si>
  <si>
    <t>ประสิทธิภาพแย่ลง เนื่องจากมีเวลาให้ลูกค้าน่อยลง</t>
  </si>
  <si>
    <t>คุยกันน้อยลง สนิทน้อยลง</t>
  </si>
  <si>
    <t>สอนงานลูกค้าลำบากมาก</t>
  </si>
  <si>
    <t>No</t>
  </si>
  <si>
    <t>อยู่กับครอบครัวมากขึ่น</t>
  </si>
  <si>
    <t>เกือบทุกอย่างยกเว้นข้อข้างบน</t>
  </si>
  <si>
    <t>ลดการพูดคุย</t>
  </si>
  <si>
    <t>ลดเวลาการเดินทาง ตื่นสายได้มากขึ้นนอนได้เต็มอิ่ม</t>
  </si>
  <si>
    <t>แยกระหว่างงานกับกิจกรรมพักผ่อนไม่ได้</t>
  </si>
  <si>
    <t>มีเวลาอยู่กับครอบครัวมากขึ้น ไมต้องเดินทาง</t>
  </si>
  <si>
    <t>เส้นแบ่งเวลาทำงานกับเวลาส่วนตัว</t>
  </si>
  <si>
    <t>Management</t>
  </si>
  <si>
    <t>ควรเตรียม environment ต่างๆให้พร้อม และแจ้งคนในครอบครัวเมื่อต้องใช้สถานที่หรือความเงียบในการประชุมสำคัญ</t>
  </si>
  <si>
    <t>สามารถแบ่งเวลาในการทำงานและใช้เวลากับครอบครัวได้อย่างมีประสิทธิภาพ</t>
  </si>
  <si>
    <t>CXO</t>
  </si>
  <si>
    <t>ที่บริษัทมีการดำเนินการ Work From Anywhere มาก่อนที่โควิดจะมา ทำให้สามารถปรับตัวได้ไว แต่ก็ยังมีเรื่องของ culture และ engagement ที่ยังคิดไม่ตกว่าจะทำอย่างไรเพื่อสร้างสิ่งเหล่านี้ในช่วงนี้ได้</t>
  </si>
  <si>
    <t>มีเวลามากขึ้น โฟกัสกับงานได้มากขึ้น</t>
  </si>
  <si>
    <t>ขาดการพบเจอผู้คน ทำให้การสร้าง engagement และ culture เป็นไปได้ยาก</t>
  </si>
  <si>
    <t>DevOps</t>
  </si>
  <si>
    <t>มีปฏิสัมพันธ์กันน้อยลง</t>
  </si>
  <si>
    <t>การทำงานที่บ้าน ดี ที่ได้พักสมองบ้าง ตื่นสาย-ปรับเวลางานใหม่บ้าง (หากเป็นงานที่ไม่เร่ง และต้องใช้ความคิด) เพิ่มความยืดหยุ่นให้กับชีวิต ไม่ต้องเครียดเกินไป แวะไปพักสายตาโดยที่ไม่มีใครคอยจับผิดได้ สามารถลุกไปเข้าห้องน้ำ กินน้ำ กินขนมได้ตลอดโดยที่ไม่ต้องเกรงใจใคร ทำให้เกิดความสบายใจในการใช้ชีวิตมากขึ้น
แต่ในขณะเดียวกันก็เกิดความเครียดสะสมที่ไม่ได้ออกไปทำกิจกรรมนอกบ้าน หรือพบเจอผู้คนอย่างที่ควรจะเป็น บางวันก็เริ่มหมดไฟ เหมือนหายใจทิ้งไปวันๆ โดยไม่รู้สึกถึงการใช้ชีวิต
คิดว่าถ้าหมด COVID ควรจะมีการสลับกันระหว่าง เข้าออฟฟิต และทำงานที่บ้าน โดยที่แต่ละทีมก็แบ่งวันกันเข้า หรือถ้ามีเหตุจำเป็นในวันที่ทีมเข้าออฟฟิต ก็สามารถขอทำงานที่บ้านได้ เพื่อไม่ให้คนทำงานเกิดภาวะหมดไฟ ทั้งหมดไฟจากการอยู่แต่บ้าน และหมดไฟจากการที่ต้องเดินทางไปทำงานวันละหลายชั่วโมง และเพิ่มเวลาในการใช้ชีวิตร่วมกับครอบครัว</t>
  </si>
  <si>
    <t>เวลาในการทำงานยืดหยุ่น มีเวลาทำกิจกรรมกับคนในครอบครัวมากขึ้น สุขภาพดี ประหยัดค่าเดินทาง</t>
  </si>
  <si>
    <t>มีสิ่งรบกวน นั่งทำงานไม่สบาย อุณหภูมิผันผวนตลอดตามสภาพอากาศ ไม่ค่อยมีร้านอาหารให้เลือก</t>
  </si>
  <si>
    <t>สื่อสารกับเพื่อนร่วมงานยาก</t>
  </si>
  <si>
    <t>สื่อสารกับยาก ไม่รู้จักคนใหม่ๆในทีม</t>
  </si>
  <si>
    <t>ประหยัดค่าอาหาร</t>
  </si>
  <si>
    <t>มีเวลาพักผ่อนมากขึ้น มีความสะดวกสบายในการทำงาน ได้ออกกำลังกาย</t>
  </si>
  <si>
    <t>ขาดเส้นเเบ่งเวลากับการทำงาน สภาพอากาศ เสียงรบกวน</t>
  </si>
  <si>
    <t>เวลาเดินทางน้อยลง</t>
  </si>
  <si>
    <t>ไม่ได้ขยับไปไหน</t>
  </si>
  <si>
    <t>ไม่เชิงว่าเป็นผลกระทบ แต่ก็ทำให้คนในทีมต้องลางาน คือตอนลาไปฉีดวัคซีน และถ้าโดนผลข้างเคียงก็ต้องลาเพิ่มอีกจนกว่าจะหายปกติ</t>
  </si>
  <si>
    <t xml:space="preserve">ไม่ต้องเดินทาง เวลางานยืดหยุ่นขึ้น ได้ใกล้ชิดกับครอบครัวมากขึ้น </t>
  </si>
  <si>
    <t>สภาพแวดล้อมไม่เหมาะกับการทำงาน โฟกัสงานได้น้อยลง บรรยากาศจำเจทำให้รู้สึกหมดกำลังใจในการทำงาน รู้สึกเบื่อเพราะวนอยู่แต่สถานที่เดิมๆภายในบ้านและรอบบ้าน</t>
  </si>
  <si>
    <t>ลดเวลาการเดิน ประหยัดค่าใช้จ่ายในการเดินทาง , ได้กลับมาทำงานจากบ้านที่ต่างจังหวัด ทำให้ประหยัดค่าใช้จ่ายในการใช้ชีวิตในกรุงเทพ</t>
  </si>
  <si>
    <t>เสียงรบกวนจากที่บ้าน , การสื่อสารระหว่างเพื่อนร่วมงานทำได้ยากขึ้น</t>
  </si>
  <si>
    <t>5,0</t>
  </si>
  <si>
    <t>HR​ safety​ officer</t>
  </si>
  <si>
    <t>VPN   ค่าโทรศัพท์​ internet</t>
  </si>
  <si>
    <t>_</t>
  </si>
  <si>
    <t>ค่าใช่จ่าย​ Internet​    การติดต่อประสานงาน</t>
  </si>
  <si>
    <t>ดูแลสุขภาพ</t>
  </si>
  <si>
    <t>ยืดยุ่ย​ไม่เมียเวลาเดินทาง</t>
  </si>
  <si>
    <t>การประสานงาน</t>
  </si>
  <si>
    <t>Application Security Engineer</t>
  </si>
  <si>
    <t>ควรจะมี online event แบบไม่เป็นทางการ ระหว่างแต่ละทีมในบริษัทมากขึ้น</t>
  </si>
  <si>
    <t>ถูก interrupt บ่อยจากคนที่มากดออด (เช่นพนักงานส่งของ)
พนักงานใหม่จะมีปฏิสัมพันธ์กับคนในทีมอื่นน้อย เพราะคนส่วนใหญ่จะคุยกันกับคนที่รู้จักอยู่แล้ว
บางคนได้ประชุมทางออนไลน์ด้วยบ่อย แต่แทบจะไม่เคยเห็นหน้าเลยเพราะไม่ได้เปิดกล้อง เลยรู้สึกไม่สนิท
ในช่วงการทำงานที่บ้าน ทักษะของหัวหน้าทีมมีความสำคัญมากในการอัพเดทข้อมูลให้คนในทีมรู้ว่าเกิดอะไรขึ้นบ้าง หรือแนะนำคนในทีมให้ทีมอื่นรู้จัก ซึ่งทักษะนี้มีความแตกต่างกันมากในแต่ละหัวหน้าทีม เป็นสิ่งที่บริษัทควรจะสอนหัวหน้าทีมให้มีมาตรฐานเดียวกัน</t>
  </si>
  <si>
    <t>มีความยืดหยุ่นสูงกว่า</t>
  </si>
  <si>
    <t>ขาดปฏิสัมพันธ์กับเพื่อนร่วมทีม, ไม่รู้ว่าคนอื่นกำลังทำอะไรอยู่, รู้สึกถูก excluded ในบางสถานการณ์</t>
  </si>
  <si>
    <t>Technical Director</t>
  </si>
  <si>
    <t>Flexible working hours. Less time to travel</t>
  </si>
  <si>
    <t>Lack of face to face interaction with the team.</t>
  </si>
  <si>
    <t>ให้เงินค่าใช้จ่าย ค่าไฟ ค่าเน็ต</t>
  </si>
  <si>
    <t>การติดต่อสื่อสารเป็นไปได้ยากในการเก็บrequirementต่างๆ กว่าอีกฝ่ายจะตอบ เสียเวลานาน</t>
  </si>
  <si>
    <t>IT and Digital Financial Controller</t>
  </si>
  <si>
    <t xml:space="preserve">Difficulty to do collaboration as group </t>
  </si>
  <si>
    <t>Flexible time and no waste on transportation time</t>
  </si>
  <si>
    <t>Sone meeting is not work on conference call.</t>
  </si>
  <si>
    <t>Software Product Manager</t>
  </si>
  <si>
    <t>ปรับปรุงนโยบายการทำงานในลักษณะ hybrid ให้ชัดเจน และจะเป็นอนาคตของธุรกิจต่อไป</t>
  </si>
  <si>
    <t>ทำให้อัตรา turnover สูงขึ้น</t>
  </si>
  <si>
    <t xml:space="preserve">เวลาถูกแบ่งย่อย ทำให้สามารถเข้าประชุมได้เข้าประชุมได้มากขึ้น ทั้งกับลูกค้าและทีมงาน </t>
  </si>
  <si>
    <t>ใกล้ชิดครอบครัว (แม่ พี่น้อง) มากขึ้น, เพิ่มโอกาสในการออกกำลังกาย</t>
  </si>
  <si>
    <t>การไม่ได้พบปะ สังสรรค์กับเพื่อนร่วมงาน</t>
  </si>
  <si>
    <t>กิจกรรมเพื่อให้ได้ พบปะ เพื่อนร่วมงาน เนื่องจากภาวะ wfh</t>
  </si>
  <si>
    <t xml:space="preserve">อยากให้ยังคงไว้เรื่องเวลาในกรณีที่ทำงานร่วมกับผู้อื่น หรือแผนกอื่น หรืออาจจะหาช่วงเวลาเพื่อประสานงาน ที่เหมาะสม (ในกรณีสืบเนืองจากปัญหา WFH) เพื่อไม่เกิดผลกระทบเรื่องการสื่อสาร ประสานงานกับผู้เกี่ยวข้อง </t>
  </si>
  <si>
    <t>มีเวลาใช้ชีวิต ดูแลตัวเองมากขึ้น</t>
  </si>
  <si>
    <t>สภาพโดยรวมนั่งไม่สบาย เน็ตไม่ดีเท่าของออฟฟิศ</t>
  </si>
  <si>
    <t>CTO</t>
  </si>
  <si>
    <t>โดนรบกวนจากคนในครอบครัว</t>
  </si>
  <si>
    <t>Co-pay ค่าใช้จ่ายด้าน facilities ต่างๆ ที่ควรเป็นขององค์กรแต่พนักงานต้องจ่าย เช่น ค่าไฟฟ้า ค่าใช้จ่ายเครือข่ายสื่อสาร</t>
  </si>
  <si>
    <t>บรรยากาศการทำงานในสถานทำงานมีผลต่อประสิทธิผลในการทำงาน (office ส่งเสริมประสิทธิผลมากกว่า)</t>
  </si>
  <si>
    <t>มีเวลาเตรียมตัว เตรียมงานก่อนการประชุมมากขึ้น (ไม่ต้องแต่งตัวทางการ ประหยัดเวลาเดินทาง)</t>
  </si>
  <si>
    <t>การปฏิสัมพันธ์ระหว่าง หัวหน้าและเพื่อนร่วมงาน</t>
  </si>
  <si>
    <t>Engineering Manager</t>
  </si>
  <si>
    <t>ยืดหยุ่น</t>
  </si>
  <si>
    <t>ไม่ได้มีปฎิสัมพันธ์กับเพื่อนร่วมงานแบบ F2F</t>
  </si>
  <si>
    <t>การช่วยออกค่าใช้จ่ายที่ต้องใช้ในเวลาอยู่บ้านยาวๆ</t>
  </si>
  <si>
    <t>สามารถยืดหยุ่นเวลาในการทำงานได้ ในบางครั้งสามารถทำงานไดโดยไม่ต้องกังวลถึงเวลา</t>
  </si>
  <si>
    <t>ได้รับการรบกวนทางดสียงจากสภพาแวดล้อมอยู่เสมอ</t>
  </si>
  <si>
    <t>Application Support</t>
  </si>
  <si>
    <t>Hybrid work between working from home and office in the future</t>
  </si>
  <si>
    <t>ไม่เสียเวลาเดินทางไปออฟฟิศ</t>
  </si>
  <si>
    <t>ขาดการปฏิสัมพันธ์กับเพื่อนร่วมงาน ทำให้การประสานงานยากขึ้น</t>
  </si>
  <si>
    <t>ช่วยเหลือค่าไฟฟ้า</t>
  </si>
  <si>
    <t>อยู่ในช่วงเริ่มงานใหม่ การปรับประบตัวแชะเรียนรู้เยอะ</t>
  </si>
  <si>
    <t>ขาดเรียนรู้งาน แบบครูพักลักจำ</t>
  </si>
  <si>
    <t>ไม่เสียเวลาเดินทาง, ประหยัดค่าเดินทาง, ไม่เสี่ยงติดฝนหรือน้ำท่วม, ไม่ต้องเจอปัญหารถติด,รู้สึกว่าการมีรถยนต์เป็นเรื่องจำเป็นน้อยลง</t>
  </si>
  <si>
    <t>ขาดปฎิสัมพันธ์กับเพื่อน , ขาดการเรียนรู้ที่จากการสังเกตุการทำงานของคนอื่นๆ, ขาดคนไกด์นำเรื่องที่ควรรู้</t>
  </si>
  <si>
    <t>ประหยัดเวลามาก แต่ก็ทำให้ต้องควบคุมเวลาที่มากด้วยเหมือนกัน</t>
  </si>
  <si>
    <t>มีเวลาในชีวิตมากขึ้น ไม่ต้องเดินทาง</t>
  </si>
  <si>
    <t>ความตั้งใจในการทำงานน้อยลง</t>
  </si>
  <si>
    <t>เป็นเรื่องน่าเบื่อเพราะแยกสถานที่ทำงานและสถานที่พักผ่อนออกจากกันไม่ได้ แต่ก็แปลกใจที่พนักงานระดับสูง ๆ เช่น C Level บอกว่า productivity เพิ่มสูงขึ้น เชื่อว่าเป็นเพราะคนเหล่านั้นมีเงิน มีบ้านเป็นของตัวเอง เทียบกับพนักงานที่อยู่แค่ในห้องเช่า หรือ คอนโดธรรมดา หรือ ต้องแชร์บ้านอยู่กับครอบครัวตัวเองหรือญาติ</t>
  </si>
  <si>
    <t>อากาศในห้องอึดอัดกว่าอากาศที่ออฟฟิศ เชื่อว่าเป็นเพราะไม่ได้เปิดแอร์ทั้งวัน และ ห้องเล็กกว่าออฟฟิศจึงมีอากาศหมุนเวียนน้อยกว่า</t>
  </si>
  <si>
    <t>น่าเบื่อ ขาดกำลังใจในการทำงาน เพราะ ต้องอยู่แต่ที่เดิม ๆ ทั้งวัน ทั้งช่วงเวลาทำงานและพักผ่อน ทำให้สมองแยกความรู้สึกอยากทำงานและพักผ่อนเล่นเกมออกจากกันไม่ได้ อีกทั้งได้เคลื่อนไหวร่างกายน้อยลง ทำให้ร่างกายมีสภาพแย่ลงกว่าปกตินิดหน่อย</t>
  </si>
  <si>
    <t>Project Manager</t>
  </si>
  <si>
    <t>Support ค่าไฟและอินเทอร์เน็ต</t>
  </si>
  <si>
    <t>ไม่เสียเวลาเดินทาง ไม่เสียค่าเดินทาง</t>
  </si>
  <si>
    <t>ไม่มี work life balance, ไม่มีพื้นที่ที่ support การทำงาน</t>
  </si>
  <si>
    <t>Development director</t>
  </si>
  <si>
    <t>คนส่วนใหญ่ (เช่นทีมงานใน บ. ผม) ถ้าไม่มีความกดดัน ความเร็วในการทำงานและคุณภาพจะต่ำลงตนน่าตกใจครับ</t>
  </si>
  <si>
    <t>ถ้ามีเด็ก หรือ ญาติผู้ใหญ่ที่มีปัญหาด้านสุขภาพ เราจะกังวลมากขึ้นครับ</t>
  </si>
  <si>
    <t>ค่าไฟครับ</t>
  </si>
  <si>
    <t>แรงเหลือครับ</t>
  </si>
  <si>
    <t>ไม่โฟกัสเท่ากับการทำที่ทำงาน แต่กระทบเฉพาะกับงานยากๆ บางงานครับ</t>
  </si>
  <si>
    <t>อุปกรณ์ไม่พร้อม</t>
  </si>
  <si>
    <t>รายจ่ายที่ต่ำ</t>
  </si>
  <si>
    <t>ไม่ได้เจอเพื่อร่วมงาน</t>
  </si>
  <si>
    <t>สัตว์เลี้ยงมีความสุขมากขึ้น เพราะเราได้อยู่บ้านดูแลสัตว์เลี้ยง</t>
  </si>
  <si>
    <t>ดีกว่าทำงานที่ออฟฟิศในหลายด้าน ที่ดีที่สุดคือมีเวลาส่วนตัวมากขึ้น ไม่ต้องไปเสียเวลากันการเดินทาง มีเวลาพัฒนาตัวเอง</t>
  </si>
  <si>
    <t>เดินน้อยลง เพราะอยู่แต่ที่เดิม ปกติไปออฟฟิศมันจะได้เดินเยอะตอนไปพักเที่ยง</t>
  </si>
  <si>
    <t>Sales Engineer</t>
  </si>
  <si>
    <t>ไม่รู้สึกว่ามีคนจับจ้อง</t>
  </si>
  <si>
    <t>ลดค่าใช่จ่ายในการเดินทาง</t>
  </si>
  <si>
    <t>ขาดการปฏิสัมพันธ์</t>
  </si>
  <si>
    <t>ลดเวลาเดินทาง ลดความเครียดจากลดติด</t>
  </si>
  <si>
    <t>มีน้อย แค่ตอนลูกให้ช่วยสอนหนังสือจากเรื่องที่เรียน</t>
  </si>
  <si>
    <t>ปรับปรุงเรื่องนโยบายให้เป็นรูปธรรมในระยะยาวว่าจะดำเนินบริษัทอย่างไรในยุณ New Normal</t>
  </si>
  <si>
    <t>เพื่อจะคงให้ประสิทธิภาพในการทำงานให้เท่าเดิม ก็จะมีช่วงที่ต้องปรับตัว และใช้เวลาในการทำงานมากกว่าเดิม</t>
  </si>
  <si>
    <t>ไม่มีละคับ</t>
  </si>
  <si>
    <t>การเอาเปรียบเพื่อนร่วมงานจากการทำงานแบบอยู่บ้าน (กรณีนี้หมายถึง การจงใจที่จะเอาเปรียบ) เช่น ปิดช่องทางการติดต่อสื่อสาร</t>
  </si>
  <si>
    <t>เปลี่ยนแปลงวิธีทำงาน และปรับ Mindset ของคนทำงานรุ่นเก่า ๆ ให้ยอมรับเรื่องการทำงานแบบ Remote (แบบจริงจัง) ซึ่งสามารถต่อยอดให้มันดีขึ้นได้ในอนาคต ดึงจุดดีมาใช้ แก้ไขจุดด้อยด้วย Technology/Infrastructure ใหม่ ๆ</t>
  </si>
  <si>
    <t>Work Life Balance ไม่ได้ดีขึ้นแต่อย่างใด --- แย่กว่าเดิมในบางครั้ง</t>
  </si>
  <si>
    <t>Software Engineer</t>
  </si>
  <si>
    <t>ทำโปรเจคจบอยู่บ้าน 10 เดือนทำงานได้ 3 อาทิตย์ WFH ไปอีก 3 เดือนคิดว่าสนุกไหมหละ</t>
  </si>
  <si>
    <t>Data Engineer/Architect</t>
  </si>
  <si>
    <t>Focus</t>
  </si>
  <si>
    <t>บรรยากาศบางเวลาก็ไม่เหมือน office เราต้องมีความรับผิดชอบมากขึ้นด้วยตัวเอง</t>
  </si>
  <si>
    <t>Student</t>
  </si>
  <si>
    <t>ผมเริ่มทำงานที่บ้านประมาณ 1 ปีก่อน COVID แล้ว</t>
  </si>
  <si>
    <t>การฟังเพลงช่วยดึงความสนใจออกจากการง่วงนอน อยากพักผ่อนได้</t>
  </si>
  <si>
    <t>การคิดเมนูอาหารแต่ละมื้อ, สร้างสภาวะที่บังคับไม่ให้ผลัดวันประกันพุ่งได้ลำบากนิดหน่อย</t>
  </si>
  <si>
    <t>หาพนักงานมาช่วยงาน</t>
  </si>
  <si>
    <t>ไม่มีสวัสดิการกินเลี้ยง</t>
  </si>
  <si>
    <t>ไม่มั่นใจว่าเจ้านายคิดว่าเราอู้งานรึเปล่า ทั้งที่เราทำงานเต็มที่เกินเวลา</t>
  </si>
  <si>
    <t>ลดเวลาเดินทาง</t>
  </si>
  <si>
    <t>ไม่รู้สึกว่าจะได้รับความก้าวหน้าในอาชีพ ทำดีไม่มีใครเห็น</t>
  </si>
  <si>
    <t>เลิกตามงานนอกเวลางาน</t>
  </si>
  <si>
    <t>HR ควรมีวิธีการที่ออกมาเพื่อสนับสนุน</t>
  </si>
  <si>
    <t>ค่าไฟฟ้าเพิ่มขึ้น</t>
  </si>
  <si>
    <t>ได้ไปเที่ยว</t>
  </si>
  <si>
    <t xml:space="preserve">ประสานงานยากขึ้น เนื่องจากความพร้อมแต่ละคนไม่เท่ากัน </t>
  </si>
  <si>
    <t>ยากในเรื่องคุมคุณภาพ</t>
  </si>
  <si>
    <t>ตามงานยาก คุยงานยากไม่เหมือนนั่งใกล้กัน</t>
  </si>
  <si>
    <t>มีเวลาส่วนตัวมากขึ้น</t>
  </si>
  <si>
    <t>สะดวก รวดเร็ว คล่องตัว แต่ติดตามงานยากขึ้น</t>
  </si>
  <si>
    <t>ประชุมบ่อยพักไม่ตรงเวลา</t>
  </si>
  <si>
    <t>ยังไม่สนับสนุนค่าใช้จ่ายสิ่งของเพิ่มเติม</t>
  </si>
  <si>
    <t>มีเวลามากขึ้น</t>
  </si>
  <si>
    <t>มีอิสระ และ เวลา มากขึ้น</t>
  </si>
  <si>
    <t>ไม่มีการช่วยเหลือใดๆเลย มีแต่ Policy แปลกๆ เช่น ขอให้เข้ามาทำงานที่ออฟฟิตบ้าง</t>
  </si>
  <si>
    <t>ประสิทธิภาพวัดจากงาน แต่มันใช้เวลาส่วนตัวมากขึ้น เพื่อให้ได้ผลเท่าเดิม</t>
  </si>
  <si>
    <t>สื่อสารยาก บางครั้งต้องทำตัวอย่างเพิ่ม เพื่อให้น้องๆเข้าใจ</t>
  </si>
  <si>
    <t>แม่ใช่งานบ่อย</t>
  </si>
  <si>
    <t>ใช้เวลาได้มากขึ้นกับคนที่บ้าน</t>
  </si>
  <si>
    <t xml:space="preserve">งานเยอะขึ้นแบบงงๆ </t>
  </si>
  <si>
    <t>วิศวกร</t>
  </si>
  <si>
    <t>การสื่อสารข้อมูล</t>
  </si>
  <si>
    <t>เงียบสงบ</t>
  </si>
  <si>
    <t>เรื่องอุปกรณ์</t>
  </si>
  <si>
    <t>devops</t>
  </si>
  <si>
    <t xml:space="preserve">โฟกัสกับงานได้มากขึ้น </t>
  </si>
  <si>
    <t>ปรึกษาคนในทีมได้ยาก , ทำงานมากขึ้น , เปลืองค่าใช้จ่ายมากขึ้น , ประสิทธิภาพของการทำงานลดลง</t>
  </si>
  <si>
    <t>ไม่อยากทำงานที่บ้านแล้วจ้า</t>
  </si>
  <si>
    <t>สบายไม่ต้องเดินทาง ไม่ต้องแต่งตัว ประหยัดค่าใช้จ่าย</t>
  </si>
  <si>
    <t>ได้งานน้อย ติดต่อ สื่อสาร งานกับผู้อื่นยาก ขาดปฏิสัมพันธ์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</si>
</sst>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2" fillId="0" borderId="0" xfId="0" applyNumberFormat="1" applyFont="1"/>
    <xf numFmtId="4" fontId="1" fillId="0" borderId="0" xfId="0" applyNumberFormat="1" applyFont="1"/>
    <xf numFmtId="164" fontId="3" fillId="0" borderId="0" xfId="0" applyNumberFormat="1" applyFont="1" applyAlignment="1">
      <alignment horizontal="right"/>
    </xf>
    <xf numFmtId="0" fontId="2" fillId="0" borderId="0" xfId="0" applyFont="1"/>
    <xf numFmtId="0" fontId="1" fillId="2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1195"/>
  <sheetViews>
    <sheetView tabSelected="1" topLeftCell="G1" workbookViewId="0">
      <selection activeCell="Y39" sqref="Y39"/>
    </sheetView>
  </sheetViews>
  <sheetFormatPr baseColWidth="10" defaultColWidth="11.1640625" defaultRowHeight="15" customHeight="1" x14ac:dyDescent="0.2"/>
  <cols>
    <col min="1" max="1" width="15.5" customWidth="1"/>
    <col min="2" max="2" width="19.1640625" customWidth="1"/>
    <col min="3" max="5" width="10.5" customWidth="1"/>
    <col min="6" max="6" width="24.1640625" customWidth="1"/>
    <col min="7" max="7" width="13.5" customWidth="1"/>
    <col min="8" max="64" width="10.5" customWidth="1"/>
    <col min="65" max="65" width="23.1640625" customWidth="1"/>
    <col min="66" max="222" width="10.5" customWidth="1"/>
  </cols>
  <sheetData>
    <row r="1" spans="1:22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/>
      <c r="GA1" s="2" t="s">
        <v>38</v>
      </c>
      <c r="GB1" s="2" t="s">
        <v>39</v>
      </c>
      <c r="GC1" s="2" t="s">
        <v>40</v>
      </c>
      <c r="GD1" s="2" t="s">
        <v>41</v>
      </c>
      <c r="GE1" s="2" t="s">
        <v>42</v>
      </c>
      <c r="GG1" s="2" t="s">
        <v>51</v>
      </c>
      <c r="GH1" s="2" t="s">
        <v>52</v>
      </c>
      <c r="GI1" s="2" t="s">
        <v>53</v>
      </c>
      <c r="GJ1" s="2" t="s">
        <v>54</v>
      </c>
      <c r="GK1" s="2" t="s">
        <v>55</v>
      </c>
      <c r="GM1" s="2" t="s">
        <v>181</v>
      </c>
      <c r="GN1" s="2" t="s">
        <v>182</v>
      </c>
      <c r="GO1" s="2"/>
      <c r="GP1" s="2" t="s">
        <v>43</v>
      </c>
      <c r="GQ1" s="2" t="s">
        <v>44</v>
      </c>
      <c r="GR1" s="2" t="s">
        <v>45</v>
      </c>
      <c r="GS1" s="2" t="s">
        <v>46</v>
      </c>
      <c r="GT1" s="2" t="s">
        <v>47</v>
      </c>
      <c r="GU1" s="2" t="s">
        <v>48</v>
      </c>
      <c r="GV1" s="2" t="s">
        <v>49</v>
      </c>
      <c r="GW1" s="2" t="s">
        <v>50</v>
      </c>
      <c r="GY1" s="2" t="s">
        <v>56</v>
      </c>
      <c r="GZ1" s="2" t="s">
        <v>57</v>
      </c>
      <c r="HA1" s="2" t="s">
        <v>58</v>
      </c>
      <c r="HB1" s="2" t="s">
        <v>59</v>
      </c>
      <c r="HC1" s="2" t="s">
        <v>60</v>
      </c>
      <c r="HD1" s="2" t="s">
        <v>61</v>
      </c>
      <c r="HE1" s="2" t="s">
        <v>62</v>
      </c>
      <c r="HF1" s="2" t="s">
        <v>63</v>
      </c>
      <c r="HH1" s="2" t="s">
        <v>183</v>
      </c>
      <c r="HI1" s="2" t="s">
        <v>184</v>
      </c>
      <c r="HJ1" s="2"/>
      <c r="HK1" s="2" t="s">
        <v>65</v>
      </c>
      <c r="HL1" s="2" t="s">
        <v>66</v>
      </c>
      <c r="HM1" s="2"/>
      <c r="HN1" s="2"/>
    </row>
    <row r="2" spans="1:222" ht="15.75" customHeight="1" x14ac:dyDescent="0.2">
      <c r="A2" s="3" t="e">
        <f>VLOOKUP(B2,#REF!,1,FALSE)</f>
        <v>#REF!</v>
      </c>
      <c r="B2" s="3">
        <v>44627.013497037035</v>
      </c>
      <c r="C2" s="2">
        <v>1</v>
      </c>
      <c r="D2" s="2" t="s">
        <v>185</v>
      </c>
      <c r="E2" s="2">
        <v>0</v>
      </c>
      <c r="F2" s="2" t="s">
        <v>186</v>
      </c>
      <c r="G2" s="2">
        <v>8</v>
      </c>
      <c r="H2" s="2">
        <v>2</v>
      </c>
      <c r="I2" s="2">
        <v>1</v>
      </c>
      <c r="J2" s="2">
        <v>2</v>
      </c>
      <c r="K2" s="2">
        <v>0</v>
      </c>
      <c r="L2" s="2">
        <v>4</v>
      </c>
      <c r="M2" s="2" t="s">
        <v>187</v>
      </c>
      <c r="N2" s="2">
        <v>3</v>
      </c>
      <c r="O2" s="2">
        <v>5</v>
      </c>
      <c r="P2" s="2">
        <v>0</v>
      </c>
      <c r="Q2" s="2">
        <v>0</v>
      </c>
      <c r="R2" s="2">
        <v>2</v>
      </c>
      <c r="S2" s="2">
        <v>-1</v>
      </c>
      <c r="T2" s="2">
        <v>-1</v>
      </c>
      <c r="U2" s="2">
        <v>0</v>
      </c>
      <c r="V2" s="2">
        <v>-1</v>
      </c>
      <c r="W2" s="2">
        <v>-1</v>
      </c>
      <c r="X2" s="2"/>
      <c r="Y2" s="2">
        <v>-1</v>
      </c>
      <c r="Z2" s="2">
        <v>1</v>
      </c>
      <c r="AA2" s="2">
        <v>1</v>
      </c>
      <c r="AB2" s="2">
        <v>4</v>
      </c>
      <c r="AC2" s="2">
        <v>4</v>
      </c>
      <c r="AD2" s="2">
        <v>4</v>
      </c>
      <c r="AE2" s="2">
        <v>2</v>
      </c>
      <c r="AF2" s="2">
        <v>4</v>
      </c>
      <c r="AG2" s="2">
        <v>3</v>
      </c>
      <c r="AH2" s="2">
        <v>3</v>
      </c>
      <c r="AI2" s="2">
        <v>3</v>
      </c>
      <c r="AJ2" s="2">
        <v>3</v>
      </c>
      <c r="AK2" s="2">
        <v>3</v>
      </c>
      <c r="AL2" s="2">
        <v>3</v>
      </c>
      <c r="AM2" s="2">
        <v>4</v>
      </c>
      <c r="AN2" s="2">
        <v>4</v>
      </c>
      <c r="AO2" s="2">
        <v>4</v>
      </c>
      <c r="AP2" s="2">
        <v>4</v>
      </c>
      <c r="AQ2" s="2">
        <v>4</v>
      </c>
      <c r="AR2" s="2">
        <v>3</v>
      </c>
      <c r="AS2" s="2">
        <v>1</v>
      </c>
      <c r="AT2" s="2">
        <v>1</v>
      </c>
      <c r="AU2" s="2">
        <v>1</v>
      </c>
      <c r="AV2" s="2"/>
      <c r="AW2" s="2">
        <v>2</v>
      </c>
      <c r="AX2" s="2">
        <v>0</v>
      </c>
      <c r="AY2" s="2">
        <v>2</v>
      </c>
      <c r="AZ2" s="2">
        <v>3</v>
      </c>
      <c r="BA2" s="2">
        <v>5</v>
      </c>
      <c r="BB2" s="2">
        <v>3</v>
      </c>
      <c r="BC2" s="2">
        <v>3</v>
      </c>
      <c r="BD2" s="2">
        <v>3</v>
      </c>
      <c r="BE2" s="2">
        <v>3</v>
      </c>
      <c r="BF2" s="2">
        <v>1</v>
      </c>
      <c r="BG2" s="2">
        <v>3</v>
      </c>
      <c r="BH2" s="2">
        <v>1</v>
      </c>
      <c r="BI2" s="2"/>
      <c r="BJ2" s="2">
        <v>2</v>
      </c>
      <c r="BK2" s="2">
        <v>0</v>
      </c>
      <c r="BL2" s="2">
        <v>2</v>
      </c>
      <c r="BM2" s="2">
        <v>8</v>
      </c>
      <c r="BN2" s="2">
        <v>8</v>
      </c>
      <c r="BO2" s="2">
        <v>8</v>
      </c>
      <c r="BP2" s="2"/>
      <c r="BQ2" s="2"/>
      <c r="BR2" s="2"/>
      <c r="BS2" s="2"/>
      <c r="BT2" s="2"/>
      <c r="BU2" s="2"/>
      <c r="BV2" s="2"/>
      <c r="BW2" s="2"/>
      <c r="BX2" s="2" t="s">
        <v>188</v>
      </c>
      <c r="BY2" s="2" t="s">
        <v>189</v>
      </c>
      <c r="BZ2" s="2" t="s">
        <v>189</v>
      </c>
      <c r="CA2" s="2" t="s">
        <v>189</v>
      </c>
      <c r="CB2" s="2" t="s">
        <v>189</v>
      </c>
      <c r="CC2" s="2" t="s">
        <v>189</v>
      </c>
      <c r="CD2" s="2" t="s">
        <v>189</v>
      </c>
      <c r="CE2" s="2" t="s">
        <v>189</v>
      </c>
      <c r="CF2" s="2" t="s">
        <v>190</v>
      </c>
      <c r="CG2" s="2" t="s">
        <v>190</v>
      </c>
      <c r="CH2" s="2" t="s">
        <v>188</v>
      </c>
      <c r="CI2" s="2" t="s">
        <v>189</v>
      </c>
      <c r="CJ2" s="2" t="s">
        <v>189</v>
      </c>
      <c r="CK2" s="2" t="s">
        <v>188</v>
      </c>
      <c r="CL2" s="2" t="s">
        <v>191</v>
      </c>
      <c r="CM2" s="2" t="s">
        <v>192</v>
      </c>
      <c r="CN2" s="2" t="s">
        <v>192</v>
      </c>
      <c r="CO2" s="2" t="s">
        <v>192</v>
      </c>
      <c r="CP2" s="2" t="s">
        <v>192</v>
      </c>
      <c r="CQ2" s="2" t="s">
        <v>192</v>
      </c>
      <c r="CR2" s="2" t="s">
        <v>193</v>
      </c>
      <c r="CS2" s="2" t="s">
        <v>192</v>
      </c>
      <c r="CT2" s="2" t="s">
        <v>192</v>
      </c>
      <c r="CU2" s="2" t="s">
        <v>192</v>
      </c>
      <c r="CV2" s="2" t="s">
        <v>192</v>
      </c>
      <c r="CW2" s="2" t="s">
        <v>192</v>
      </c>
      <c r="CX2" s="2" t="s">
        <v>193</v>
      </c>
      <c r="CY2" s="2" t="s">
        <v>192</v>
      </c>
      <c r="CZ2" s="2" t="s">
        <v>192</v>
      </c>
      <c r="DA2" s="2" t="s">
        <v>193</v>
      </c>
      <c r="DB2" s="2" t="s">
        <v>192</v>
      </c>
      <c r="DC2" s="2" t="s">
        <v>192</v>
      </c>
      <c r="DD2" s="2" t="s">
        <v>192</v>
      </c>
      <c r="DE2" s="2" t="s">
        <v>192</v>
      </c>
      <c r="DF2" s="2" t="s">
        <v>192</v>
      </c>
      <c r="DG2" s="2" t="s">
        <v>194</v>
      </c>
      <c r="DH2" s="2" t="s">
        <v>195</v>
      </c>
      <c r="DI2" s="2" t="s">
        <v>194</v>
      </c>
      <c r="DJ2" s="2" t="s">
        <v>196</v>
      </c>
      <c r="DK2" s="2" t="s">
        <v>194</v>
      </c>
      <c r="DL2" s="2" t="s">
        <v>194</v>
      </c>
      <c r="DM2" s="2" t="s">
        <v>194</v>
      </c>
      <c r="DN2" s="2" t="s">
        <v>194</v>
      </c>
      <c r="DO2" s="2" t="s">
        <v>196</v>
      </c>
      <c r="DP2" s="2" t="s">
        <v>195</v>
      </c>
      <c r="DQ2" s="2" t="s">
        <v>195</v>
      </c>
      <c r="DR2" s="2" t="s">
        <v>195</v>
      </c>
      <c r="DS2" s="2" t="s">
        <v>197</v>
      </c>
      <c r="DT2" s="2" t="s">
        <v>198</v>
      </c>
      <c r="DU2" s="2" t="s">
        <v>199</v>
      </c>
      <c r="DV2" s="2" t="s">
        <v>197</v>
      </c>
      <c r="DW2" s="2" t="s">
        <v>197</v>
      </c>
      <c r="DX2" s="2" t="s">
        <v>199</v>
      </c>
      <c r="DY2" s="2" t="s">
        <v>197</v>
      </c>
      <c r="DZ2" s="2"/>
      <c r="EA2" s="2">
        <v>1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1</v>
      </c>
      <c r="EJ2" s="2">
        <v>1</v>
      </c>
      <c r="EK2" s="2">
        <v>0</v>
      </c>
      <c r="EL2" s="2">
        <v>0</v>
      </c>
      <c r="EM2" s="2">
        <v>1</v>
      </c>
      <c r="EN2" s="2">
        <v>0</v>
      </c>
      <c r="EO2" s="2">
        <v>0</v>
      </c>
      <c r="EP2" s="2">
        <v>0</v>
      </c>
      <c r="EQ2" s="2">
        <v>1</v>
      </c>
      <c r="ER2" s="2">
        <v>0</v>
      </c>
      <c r="ES2" s="2">
        <v>1</v>
      </c>
      <c r="ET2" s="2">
        <v>0</v>
      </c>
      <c r="EU2" s="2">
        <v>1</v>
      </c>
      <c r="EV2" s="2">
        <v>0</v>
      </c>
      <c r="EW2" s="2">
        <v>1</v>
      </c>
      <c r="EX2" s="2">
        <v>0</v>
      </c>
      <c r="EY2" s="2">
        <v>1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1</v>
      </c>
      <c r="FK2" s="2">
        <v>0</v>
      </c>
      <c r="FL2" s="2">
        <v>0</v>
      </c>
      <c r="FM2" s="2">
        <v>0</v>
      </c>
      <c r="FN2" s="2">
        <v>1</v>
      </c>
      <c r="FO2" s="2">
        <v>0</v>
      </c>
      <c r="FP2" s="2">
        <v>0</v>
      </c>
      <c r="FQ2" s="2">
        <v>1</v>
      </c>
      <c r="FR2" s="2">
        <v>0</v>
      </c>
      <c r="FS2" s="2">
        <v>1</v>
      </c>
      <c r="FT2" s="2">
        <v>0</v>
      </c>
      <c r="FU2" s="2">
        <v>1</v>
      </c>
      <c r="FV2" s="2">
        <v>0</v>
      </c>
      <c r="FW2" s="2">
        <v>1</v>
      </c>
      <c r="FX2" s="2">
        <v>0</v>
      </c>
      <c r="FY2" s="2">
        <v>1</v>
      </c>
      <c r="FZ2" s="2"/>
      <c r="GA2" s="2">
        <v>4</v>
      </c>
      <c r="GB2" s="2">
        <v>4</v>
      </c>
      <c r="GC2" s="2">
        <v>4</v>
      </c>
      <c r="GD2" s="2">
        <v>4</v>
      </c>
      <c r="GE2" s="2">
        <v>4</v>
      </c>
      <c r="GG2" s="2">
        <v>3</v>
      </c>
      <c r="GH2" s="2">
        <v>5</v>
      </c>
      <c r="GI2" s="2">
        <v>3</v>
      </c>
      <c r="GJ2" s="2">
        <v>3</v>
      </c>
      <c r="GK2" s="2">
        <v>3</v>
      </c>
      <c r="GM2" s="2">
        <f t="shared" ref="GM2:GM195" si="0">SUM(GA2:GE2)</f>
        <v>20</v>
      </c>
      <c r="GN2" s="2">
        <f t="shared" ref="GN2:GN195" si="1">SUM(GG2:GK2)</f>
        <v>17</v>
      </c>
      <c r="GO2" s="2"/>
      <c r="GP2" s="2">
        <v>3</v>
      </c>
      <c r="GQ2" s="2">
        <v>1</v>
      </c>
      <c r="GR2" s="2">
        <v>1</v>
      </c>
      <c r="GS2" s="2">
        <v>1</v>
      </c>
      <c r="GU2" s="2">
        <v>2</v>
      </c>
      <c r="GV2" s="2">
        <v>0</v>
      </c>
      <c r="GW2" s="2">
        <v>2</v>
      </c>
      <c r="GY2" s="2">
        <v>3</v>
      </c>
      <c r="GZ2" s="2">
        <v>1</v>
      </c>
      <c r="HA2" s="2">
        <v>3</v>
      </c>
      <c r="HB2" s="2">
        <v>1</v>
      </c>
      <c r="HD2" s="2">
        <v>2</v>
      </c>
      <c r="HE2" s="2">
        <v>0</v>
      </c>
      <c r="HF2" s="2">
        <v>2</v>
      </c>
      <c r="HH2" s="2">
        <f t="shared" ref="HH2:HH195" si="2">SUM(GP2:GW2)</f>
        <v>10</v>
      </c>
      <c r="HI2" s="2">
        <f t="shared" ref="HI2:HI195" si="3">SUM(GY2:HF2)</f>
        <v>12</v>
      </c>
      <c r="HJ2" s="2"/>
      <c r="HK2" s="2">
        <v>8</v>
      </c>
      <c r="HL2" s="2">
        <v>8</v>
      </c>
      <c r="HM2" s="2"/>
      <c r="HN2" s="2"/>
    </row>
    <row r="3" spans="1:222" ht="15.75" customHeight="1" x14ac:dyDescent="0.2">
      <c r="A3" s="3" t="e">
        <f>VLOOKUP(B3,#REF!,1,FALSE)</f>
        <v>#REF!</v>
      </c>
      <c r="B3" s="3">
        <v>44627.021054710647</v>
      </c>
      <c r="C3" s="2">
        <v>2</v>
      </c>
      <c r="D3" s="2" t="s">
        <v>185</v>
      </c>
      <c r="E3" s="2">
        <v>0</v>
      </c>
      <c r="F3" s="2" t="s">
        <v>186</v>
      </c>
      <c r="G3" s="2">
        <v>2</v>
      </c>
      <c r="H3" s="2">
        <v>8</v>
      </c>
      <c r="I3" s="2">
        <v>1</v>
      </c>
      <c r="J3" s="2">
        <v>4</v>
      </c>
      <c r="K3" s="2">
        <v>0</v>
      </c>
      <c r="L3" s="2">
        <v>4</v>
      </c>
      <c r="M3" s="2" t="s">
        <v>187</v>
      </c>
      <c r="N3" s="2">
        <v>2</v>
      </c>
      <c r="O3" s="2">
        <v>2</v>
      </c>
      <c r="P3" s="2">
        <v>0</v>
      </c>
      <c r="Q3" s="2">
        <v>0</v>
      </c>
      <c r="R3" s="2">
        <v>3</v>
      </c>
      <c r="S3" s="2">
        <v>0</v>
      </c>
      <c r="T3" s="2">
        <v>-1</v>
      </c>
      <c r="U3" s="2">
        <v>-1</v>
      </c>
      <c r="V3" s="2">
        <v>0</v>
      </c>
      <c r="W3" s="2">
        <v>0</v>
      </c>
      <c r="X3" s="2"/>
      <c r="Y3" s="2">
        <v>1</v>
      </c>
      <c r="Z3" s="2">
        <v>0</v>
      </c>
      <c r="AA3" s="2">
        <v>-1</v>
      </c>
      <c r="AB3" s="2">
        <v>2</v>
      </c>
      <c r="AC3" s="2">
        <v>0</v>
      </c>
      <c r="AD3" s="2">
        <v>1</v>
      </c>
      <c r="AE3" s="2">
        <v>2</v>
      </c>
      <c r="AF3" s="2">
        <v>-99</v>
      </c>
      <c r="AG3" s="2">
        <v>-2</v>
      </c>
      <c r="AH3" s="2">
        <v>-1</v>
      </c>
      <c r="AI3" s="2">
        <v>-1</v>
      </c>
      <c r="AJ3" s="2">
        <v>1</v>
      </c>
      <c r="AK3" s="2">
        <v>-1</v>
      </c>
      <c r="AL3" s="2">
        <v>-2</v>
      </c>
      <c r="AM3" s="2">
        <v>4</v>
      </c>
      <c r="AN3" s="2">
        <v>3</v>
      </c>
      <c r="AO3" s="2">
        <v>4</v>
      </c>
      <c r="AP3" s="2">
        <v>4</v>
      </c>
      <c r="AQ3" s="2">
        <v>3</v>
      </c>
      <c r="AR3" s="2">
        <v>2</v>
      </c>
      <c r="AS3" s="2">
        <v>2</v>
      </c>
      <c r="AT3" s="2">
        <v>2</v>
      </c>
      <c r="AU3" s="2">
        <v>2</v>
      </c>
      <c r="AV3" s="2"/>
      <c r="AW3" s="2">
        <v>3</v>
      </c>
      <c r="AX3" s="2">
        <v>1</v>
      </c>
      <c r="AY3" s="2">
        <v>0</v>
      </c>
      <c r="AZ3" s="2">
        <v>2</v>
      </c>
      <c r="BA3" s="2">
        <v>1</v>
      </c>
      <c r="BB3" s="2">
        <v>2</v>
      </c>
      <c r="BC3" s="2">
        <v>1</v>
      </c>
      <c r="BD3" s="2">
        <v>1</v>
      </c>
      <c r="BE3" s="2">
        <v>2</v>
      </c>
      <c r="BF3" s="2">
        <v>2</v>
      </c>
      <c r="BG3" s="2">
        <v>2</v>
      </c>
      <c r="BH3" s="2">
        <v>2</v>
      </c>
      <c r="BI3" s="2"/>
      <c r="BJ3" s="2">
        <v>2</v>
      </c>
      <c r="BK3" s="2">
        <v>2</v>
      </c>
      <c r="BL3" s="2">
        <v>-1</v>
      </c>
      <c r="BM3" s="2">
        <v>5</v>
      </c>
      <c r="BN3" s="2">
        <v>4</v>
      </c>
      <c r="BO3" s="2">
        <v>5</v>
      </c>
      <c r="BP3" s="2"/>
      <c r="BQ3" s="2"/>
      <c r="BR3" s="2"/>
      <c r="BS3" s="2"/>
      <c r="BT3" s="2"/>
      <c r="BU3" s="2"/>
      <c r="BV3" s="2"/>
      <c r="BW3" s="2"/>
      <c r="BX3" s="2" t="s">
        <v>188</v>
      </c>
      <c r="BY3" s="2" t="s">
        <v>188</v>
      </c>
      <c r="BZ3" s="2" t="s">
        <v>188</v>
      </c>
      <c r="CA3" s="2" t="s">
        <v>188</v>
      </c>
      <c r="CB3" s="2" t="s">
        <v>191</v>
      </c>
      <c r="CC3" s="2" t="s">
        <v>188</v>
      </c>
      <c r="CD3" s="2" t="s">
        <v>191</v>
      </c>
      <c r="CE3" s="2" t="s">
        <v>188</v>
      </c>
      <c r="CF3" s="2" t="s">
        <v>188</v>
      </c>
      <c r="CG3" s="2" t="s">
        <v>190</v>
      </c>
      <c r="CH3" s="2" t="s">
        <v>188</v>
      </c>
      <c r="CI3" s="2" t="s">
        <v>190</v>
      </c>
      <c r="CJ3" s="2" t="s">
        <v>190</v>
      </c>
      <c r="CK3" s="2" t="s">
        <v>189</v>
      </c>
      <c r="CL3" s="2" t="s">
        <v>191</v>
      </c>
      <c r="CM3" s="2" t="s">
        <v>200</v>
      </c>
      <c r="CN3" s="2" t="s">
        <v>193</v>
      </c>
      <c r="CO3" s="2" t="s">
        <v>200</v>
      </c>
      <c r="CP3" s="2" t="s">
        <v>200</v>
      </c>
      <c r="CQ3" s="2" t="s">
        <v>193</v>
      </c>
      <c r="CR3" s="2" t="s">
        <v>200</v>
      </c>
      <c r="CS3" s="2" t="s">
        <v>193</v>
      </c>
      <c r="CT3" s="2" t="s">
        <v>193</v>
      </c>
      <c r="CU3" s="2" t="s">
        <v>200</v>
      </c>
      <c r="CV3" s="2" t="s">
        <v>200</v>
      </c>
      <c r="CW3" s="2" t="s">
        <v>200</v>
      </c>
      <c r="CX3" s="2" t="s">
        <v>200</v>
      </c>
      <c r="CY3" s="2" t="s">
        <v>200</v>
      </c>
      <c r="CZ3" s="2" t="s">
        <v>200</v>
      </c>
      <c r="DA3" s="2" t="s">
        <v>200</v>
      </c>
      <c r="DB3" s="2" t="s">
        <v>200</v>
      </c>
      <c r="DC3" s="2" t="s">
        <v>192</v>
      </c>
      <c r="DD3" s="2" t="s">
        <v>193</v>
      </c>
      <c r="DE3" s="2" t="s">
        <v>192</v>
      </c>
      <c r="DF3" s="2" t="s">
        <v>192</v>
      </c>
      <c r="DG3" s="2" t="s">
        <v>194</v>
      </c>
      <c r="DH3" s="2" t="s">
        <v>195</v>
      </c>
      <c r="DI3" s="2" t="s">
        <v>195</v>
      </c>
      <c r="DJ3" s="2" t="s">
        <v>195</v>
      </c>
      <c r="DK3" s="2" t="s">
        <v>194</v>
      </c>
      <c r="DL3" s="2" t="s">
        <v>195</v>
      </c>
      <c r="DM3" s="2" t="s">
        <v>195</v>
      </c>
      <c r="DN3" s="2" t="s">
        <v>194</v>
      </c>
      <c r="DO3" s="2" t="s">
        <v>196</v>
      </c>
      <c r="DP3" s="2" t="s">
        <v>194</v>
      </c>
      <c r="DQ3" s="2" t="s">
        <v>195</v>
      </c>
      <c r="DR3" s="2" t="s">
        <v>201</v>
      </c>
      <c r="DS3" s="2" t="s">
        <v>197</v>
      </c>
      <c r="DT3" s="2" t="s">
        <v>197</v>
      </c>
      <c r="DU3" s="2" t="s">
        <v>197</v>
      </c>
      <c r="DV3" s="2" t="s">
        <v>197</v>
      </c>
      <c r="DW3" s="2" t="s">
        <v>197</v>
      </c>
      <c r="DX3" s="2" t="s">
        <v>197</v>
      </c>
      <c r="DY3" s="2" t="s">
        <v>197</v>
      </c>
      <c r="DZ3" s="2"/>
      <c r="EA3" s="2">
        <v>1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1</v>
      </c>
      <c r="EK3" s="2">
        <v>0</v>
      </c>
      <c r="EL3" s="2">
        <v>1</v>
      </c>
      <c r="EM3" s="2">
        <v>0</v>
      </c>
      <c r="EN3" s="2">
        <v>1</v>
      </c>
      <c r="EO3" s="2">
        <v>0</v>
      </c>
      <c r="EP3" s="2">
        <v>0</v>
      </c>
      <c r="EQ3" s="2">
        <v>1</v>
      </c>
      <c r="ER3" s="2">
        <v>0</v>
      </c>
      <c r="ES3" s="2">
        <v>1</v>
      </c>
      <c r="ET3" s="2">
        <v>0</v>
      </c>
      <c r="EU3" s="2">
        <v>1</v>
      </c>
      <c r="EV3" s="2">
        <v>1</v>
      </c>
      <c r="EW3" s="2">
        <v>0</v>
      </c>
      <c r="EX3" s="2">
        <v>0</v>
      </c>
      <c r="EY3" s="2">
        <v>1</v>
      </c>
      <c r="EZ3" s="2">
        <v>1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1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1</v>
      </c>
      <c r="FO3" s="2">
        <v>0</v>
      </c>
      <c r="FP3" s="2">
        <v>1</v>
      </c>
      <c r="FQ3" s="2">
        <v>0</v>
      </c>
      <c r="FR3" s="2">
        <v>1</v>
      </c>
      <c r="FS3" s="2">
        <v>0</v>
      </c>
      <c r="FT3" s="2">
        <v>1</v>
      </c>
      <c r="FU3" s="2">
        <v>0</v>
      </c>
      <c r="FV3" s="2">
        <v>1</v>
      </c>
      <c r="FW3" s="2">
        <v>0</v>
      </c>
      <c r="FX3" s="2">
        <v>1</v>
      </c>
      <c r="FY3" s="2">
        <v>0</v>
      </c>
      <c r="FZ3" s="2"/>
      <c r="GA3" s="2">
        <v>4</v>
      </c>
      <c r="GB3" s="2">
        <v>3</v>
      </c>
      <c r="GC3" s="2">
        <v>4</v>
      </c>
      <c r="GD3" s="2">
        <v>4</v>
      </c>
      <c r="GE3" s="2">
        <v>3</v>
      </c>
      <c r="GG3" s="2">
        <v>2</v>
      </c>
      <c r="GH3" s="2">
        <v>1</v>
      </c>
      <c r="GI3" s="2">
        <v>2</v>
      </c>
      <c r="GJ3" s="2">
        <v>1</v>
      </c>
      <c r="GK3" s="2">
        <v>1</v>
      </c>
      <c r="GM3" s="2">
        <f t="shared" si="0"/>
        <v>18</v>
      </c>
      <c r="GN3" s="2">
        <f t="shared" si="1"/>
        <v>7</v>
      </c>
      <c r="GO3" s="2"/>
      <c r="GP3" s="2">
        <v>2</v>
      </c>
      <c r="GQ3" s="2">
        <v>2</v>
      </c>
      <c r="GR3" s="2">
        <v>2</v>
      </c>
      <c r="GS3" s="2">
        <v>2</v>
      </c>
      <c r="GU3" s="2">
        <v>3</v>
      </c>
      <c r="GV3" s="2">
        <v>1</v>
      </c>
      <c r="GW3" s="2">
        <v>0</v>
      </c>
      <c r="GY3" s="2">
        <v>2</v>
      </c>
      <c r="GZ3" s="2">
        <v>2</v>
      </c>
      <c r="HA3" s="2">
        <v>2</v>
      </c>
      <c r="HB3" s="2">
        <v>2</v>
      </c>
      <c r="HD3" s="2">
        <v>2</v>
      </c>
      <c r="HE3" s="2">
        <v>2</v>
      </c>
      <c r="HF3" s="2">
        <v>-1</v>
      </c>
      <c r="HH3" s="2">
        <f t="shared" si="2"/>
        <v>12</v>
      </c>
      <c r="HI3" s="2">
        <f t="shared" si="3"/>
        <v>11</v>
      </c>
      <c r="HJ3" s="2"/>
      <c r="HK3" s="2">
        <v>4</v>
      </c>
      <c r="HL3" s="2">
        <v>5</v>
      </c>
      <c r="HM3" s="2"/>
      <c r="HN3" s="2"/>
    </row>
    <row r="4" spans="1:222" ht="15.75" customHeight="1" x14ac:dyDescent="0.2">
      <c r="A4" s="3" t="e">
        <f>VLOOKUP(B4,#REF!,1,FALSE)</f>
        <v>#REF!</v>
      </c>
      <c r="B4" s="3">
        <v>44627.021229328704</v>
      </c>
      <c r="C4" s="2">
        <v>3</v>
      </c>
      <c r="D4" s="2" t="s">
        <v>185</v>
      </c>
      <c r="E4" s="2">
        <v>0</v>
      </c>
      <c r="F4" s="2" t="s">
        <v>186</v>
      </c>
      <c r="G4" s="2">
        <v>15</v>
      </c>
      <c r="H4" s="2">
        <v>2</v>
      </c>
      <c r="I4" s="2">
        <v>1</v>
      </c>
      <c r="J4" s="2">
        <v>5</v>
      </c>
      <c r="K4" s="2">
        <v>0</v>
      </c>
      <c r="L4" s="2">
        <v>4</v>
      </c>
      <c r="M4" s="2" t="s">
        <v>187</v>
      </c>
      <c r="N4" s="2">
        <v>2</v>
      </c>
      <c r="O4" s="2">
        <v>4</v>
      </c>
      <c r="P4" s="2">
        <v>0</v>
      </c>
      <c r="Q4" s="2">
        <v>0</v>
      </c>
      <c r="R4" s="2">
        <v>3</v>
      </c>
      <c r="S4" s="2">
        <v>0</v>
      </c>
      <c r="T4" s="2">
        <v>-1</v>
      </c>
      <c r="U4" s="2">
        <v>-1</v>
      </c>
      <c r="V4" s="2">
        <v>-1</v>
      </c>
      <c r="W4" s="2">
        <v>-1</v>
      </c>
      <c r="X4" s="2"/>
      <c r="Y4" s="2">
        <v>-1</v>
      </c>
      <c r="Z4" s="2">
        <v>0</v>
      </c>
      <c r="AA4" s="2">
        <v>1</v>
      </c>
      <c r="AB4" s="2">
        <v>2</v>
      </c>
      <c r="AC4" s="2">
        <v>1</v>
      </c>
      <c r="AD4" s="2">
        <v>1</v>
      </c>
      <c r="AE4" s="2">
        <v>2</v>
      </c>
      <c r="AF4" s="2">
        <v>1</v>
      </c>
      <c r="AG4" s="2">
        <v>1</v>
      </c>
      <c r="AH4" s="2">
        <v>2</v>
      </c>
      <c r="AI4" s="2">
        <v>-3</v>
      </c>
      <c r="AJ4" s="2">
        <v>3</v>
      </c>
      <c r="AK4" s="2">
        <v>1</v>
      </c>
      <c r="AL4" s="2">
        <v>2</v>
      </c>
      <c r="AM4" s="2">
        <v>4</v>
      </c>
      <c r="AN4" s="2">
        <v>4</v>
      </c>
      <c r="AO4" s="2">
        <v>4</v>
      </c>
      <c r="AP4" s="2">
        <v>4</v>
      </c>
      <c r="AQ4" s="2">
        <v>4</v>
      </c>
      <c r="AR4" s="2">
        <v>2</v>
      </c>
      <c r="AS4" s="2">
        <v>2</v>
      </c>
      <c r="AT4" s="2">
        <v>0</v>
      </c>
      <c r="AU4" s="2">
        <v>0</v>
      </c>
      <c r="AV4" s="2"/>
      <c r="AW4" s="2">
        <v>0</v>
      </c>
      <c r="AX4" s="2">
        <v>1</v>
      </c>
      <c r="AY4" s="2">
        <v>0</v>
      </c>
      <c r="AZ4" s="2">
        <v>3</v>
      </c>
      <c r="BA4" s="2">
        <v>3</v>
      </c>
      <c r="BB4" s="2">
        <v>3</v>
      </c>
      <c r="BC4" s="2">
        <v>3</v>
      </c>
      <c r="BD4" s="2">
        <v>4</v>
      </c>
      <c r="BE4" s="2">
        <v>2</v>
      </c>
      <c r="BF4" s="2">
        <v>2</v>
      </c>
      <c r="BG4" s="2">
        <v>0</v>
      </c>
      <c r="BH4" s="2">
        <v>0</v>
      </c>
      <c r="BI4" s="2"/>
      <c r="BJ4" s="2">
        <v>0</v>
      </c>
      <c r="BK4" s="2">
        <v>0</v>
      </c>
      <c r="BL4" s="2">
        <v>2</v>
      </c>
      <c r="BM4" s="2">
        <v>9</v>
      </c>
      <c r="BN4" s="2">
        <v>8</v>
      </c>
      <c r="BO4" s="2">
        <v>8</v>
      </c>
      <c r="BP4" s="2"/>
      <c r="BQ4" s="2"/>
      <c r="BR4" s="2"/>
      <c r="BS4" s="2"/>
      <c r="BT4" s="2"/>
      <c r="BU4" s="2"/>
      <c r="BV4" s="2" t="s">
        <v>202</v>
      </c>
      <c r="BW4" s="2" t="s">
        <v>203</v>
      </c>
      <c r="BX4" s="2" t="s">
        <v>190</v>
      </c>
      <c r="BY4" s="2" t="s">
        <v>191</v>
      </c>
      <c r="BZ4" s="2" t="s">
        <v>188</v>
      </c>
      <c r="CA4" s="2" t="s">
        <v>188</v>
      </c>
      <c r="CB4" s="2" t="s">
        <v>191</v>
      </c>
      <c r="CC4" s="2" t="s">
        <v>188</v>
      </c>
      <c r="CD4" s="2" t="s">
        <v>188</v>
      </c>
      <c r="CE4" s="2" t="s">
        <v>188</v>
      </c>
      <c r="CF4" s="2" t="s">
        <v>190</v>
      </c>
      <c r="CG4" s="2" t="s">
        <v>189</v>
      </c>
      <c r="CH4" s="2" t="s">
        <v>190</v>
      </c>
      <c r="CI4" s="2" t="s">
        <v>188</v>
      </c>
      <c r="CJ4" s="2" t="s">
        <v>188</v>
      </c>
      <c r="CK4" s="2" t="s">
        <v>188</v>
      </c>
      <c r="CL4" s="2" t="s">
        <v>188</v>
      </c>
      <c r="CM4" s="2" t="s">
        <v>193</v>
      </c>
      <c r="CN4" s="2" t="s">
        <v>192</v>
      </c>
      <c r="CO4" s="2" t="s">
        <v>192</v>
      </c>
      <c r="CP4" s="2" t="s">
        <v>192</v>
      </c>
      <c r="CQ4" s="2" t="s">
        <v>192</v>
      </c>
      <c r="CR4" s="2" t="s">
        <v>192</v>
      </c>
      <c r="CS4" s="2" t="s">
        <v>192</v>
      </c>
      <c r="CT4" s="2" t="s">
        <v>192</v>
      </c>
      <c r="CU4" s="2" t="s">
        <v>192</v>
      </c>
      <c r="CV4" s="2" t="s">
        <v>193</v>
      </c>
      <c r="CW4" s="2" t="s">
        <v>193</v>
      </c>
      <c r="CX4" s="2" t="s">
        <v>200</v>
      </c>
      <c r="CY4" s="2" t="s">
        <v>193</v>
      </c>
      <c r="CZ4" s="2" t="s">
        <v>193</v>
      </c>
      <c r="DA4" s="2" t="s">
        <v>193</v>
      </c>
      <c r="DB4" s="2" t="s">
        <v>192</v>
      </c>
      <c r="DC4" s="2" t="s">
        <v>192</v>
      </c>
      <c r="DD4" s="2" t="s">
        <v>192</v>
      </c>
      <c r="DE4" s="2" t="s">
        <v>192</v>
      </c>
      <c r="DF4" s="2" t="s">
        <v>192</v>
      </c>
      <c r="DG4" s="2" t="s">
        <v>194</v>
      </c>
      <c r="DH4" s="2" t="s">
        <v>194</v>
      </c>
      <c r="DI4" s="2" t="s">
        <v>194</v>
      </c>
      <c r="DJ4" s="2" t="s">
        <v>194</v>
      </c>
      <c r="DK4" s="2" t="s">
        <v>194</v>
      </c>
      <c r="DL4" s="2" t="s">
        <v>195</v>
      </c>
      <c r="DM4" s="2" t="s">
        <v>195</v>
      </c>
      <c r="DN4" s="2" t="s">
        <v>196</v>
      </c>
      <c r="DO4" s="2" t="s">
        <v>196</v>
      </c>
      <c r="DP4" s="2" t="s">
        <v>194</v>
      </c>
      <c r="DQ4" s="2" t="s">
        <v>195</v>
      </c>
      <c r="DR4" s="2" t="s">
        <v>195</v>
      </c>
      <c r="DS4" s="2" t="s">
        <v>197</v>
      </c>
      <c r="DT4" s="2" t="s">
        <v>197</v>
      </c>
      <c r="DU4" s="2" t="s">
        <v>197</v>
      </c>
      <c r="DV4" s="2" t="s">
        <v>197</v>
      </c>
      <c r="DW4" s="2" t="s">
        <v>197</v>
      </c>
      <c r="DX4" s="2" t="s">
        <v>197</v>
      </c>
      <c r="DY4" s="2" t="s">
        <v>197</v>
      </c>
      <c r="DZ4" s="2"/>
      <c r="EA4" s="2">
        <v>1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1</v>
      </c>
      <c r="EJ4" s="2">
        <v>1</v>
      </c>
      <c r="EK4" s="2">
        <v>0</v>
      </c>
      <c r="EL4" s="2">
        <v>0</v>
      </c>
      <c r="EM4" s="2">
        <v>1</v>
      </c>
      <c r="EN4" s="2">
        <v>1</v>
      </c>
      <c r="EO4" s="2">
        <v>0</v>
      </c>
      <c r="EP4" s="2">
        <v>0</v>
      </c>
      <c r="EQ4" s="2">
        <v>1</v>
      </c>
      <c r="ER4" s="2">
        <v>0</v>
      </c>
      <c r="ES4" s="2">
        <v>1</v>
      </c>
      <c r="ET4" s="2">
        <v>0</v>
      </c>
      <c r="EU4" s="2">
        <v>1</v>
      </c>
      <c r="EV4" s="2">
        <v>1</v>
      </c>
      <c r="EW4" s="2">
        <v>0</v>
      </c>
      <c r="EX4" s="2">
        <v>0</v>
      </c>
      <c r="EY4" s="2">
        <v>1</v>
      </c>
      <c r="EZ4" s="2">
        <v>1</v>
      </c>
      <c r="FA4" s="2">
        <v>0</v>
      </c>
      <c r="FB4" s="2">
        <v>1</v>
      </c>
      <c r="FC4" s="2">
        <v>0</v>
      </c>
      <c r="FD4" s="2">
        <v>0</v>
      </c>
      <c r="FE4" s="2">
        <v>0</v>
      </c>
      <c r="FF4" s="2">
        <v>1</v>
      </c>
      <c r="FG4" s="2">
        <v>0</v>
      </c>
      <c r="FH4" s="2">
        <v>1</v>
      </c>
      <c r="FI4" s="2">
        <v>0</v>
      </c>
      <c r="FJ4" s="2">
        <v>1</v>
      </c>
      <c r="FK4" s="2">
        <v>0</v>
      </c>
      <c r="FL4" s="2">
        <v>1</v>
      </c>
      <c r="FM4" s="2">
        <v>0</v>
      </c>
      <c r="FN4" s="2">
        <v>1</v>
      </c>
      <c r="FO4" s="2">
        <v>0</v>
      </c>
      <c r="FP4" s="2">
        <v>0</v>
      </c>
      <c r="FQ4" s="2">
        <v>1</v>
      </c>
      <c r="FR4" s="2">
        <v>0</v>
      </c>
      <c r="FS4" s="2">
        <v>1</v>
      </c>
      <c r="FT4" s="2">
        <v>1</v>
      </c>
      <c r="FU4" s="2">
        <v>0</v>
      </c>
      <c r="FV4" s="2">
        <v>1</v>
      </c>
      <c r="FW4" s="2">
        <v>0</v>
      </c>
      <c r="FX4" s="2">
        <v>0</v>
      </c>
      <c r="FY4" s="2">
        <v>1</v>
      </c>
      <c r="FZ4" s="2"/>
      <c r="GA4" s="2">
        <v>4</v>
      </c>
      <c r="GB4" s="2">
        <v>4</v>
      </c>
      <c r="GC4" s="2">
        <v>4</v>
      </c>
      <c r="GD4" s="2">
        <v>4</v>
      </c>
      <c r="GE4" s="2">
        <v>4</v>
      </c>
      <c r="GG4" s="2">
        <v>3</v>
      </c>
      <c r="GH4" s="2">
        <v>3</v>
      </c>
      <c r="GI4" s="2">
        <v>3</v>
      </c>
      <c r="GJ4" s="2">
        <v>3</v>
      </c>
      <c r="GK4" s="2">
        <v>4</v>
      </c>
      <c r="GM4" s="4">
        <f t="shared" si="0"/>
        <v>20</v>
      </c>
      <c r="GN4" s="2">
        <f t="shared" si="1"/>
        <v>16</v>
      </c>
      <c r="GO4" s="2"/>
      <c r="GP4" s="2">
        <v>2</v>
      </c>
      <c r="GQ4" s="2">
        <v>2</v>
      </c>
      <c r="GR4" s="2">
        <v>0</v>
      </c>
      <c r="GS4" s="2">
        <v>0</v>
      </c>
      <c r="GU4" s="2">
        <v>0</v>
      </c>
      <c r="GV4" s="2">
        <v>1</v>
      </c>
      <c r="GW4" s="2">
        <v>0</v>
      </c>
      <c r="GY4" s="2">
        <v>2</v>
      </c>
      <c r="GZ4" s="2">
        <v>2</v>
      </c>
      <c r="HA4" s="2">
        <v>0</v>
      </c>
      <c r="HB4" s="2">
        <v>0</v>
      </c>
      <c r="HD4" s="2">
        <v>0</v>
      </c>
      <c r="HE4" s="2">
        <v>0</v>
      </c>
      <c r="HF4" s="2">
        <v>2</v>
      </c>
      <c r="HH4" s="2">
        <f t="shared" si="2"/>
        <v>5</v>
      </c>
      <c r="HI4" s="2">
        <f t="shared" si="3"/>
        <v>6</v>
      </c>
      <c r="HJ4" s="2"/>
      <c r="HK4" s="2">
        <v>8</v>
      </c>
      <c r="HL4" s="2">
        <v>8</v>
      </c>
      <c r="HM4" s="2"/>
      <c r="HN4" s="2"/>
    </row>
    <row r="5" spans="1:222" ht="15.75" customHeight="1" x14ac:dyDescent="0.2">
      <c r="A5" s="5">
        <v>44627.050988460644</v>
      </c>
      <c r="B5" s="3">
        <v>44627.050988460651</v>
      </c>
      <c r="C5" s="2">
        <v>4</v>
      </c>
      <c r="D5" s="2" t="s">
        <v>185</v>
      </c>
      <c r="E5" s="2">
        <v>0</v>
      </c>
      <c r="F5" s="2" t="s">
        <v>204</v>
      </c>
      <c r="G5" s="2">
        <v>8</v>
      </c>
      <c r="H5" s="2">
        <v>2</v>
      </c>
      <c r="I5" s="2">
        <v>1</v>
      </c>
      <c r="J5" s="2">
        <v>1</v>
      </c>
      <c r="K5" s="2">
        <v>0</v>
      </c>
      <c r="L5" s="2">
        <v>3</v>
      </c>
      <c r="M5" s="2" t="s">
        <v>187</v>
      </c>
      <c r="N5" s="2">
        <v>2</v>
      </c>
      <c r="O5" s="2">
        <v>4</v>
      </c>
      <c r="P5" s="2">
        <v>0</v>
      </c>
      <c r="Q5" s="2">
        <v>0</v>
      </c>
      <c r="R5" s="2">
        <v>3</v>
      </c>
      <c r="S5" s="2">
        <v>-1</v>
      </c>
      <c r="T5" s="2">
        <v>-1</v>
      </c>
      <c r="U5" s="2">
        <v>-1</v>
      </c>
      <c r="V5" s="2">
        <v>0</v>
      </c>
      <c r="W5" s="2">
        <v>1</v>
      </c>
      <c r="X5" s="2"/>
      <c r="Y5" s="2">
        <v>1</v>
      </c>
      <c r="Z5" s="2">
        <v>0</v>
      </c>
      <c r="AA5" s="2">
        <v>1</v>
      </c>
      <c r="AB5" s="2">
        <v>2</v>
      </c>
      <c r="AC5" s="2">
        <v>1</v>
      </c>
      <c r="AD5" s="2">
        <v>1</v>
      </c>
      <c r="AE5" s="2">
        <v>2</v>
      </c>
      <c r="AF5" s="2">
        <v>2</v>
      </c>
      <c r="AG5" s="2">
        <v>2</v>
      </c>
      <c r="AH5" s="2">
        <v>2</v>
      </c>
      <c r="AI5" s="2">
        <v>2</v>
      </c>
      <c r="AJ5" s="2">
        <v>2</v>
      </c>
      <c r="AK5" s="2">
        <v>2</v>
      </c>
      <c r="AL5" s="2">
        <v>2</v>
      </c>
      <c r="AM5" s="2">
        <v>4</v>
      </c>
      <c r="AN5" s="2">
        <v>4</v>
      </c>
      <c r="AO5" s="2">
        <v>4</v>
      </c>
      <c r="AP5" s="2">
        <v>4</v>
      </c>
      <c r="AQ5" s="2">
        <v>4</v>
      </c>
      <c r="AR5" s="2">
        <v>2</v>
      </c>
      <c r="AS5" s="2">
        <v>2</v>
      </c>
      <c r="AT5" s="2">
        <v>0</v>
      </c>
      <c r="AU5" s="2">
        <v>2</v>
      </c>
      <c r="AV5" s="2"/>
      <c r="AW5" s="2">
        <v>2</v>
      </c>
      <c r="AX5" s="2">
        <v>2</v>
      </c>
      <c r="AY5" s="2">
        <v>0</v>
      </c>
      <c r="AZ5" s="2">
        <v>4</v>
      </c>
      <c r="BA5" s="2">
        <v>5</v>
      </c>
      <c r="BB5" s="2">
        <v>3</v>
      </c>
      <c r="BC5" s="2">
        <v>4</v>
      </c>
      <c r="BD5" s="2">
        <v>3</v>
      </c>
      <c r="BE5" s="2">
        <v>2</v>
      </c>
      <c r="BF5" s="2">
        <v>2</v>
      </c>
      <c r="BG5" s="2">
        <v>1</v>
      </c>
      <c r="BH5" s="2">
        <v>2</v>
      </c>
      <c r="BI5" s="2"/>
      <c r="BJ5" s="2">
        <v>2</v>
      </c>
      <c r="BK5" s="2">
        <v>3</v>
      </c>
      <c r="BL5" s="2">
        <v>0</v>
      </c>
      <c r="BM5" s="2">
        <v>8</v>
      </c>
      <c r="BN5" s="2">
        <v>8</v>
      </c>
      <c r="BO5" s="2">
        <v>8</v>
      </c>
      <c r="BP5" s="2"/>
      <c r="BQ5" s="2"/>
      <c r="BR5" s="2"/>
      <c r="BS5" s="2"/>
      <c r="BT5" s="2"/>
      <c r="BU5" s="2" t="s">
        <v>205</v>
      </c>
      <c r="BV5" s="2" t="s">
        <v>206</v>
      </c>
      <c r="BW5" s="2" t="s">
        <v>207</v>
      </c>
      <c r="BX5" s="2" t="s">
        <v>188</v>
      </c>
      <c r="BY5" s="2" t="s">
        <v>191</v>
      </c>
      <c r="BZ5" s="2" t="s">
        <v>188</v>
      </c>
      <c r="CA5" s="2" t="s">
        <v>188</v>
      </c>
      <c r="CB5" s="2" t="s">
        <v>188</v>
      </c>
      <c r="CC5" s="2" t="s">
        <v>188</v>
      </c>
      <c r="CD5" s="2" t="s">
        <v>190</v>
      </c>
      <c r="CE5" s="2" t="s">
        <v>191</v>
      </c>
      <c r="CF5" s="2" t="s">
        <v>188</v>
      </c>
      <c r="CG5" s="2" t="s">
        <v>188</v>
      </c>
      <c r="CH5" s="2" t="s">
        <v>188</v>
      </c>
      <c r="CI5" s="2" t="s">
        <v>188</v>
      </c>
      <c r="CJ5" s="2" t="s">
        <v>188</v>
      </c>
      <c r="CK5" s="2" t="s">
        <v>191</v>
      </c>
      <c r="CL5" s="2" t="s">
        <v>188</v>
      </c>
      <c r="CM5" s="2" t="s">
        <v>193</v>
      </c>
      <c r="CN5" s="2" t="s">
        <v>192</v>
      </c>
      <c r="CO5" s="2" t="s">
        <v>192</v>
      </c>
      <c r="CP5" s="2" t="s">
        <v>192</v>
      </c>
      <c r="CQ5" s="2" t="s">
        <v>192</v>
      </c>
      <c r="CR5" s="2" t="s">
        <v>192</v>
      </c>
      <c r="CS5" s="2" t="s">
        <v>192</v>
      </c>
      <c r="CT5" s="2" t="s">
        <v>192</v>
      </c>
      <c r="CU5" s="2" t="s">
        <v>192</v>
      </c>
      <c r="CV5" s="2" t="s">
        <v>192</v>
      </c>
      <c r="CW5" s="2" t="s">
        <v>192</v>
      </c>
      <c r="CX5" s="2" t="s">
        <v>192</v>
      </c>
      <c r="CY5" s="2" t="s">
        <v>192</v>
      </c>
      <c r="CZ5" s="2" t="s">
        <v>192</v>
      </c>
      <c r="DA5" s="2" t="s">
        <v>193</v>
      </c>
      <c r="DB5" s="2" t="s">
        <v>192</v>
      </c>
      <c r="DC5" s="2" t="s">
        <v>192</v>
      </c>
      <c r="DD5" s="2" t="s">
        <v>192</v>
      </c>
      <c r="DE5" s="2" t="s">
        <v>192</v>
      </c>
      <c r="DF5" s="2" t="s">
        <v>192</v>
      </c>
      <c r="DG5" s="2" t="s">
        <v>194</v>
      </c>
      <c r="DH5" s="2" t="s">
        <v>194</v>
      </c>
      <c r="DI5" s="2" t="s">
        <v>194</v>
      </c>
      <c r="DJ5" s="2" t="s">
        <v>194</v>
      </c>
      <c r="DK5" s="2" t="s">
        <v>194</v>
      </c>
      <c r="DL5" s="2" t="s">
        <v>195</v>
      </c>
      <c r="DM5" s="2" t="s">
        <v>195</v>
      </c>
      <c r="DN5" s="2" t="s">
        <v>194</v>
      </c>
      <c r="DO5" s="2" t="s">
        <v>194</v>
      </c>
      <c r="DP5" s="2" t="s">
        <v>194</v>
      </c>
      <c r="DQ5" s="2" t="s">
        <v>195</v>
      </c>
      <c r="DR5" s="2" t="s">
        <v>194</v>
      </c>
      <c r="DS5" s="2" t="s">
        <v>197</v>
      </c>
      <c r="DT5" s="2" t="s">
        <v>198</v>
      </c>
      <c r="DU5" s="2" t="s">
        <v>197</v>
      </c>
      <c r="DV5" s="2" t="s">
        <v>197</v>
      </c>
      <c r="DW5" s="2" t="s">
        <v>197</v>
      </c>
      <c r="DX5" s="2" t="s">
        <v>197</v>
      </c>
      <c r="DY5" s="2" t="s">
        <v>197</v>
      </c>
      <c r="DZ5" s="2"/>
      <c r="EA5" s="2">
        <v>1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1</v>
      </c>
      <c r="EJ5" s="2">
        <v>0</v>
      </c>
      <c r="EK5" s="2">
        <v>1</v>
      </c>
      <c r="EL5" s="2">
        <v>0</v>
      </c>
      <c r="EM5" s="2">
        <v>1</v>
      </c>
      <c r="EN5" s="2">
        <v>1</v>
      </c>
      <c r="EO5" s="2">
        <v>0</v>
      </c>
      <c r="EP5" s="2">
        <v>0</v>
      </c>
      <c r="EQ5" s="2">
        <v>1</v>
      </c>
      <c r="ER5" s="2">
        <v>0</v>
      </c>
      <c r="ES5" s="2">
        <v>1</v>
      </c>
      <c r="ET5" s="2">
        <v>0</v>
      </c>
      <c r="EU5" s="2">
        <v>1</v>
      </c>
      <c r="EV5" s="2">
        <v>0</v>
      </c>
      <c r="EW5" s="2">
        <v>1</v>
      </c>
      <c r="EX5" s="2">
        <v>0</v>
      </c>
      <c r="EY5" s="2">
        <v>1</v>
      </c>
      <c r="EZ5" s="2">
        <v>1</v>
      </c>
      <c r="FA5" s="2">
        <v>0</v>
      </c>
      <c r="FB5" s="2">
        <v>1</v>
      </c>
      <c r="FC5" s="2">
        <v>0</v>
      </c>
      <c r="FD5" s="2">
        <v>0</v>
      </c>
      <c r="FE5" s="2">
        <v>0</v>
      </c>
      <c r="FF5" s="2">
        <v>1</v>
      </c>
      <c r="FG5" s="2">
        <v>0</v>
      </c>
      <c r="FH5" s="2">
        <v>0</v>
      </c>
      <c r="FI5" s="2">
        <v>1</v>
      </c>
      <c r="FJ5" s="2">
        <v>1</v>
      </c>
      <c r="FK5" s="2">
        <v>0</v>
      </c>
      <c r="FL5" s="2">
        <v>1</v>
      </c>
      <c r="FM5" s="2">
        <v>0</v>
      </c>
      <c r="FN5" s="2">
        <v>0</v>
      </c>
      <c r="FO5" s="2">
        <v>1</v>
      </c>
      <c r="FP5" s="2">
        <v>0</v>
      </c>
      <c r="FQ5" s="2">
        <v>1</v>
      </c>
      <c r="FR5" s="2">
        <v>0</v>
      </c>
      <c r="FS5" s="2">
        <v>1</v>
      </c>
      <c r="FT5" s="2">
        <v>0</v>
      </c>
      <c r="FU5" s="2">
        <v>1</v>
      </c>
      <c r="FV5" s="2">
        <v>0</v>
      </c>
      <c r="FW5" s="2">
        <v>1</v>
      </c>
      <c r="FX5" s="2">
        <v>0</v>
      </c>
      <c r="FY5" s="2">
        <v>1</v>
      </c>
      <c r="FZ5" s="2"/>
      <c r="GA5" s="2">
        <v>4</v>
      </c>
      <c r="GB5" s="2">
        <v>4</v>
      </c>
      <c r="GC5" s="2">
        <v>4</v>
      </c>
      <c r="GD5" s="2">
        <v>4</v>
      </c>
      <c r="GE5" s="2">
        <v>4</v>
      </c>
      <c r="GG5" s="2">
        <v>4</v>
      </c>
      <c r="GH5" s="2">
        <v>5</v>
      </c>
      <c r="GI5" s="2">
        <v>3</v>
      </c>
      <c r="GJ5" s="2">
        <v>4</v>
      </c>
      <c r="GK5" s="2">
        <v>3</v>
      </c>
      <c r="GM5" s="4">
        <f t="shared" si="0"/>
        <v>20</v>
      </c>
      <c r="GN5" s="2">
        <f t="shared" si="1"/>
        <v>19</v>
      </c>
      <c r="GO5" s="2"/>
      <c r="GP5" s="2">
        <v>2</v>
      </c>
      <c r="GQ5" s="2">
        <v>2</v>
      </c>
      <c r="GR5" s="2">
        <v>0</v>
      </c>
      <c r="GS5" s="2">
        <v>2</v>
      </c>
      <c r="GU5" s="2">
        <v>2</v>
      </c>
      <c r="GV5" s="2">
        <v>2</v>
      </c>
      <c r="GW5" s="2">
        <v>0</v>
      </c>
      <c r="GY5" s="2">
        <v>2</v>
      </c>
      <c r="GZ5" s="2">
        <v>2</v>
      </c>
      <c r="HA5" s="2">
        <v>1</v>
      </c>
      <c r="HB5" s="2">
        <v>2</v>
      </c>
      <c r="HD5" s="2">
        <v>2</v>
      </c>
      <c r="HE5" s="2">
        <v>3</v>
      </c>
      <c r="HF5" s="2">
        <v>0</v>
      </c>
      <c r="HH5" s="2">
        <f t="shared" si="2"/>
        <v>10</v>
      </c>
      <c r="HI5" s="2">
        <f t="shared" si="3"/>
        <v>12</v>
      </c>
      <c r="HJ5" s="2"/>
      <c r="HK5" s="2">
        <v>8</v>
      </c>
      <c r="HL5" s="2">
        <v>8</v>
      </c>
      <c r="HM5" s="2"/>
      <c r="HN5" s="2"/>
    </row>
    <row r="6" spans="1:222" ht="15.75" customHeight="1" x14ac:dyDescent="0.2">
      <c r="A6" s="5">
        <v>44627.05764694445</v>
      </c>
      <c r="B6" s="3">
        <v>44627.057646944442</v>
      </c>
      <c r="C6" s="2">
        <v>5</v>
      </c>
      <c r="D6" s="2" t="s">
        <v>185</v>
      </c>
      <c r="E6" s="2">
        <v>0</v>
      </c>
      <c r="F6" s="2" t="s">
        <v>186</v>
      </c>
      <c r="G6" s="2">
        <v>8</v>
      </c>
      <c r="H6" s="2">
        <v>2</v>
      </c>
      <c r="I6" s="2">
        <v>1</v>
      </c>
      <c r="J6" s="2">
        <v>4</v>
      </c>
      <c r="K6" s="2">
        <v>0</v>
      </c>
      <c r="L6" s="2">
        <v>3</v>
      </c>
      <c r="M6" s="2" t="s">
        <v>208</v>
      </c>
      <c r="N6" s="2">
        <v>2</v>
      </c>
      <c r="O6" s="2">
        <v>3</v>
      </c>
      <c r="P6" s="2">
        <v>0</v>
      </c>
      <c r="Q6" s="2">
        <v>2</v>
      </c>
      <c r="R6" s="2">
        <v>2</v>
      </c>
      <c r="S6" s="2">
        <v>0</v>
      </c>
      <c r="T6" s="2">
        <v>0</v>
      </c>
      <c r="U6" s="2">
        <v>1</v>
      </c>
      <c r="V6" s="2">
        <v>-1</v>
      </c>
      <c r="W6" s="2">
        <v>-1</v>
      </c>
      <c r="X6" s="2"/>
      <c r="Y6" s="2">
        <v>1</v>
      </c>
      <c r="Z6" s="2">
        <v>1</v>
      </c>
      <c r="AA6" s="2">
        <v>1</v>
      </c>
      <c r="AB6" s="2">
        <v>2</v>
      </c>
      <c r="AC6" s="2">
        <v>-99</v>
      </c>
      <c r="AD6" s="2">
        <v>1</v>
      </c>
      <c r="AE6" s="2">
        <v>1</v>
      </c>
      <c r="AF6" s="2">
        <v>2</v>
      </c>
      <c r="AG6" s="2">
        <v>2</v>
      </c>
      <c r="AH6" s="2">
        <v>2</v>
      </c>
      <c r="AI6" s="2">
        <v>1</v>
      </c>
      <c r="AJ6" s="2">
        <v>2</v>
      </c>
      <c r="AK6" s="2">
        <v>2</v>
      </c>
      <c r="AL6" s="2">
        <v>1</v>
      </c>
      <c r="AM6" s="2">
        <v>0</v>
      </c>
      <c r="AN6" s="2">
        <v>0</v>
      </c>
      <c r="AO6" s="2">
        <v>1</v>
      </c>
      <c r="AP6" s="2">
        <v>0</v>
      </c>
      <c r="AQ6" s="2">
        <v>1</v>
      </c>
      <c r="AR6" s="2">
        <v>1</v>
      </c>
      <c r="AS6" s="2">
        <v>1</v>
      </c>
      <c r="AT6" s="2">
        <v>2</v>
      </c>
      <c r="AU6" s="2">
        <v>2</v>
      </c>
      <c r="AV6" s="2"/>
      <c r="AW6" s="2">
        <v>3</v>
      </c>
      <c r="AX6" s="2">
        <v>3</v>
      </c>
      <c r="AY6" s="2">
        <v>0</v>
      </c>
      <c r="AZ6" s="2">
        <v>4</v>
      </c>
      <c r="BA6" s="2">
        <v>4</v>
      </c>
      <c r="BB6" s="2">
        <v>3</v>
      </c>
      <c r="BC6" s="2">
        <v>4</v>
      </c>
      <c r="BD6" s="2">
        <v>1</v>
      </c>
      <c r="BE6" s="2">
        <v>3</v>
      </c>
      <c r="BF6" s="2">
        <v>1</v>
      </c>
      <c r="BG6" s="2">
        <v>2</v>
      </c>
      <c r="BH6" s="2">
        <v>2</v>
      </c>
      <c r="BI6" s="2"/>
      <c r="BJ6" s="2">
        <v>1</v>
      </c>
      <c r="BK6" s="2">
        <v>1</v>
      </c>
      <c r="BL6" s="2">
        <v>2</v>
      </c>
      <c r="BM6" s="2">
        <v>7</v>
      </c>
      <c r="BN6" s="2">
        <v>8</v>
      </c>
      <c r="BO6" s="2">
        <v>8</v>
      </c>
      <c r="BP6" s="2"/>
      <c r="BQ6" s="2"/>
      <c r="BR6" s="2" t="s">
        <v>209</v>
      </c>
      <c r="BS6" s="6" t="s">
        <v>210</v>
      </c>
      <c r="BT6" s="2"/>
      <c r="BU6" s="2"/>
      <c r="BV6" s="2" t="s">
        <v>211</v>
      </c>
      <c r="BW6" s="2" t="s">
        <v>212</v>
      </c>
      <c r="BX6" s="2" t="s">
        <v>190</v>
      </c>
      <c r="BY6" s="2" t="s">
        <v>189</v>
      </c>
      <c r="BZ6" s="2" t="s">
        <v>191</v>
      </c>
      <c r="CA6" s="2" t="s">
        <v>190</v>
      </c>
      <c r="CB6" s="2" t="s">
        <v>190</v>
      </c>
      <c r="CC6" s="2" t="s">
        <v>190</v>
      </c>
      <c r="CD6" s="2" t="s">
        <v>189</v>
      </c>
      <c r="CE6" s="2" t="s">
        <v>190</v>
      </c>
      <c r="CF6" s="2" t="s">
        <v>190</v>
      </c>
      <c r="CG6" s="2" t="s">
        <v>189</v>
      </c>
      <c r="CH6" s="2" t="s">
        <v>191</v>
      </c>
      <c r="CI6" s="2" t="s">
        <v>189</v>
      </c>
      <c r="CJ6" s="2" t="s">
        <v>191</v>
      </c>
      <c r="CK6" s="2" t="s">
        <v>189</v>
      </c>
      <c r="CL6" s="2" t="s">
        <v>190</v>
      </c>
      <c r="CM6" s="2" t="s">
        <v>193</v>
      </c>
      <c r="CN6" s="2" t="s">
        <v>192</v>
      </c>
      <c r="CO6" s="2" t="s">
        <v>193</v>
      </c>
      <c r="CP6" s="2" t="s">
        <v>192</v>
      </c>
      <c r="CQ6" s="2" t="s">
        <v>193</v>
      </c>
      <c r="CR6" s="2" t="s">
        <v>193</v>
      </c>
      <c r="CS6" s="2" t="s">
        <v>193</v>
      </c>
      <c r="CT6" s="2" t="s">
        <v>192</v>
      </c>
      <c r="CU6" s="2" t="s">
        <v>193</v>
      </c>
      <c r="CV6" s="2" t="s">
        <v>193</v>
      </c>
      <c r="CW6" s="2" t="s">
        <v>192</v>
      </c>
      <c r="CX6" s="2" t="s">
        <v>193</v>
      </c>
      <c r="CY6" s="2" t="s">
        <v>192</v>
      </c>
      <c r="CZ6" s="2" t="s">
        <v>192</v>
      </c>
      <c r="DA6" s="2" t="s">
        <v>200</v>
      </c>
      <c r="DB6" s="2" t="s">
        <v>193</v>
      </c>
      <c r="DC6" s="2" t="s">
        <v>192</v>
      </c>
      <c r="DD6" s="2" t="s">
        <v>193</v>
      </c>
      <c r="DE6" s="2" t="s">
        <v>200</v>
      </c>
      <c r="DF6" s="2" t="s">
        <v>192</v>
      </c>
      <c r="DG6" s="2" t="s">
        <v>195</v>
      </c>
      <c r="DH6" s="2" t="s">
        <v>194</v>
      </c>
      <c r="DI6" s="2" t="s">
        <v>195</v>
      </c>
      <c r="DJ6" s="2" t="s">
        <v>195</v>
      </c>
      <c r="DK6" s="2" t="s">
        <v>194</v>
      </c>
      <c r="DL6" s="2" t="s">
        <v>195</v>
      </c>
      <c r="DM6" s="2" t="s">
        <v>195</v>
      </c>
      <c r="DN6" s="2" t="s">
        <v>194</v>
      </c>
      <c r="DO6" s="2" t="s">
        <v>195</v>
      </c>
      <c r="DP6" s="2" t="s">
        <v>196</v>
      </c>
      <c r="DQ6" s="2" t="s">
        <v>195</v>
      </c>
      <c r="DR6" s="2" t="s">
        <v>194</v>
      </c>
      <c r="DS6" s="2" t="s">
        <v>198</v>
      </c>
      <c r="DT6" s="2" t="s">
        <v>197</v>
      </c>
      <c r="DU6" s="2" t="s">
        <v>197</v>
      </c>
      <c r="DV6" s="2" t="s">
        <v>197</v>
      </c>
      <c r="DW6" s="2" t="s">
        <v>198</v>
      </c>
      <c r="DX6" s="2" t="s">
        <v>197</v>
      </c>
      <c r="DY6" s="2" t="s">
        <v>197</v>
      </c>
      <c r="DZ6" s="2"/>
      <c r="EA6" s="2">
        <v>0</v>
      </c>
      <c r="EB6" s="2">
        <v>1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1</v>
      </c>
      <c r="EJ6" s="2">
        <v>1</v>
      </c>
      <c r="EK6" s="2">
        <v>0</v>
      </c>
      <c r="EL6" s="2">
        <v>0</v>
      </c>
      <c r="EM6" s="2">
        <v>1</v>
      </c>
      <c r="EN6" s="2">
        <v>0</v>
      </c>
      <c r="EO6" s="2">
        <v>1</v>
      </c>
      <c r="EP6" s="2">
        <v>1</v>
      </c>
      <c r="EQ6" s="2">
        <v>0</v>
      </c>
      <c r="ER6" s="2">
        <v>0</v>
      </c>
      <c r="ES6" s="2">
        <v>1</v>
      </c>
      <c r="ET6" s="2">
        <v>0</v>
      </c>
      <c r="EU6" s="2">
        <v>1</v>
      </c>
      <c r="EV6" s="2">
        <v>1</v>
      </c>
      <c r="EW6" s="2">
        <v>0</v>
      </c>
      <c r="EX6" s="2">
        <v>0</v>
      </c>
      <c r="EY6" s="2">
        <v>1</v>
      </c>
      <c r="EZ6" s="2">
        <v>1</v>
      </c>
      <c r="FA6" s="2">
        <v>0</v>
      </c>
      <c r="FB6" s="2">
        <v>0</v>
      </c>
      <c r="FC6" s="2">
        <v>1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1</v>
      </c>
      <c r="FJ6" s="2">
        <v>1</v>
      </c>
      <c r="FK6" s="2">
        <v>0</v>
      </c>
      <c r="FL6" s="2">
        <v>1</v>
      </c>
      <c r="FM6" s="2">
        <v>0</v>
      </c>
      <c r="FN6" s="2">
        <v>0</v>
      </c>
      <c r="FO6" s="2">
        <v>1</v>
      </c>
      <c r="FP6" s="2">
        <v>0</v>
      </c>
      <c r="FQ6" s="2">
        <v>1</v>
      </c>
      <c r="FR6" s="2">
        <v>0</v>
      </c>
      <c r="FS6" s="2">
        <v>1</v>
      </c>
      <c r="FT6" s="2">
        <v>0</v>
      </c>
      <c r="FU6" s="2">
        <v>1</v>
      </c>
      <c r="FV6" s="2">
        <v>0</v>
      </c>
      <c r="FW6" s="2">
        <v>1</v>
      </c>
      <c r="FX6" s="2">
        <v>0</v>
      </c>
      <c r="FY6" s="2">
        <v>1</v>
      </c>
      <c r="FZ6" s="2"/>
      <c r="GA6" s="2">
        <v>0</v>
      </c>
      <c r="GB6" s="2">
        <v>0</v>
      </c>
      <c r="GC6" s="2">
        <v>1</v>
      </c>
      <c r="GD6" s="2">
        <v>0</v>
      </c>
      <c r="GE6" s="2">
        <v>1</v>
      </c>
      <c r="GG6" s="2">
        <v>4</v>
      </c>
      <c r="GH6" s="2">
        <v>4</v>
      </c>
      <c r="GI6" s="2">
        <v>3</v>
      </c>
      <c r="GJ6" s="2">
        <v>4</v>
      </c>
      <c r="GK6" s="2">
        <v>1</v>
      </c>
      <c r="GM6" s="4">
        <f t="shared" si="0"/>
        <v>2</v>
      </c>
      <c r="GN6" s="2">
        <f t="shared" si="1"/>
        <v>16</v>
      </c>
      <c r="GO6" s="2"/>
      <c r="GP6" s="2">
        <v>1</v>
      </c>
      <c r="GQ6" s="2">
        <v>1</v>
      </c>
      <c r="GR6" s="2">
        <v>2</v>
      </c>
      <c r="GS6" s="2">
        <v>2</v>
      </c>
      <c r="GU6" s="2">
        <v>3</v>
      </c>
      <c r="GV6" s="2">
        <v>3</v>
      </c>
      <c r="GW6" s="2">
        <v>0</v>
      </c>
      <c r="GY6" s="2">
        <v>3</v>
      </c>
      <c r="GZ6" s="2">
        <v>1</v>
      </c>
      <c r="HA6" s="2">
        <v>2</v>
      </c>
      <c r="HB6" s="2">
        <v>2</v>
      </c>
      <c r="HD6" s="2">
        <v>1</v>
      </c>
      <c r="HE6" s="2">
        <v>1</v>
      </c>
      <c r="HF6" s="2">
        <v>2</v>
      </c>
      <c r="HH6" s="2">
        <f t="shared" si="2"/>
        <v>12</v>
      </c>
      <c r="HI6" s="2">
        <f t="shared" si="3"/>
        <v>12</v>
      </c>
      <c r="HJ6" s="2"/>
      <c r="HK6" s="2">
        <v>8</v>
      </c>
      <c r="HL6" s="2">
        <v>8</v>
      </c>
      <c r="HM6" s="2"/>
      <c r="HN6" s="2"/>
    </row>
    <row r="7" spans="1:222" ht="15.75" customHeight="1" x14ac:dyDescent="0.2">
      <c r="A7" s="3" t="e">
        <f>VLOOKUP(B7,#REF!,1,FALSE)</f>
        <v>#REF!</v>
      </c>
      <c r="B7" s="3">
        <v>44627.411270231481</v>
      </c>
      <c r="C7" s="2">
        <v>8</v>
      </c>
      <c r="D7" s="2" t="s">
        <v>185</v>
      </c>
      <c r="E7" s="2">
        <v>0</v>
      </c>
      <c r="F7" s="2" t="s">
        <v>186</v>
      </c>
      <c r="G7" s="2">
        <v>8</v>
      </c>
      <c r="H7" s="2">
        <v>0.5</v>
      </c>
      <c r="I7" s="2">
        <v>1</v>
      </c>
      <c r="J7" s="2">
        <v>2</v>
      </c>
      <c r="K7" s="2">
        <v>0</v>
      </c>
      <c r="L7" s="2">
        <v>3</v>
      </c>
      <c r="M7" s="2" t="s">
        <v>213</v>
      </c>
      <c r="N7" s="2">
        <v>3</v>
      </c>
      <c r="O7" s="2">
        <v>3</v>
      </c>
      <c r="P7" s="2">
        <v>0</v>
      </c>
      <c r="Q7" s="2" t="s">
        <v>214</v>
      </c>
      <c r="R7" s="2">
        <v>3</v>
      </c>
      <c r="S7" s="2">
        <v>0</v>
      </c>
      <c r="T7" s="2">
        <v>-1</v>
      </c>
      <c r="U7" s="2">
        <v>-1</v>
      </c>
      <c r="V7" s="2">
        <v>-1</v>
      </c>
      <c r="W7" s="2">
        <v>-1</v>
      </c>
      <c r="X7" s="2"/>
      <c r="Y7" s="2">
        <v>0</v>
      </c>
      <c r="Z7" s="2">
        <v>-1</v>
      </c>
      <c r="AA7" s="2">
        <v>1</v>
      </c>
      <c r="AB7" s="2">
        <v>2</v>
      </c>
      <c r="AC7" s="2">
        <v>1</v>
      </c>
      <c r="AD7" s="2">
        <v>1</v>
      </c>
      <c r="AE7" s="2">
        <v>2</v>
      </c>
      <c r="AF7" s="2">
        <v>2</v>
      </c>
      <c r="AG7" s="2">
        <v>2</v>
      </c>
      <c r="AH7" s="2">
        <v>2</v>
      </c>
      <c r="AI7" s="2">
        <v>2</v>
      </c>
      <c r="AJ7" s="2">
        <v>2</v>
      </c>
      <c r="AK7" s="2">
        <v>2</v>
      </c>
      <c r="AL7" s="2">
        <v>1</v>
      </c>
      <c r="AM7" s="2">
        <v>1</v>
      </c>
      <c r="AN7" s="2">
        <v>3</v>
      </c>
      <c r="AO7" s="2">
        <v>3</v>
      </c>
      <c r="AP7" s="2">
        <v>2</v>
      </c>
      <c r="AQ7" s="2">
        <v>3</v>
      </c>
      <c r="AR7" s="2">
        <v>3</v>
      </c>
      <c r="AS7" s="2">
        <v>1</v>
      </c>
      <c r="AT7" s="2">
        <v>1</v>
      </c>
      <c r="AU7" s="2">
        <v>1</v>
      </c>
      <c r="AV7" s="2"/>
      <c r="AW7" s="2">
        <v>3</v>
      </c>
      <c r="AX7" s="2">
        <v>2</v>
      </c>
      <c r="AY7" s="2">
        <v>1</v>
      </c>
      <c r="AZ7" s="2">
        <v>4</v>
      </c>
      <c r="BA7" s="2">
        <v>4</v>
      </c>
      <c r="BB7" s="2">
        <v>3</v>
      </c>
      <c r="BC7" s="2">
        <v>4</v>
      </c>
      <c r="BD7" s="2">
        <v>3</v>
      </c>
      <c r="BE7" s="2">
        <v>3</v>
      </c>
      <c r="BF7" s="2">
        <v>3</v>
      </c>
      <c r="BG7" s="2">
        <v>2</v>
      </c>
      <c r="BH7" s="2">
        <v>1</v>
      </c>
      <c r="BI7" s="2"/>
      <c r="BJ7" s="2">
        <v>1</v>
      </c>
      <c r="BK7" s="2">
        <v>2</v>
      </c>
      <c r="BL7" s="2">
        <v>2</v>
      </c>
      <c r="BM7" s="2">
        <v>9</v>
      </c>
      <c r="BN7" s="2">
        <v>7</v>
      </c>
      <c r="BO7" s="2">
        <v>10</v>
      </c>
      <c r="BP7" s="2" t="s">
        <v>215</v>
      </c>
      <c r="BQ7" s="2"/>
      <c r="BR7" s="2" t="s">
        <v>216</v>
      </c>
      <c r="BS7" s="2" t="s">
        <v>217</v>
      </c>
      <c r="BT7" s="2"/>
      <c r="BU7" s="2"/>
      <c r="BV7" s="2" t="s">
        <v>218</v>
      </c>
      <c r="BW7" s="2" t="s">
        <v>219</v>
      </c>
      <c r="BX7" s="2" t="s">
        <v>191</v>
      </c>
      <c r="BY7" s="2" t="s">
        <v>189</v>
      </c>
      <c r="BZ7" s="2" t="s">
        <v>189</v>
      </c>
      <c r="CA7" s="2" t="s">
        <v>189</v>
      </c>
      <c r="CB7" s="2" t="s">
        <v>188</v>
      </c>
      <c r="CC7" s="2" t="s">
        <v>190</v>
      </c>
      <c r="CD7" s="2" t="s">
        <v>189</v>
      </c>
      <c r="CE7" s="2" t="s">
        <v>189</v>
      </c>
      <c r="CF7" s="2" t="s">
        <v>188</v>
      </c>
      <c r="CG7" s="2" t="s">
        <v>189</v>
      </c>
      <c r="CH7" s="2" t="s">
        <v>190</v>
      </c>
      <c r="CI7" s="2" t="s">
        <v>189</v>
      </c>
      <c r="CJ7" s="2" t="s">
        <v>190</v>
      </c>
      <c r="CK7" s="2" t="s">
        <v>189</v>
      </c>
      <c r="CL7" s="2" t="s">
        <v>189</v>
      </c>
      <c r="CM7" s="2" t="s">
        <v>192</v>
      </c>
      <c r="CN7" s="2" t="s">
        <v>192</v>
      </c>
      <c r="CO7" s="2" t="s">
        <v>192</v>
      </c>
      <c r="CP7" s="2" t="s">
        <v>192</v>
      </c>
      <c r="CQ7" s="2" t="s">
        <v>200</v>
      </c>
      <c r="CR7" s="2" t="s">
        <v>192</v>
      </c>
      <c r="CS7" s="2" t="s">
        <v>193</v>
      </c>
      <c r="CT7" s="2" t="s">
        <v>192</v>
      </c>
      <c r="CU7" s="2" t="s">
        <v>192</v>
      </c>
      <c r="CV7" s="2" t="s">
        <v>193</v>
      </c>
      <c r="CW7" s="2" t="s">
        <v>192</v>
      </c>
      <c r="CX7" s="2" t="s">
        <v>193</v>
      </c>
      <c r="CY7" s="2" t="s">
        <v>192</v>
      </c>
      <c r="CZ7" s="2" t="s">
        <v>192</v>
      </c>
      <c r="DA7" s="2" t="s">
        <v>193</v>
      </c>
      <c r="DB7" s="2" t="s">
        <v>192</v>
      </c>
      <c r="DC7" s="2" t="s">
        <v>192</v>
      </c>
      <c r="DD7" s="2" t="s">
        <v>192</v>
      </c>
      <c r="DE7" s="2" t="s">
        <v>193</v>
      </c>
      <c r="DF7" s="2" t="s">
        <v>192</v>
      </c>
      <c r="DG7" s="2" t="s">
        <v>220</v>
      </c>
      <c r="DH7" s="2" t="s">
        <v>196</v>
      </c>
      <c r="DI7" s="2" t="s">
        <v>196</v>
      </c>
      <c r="DJ7" s="2" t="s">
        <v>196</v>
      </c>
      <c r="DK7" s="2" t="s">
        <v>196</v>
      </c>
      <c r="DL7" s="2" t="s">
        <v>196</v>
      </c>
      <c r="DM7" s="2" t="s">
        <v>196</v>
      </c>
      <c r="DN7" s="2" t="s">
        <v>194</v>
      </c>
      <c r="DO7" s="2" t="s">
        <v>196</v>
      </c>
      <c r="DP7" s="2" t="s">
        <v>196</v>
      </c>
      <c r="DQ7" s="2" t="s">
        <v>196</v>
      </c>
      <c r="DR7" s="2" t="s">
        <v>220</v>
      </c>
      <c r="DS7" s="2" t="s">
        <v>197</v>
      </c>
      <c r="DT7" s="2" t="s">
        <v>199</v>
      </c>
      <c r="DU7" s="2" t="s">
        <v>221</v>
      </c>
      <c r="DV7" s="2" t="s">
        <v>198</v>
      </c>
      <c r="DW7" s="2" t="s">
        <v>198</v>
      </c>
      <c r="DX7" s="2" t="s">
        <v>222</v>
      </c>
      <c r="DY7" s="2" t="s">
        <v>198</v>
      </c>
      <c r="DZ7" s="2"/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1</v>
      </c>
      <c r="EG7" s="2">
        <v>0</v>
      </c>
      <c r="EH7" s="2">
        <v>0</v>
      </c>
      <c r="EI7" s="2">
        <v>1</v>
      </c>
      <c r="EJ7" s="2">
        <v>0</v>
      </c>
      <c r="EK7" s="2">
        <v>0</v>
      </c>
      <c r="EL7" s="2">
        <v>0</v>
      </c>
      <c r="EM7" s="2">
        <v>1</v>
      </c>
      <c r="EN7" s="2">
        <v>1</v>
      </c>
      <c r="EO7" s="2">
        <v>0</v>
      </c>
      <c r="EP7" s="2">
        <v>0</v>
      </c>
      <c r="EQ7" s="2">
        <v>1</v>
      </c>
      <c r="ER7" s="2">
        <v>0</v>
      </c>
      <c r="ES7" s="2">
        <v>1</v>
      </c>
      <c r="ET7" s="2">
        <v>0</v>
      </c>
      <c r="EU7" s="2">
        <v>1</v>
      </c>
      <c r="EV7" s="2">
        <v>0</v>
      </c>
      <c r="EW7" s="2">
        <v>0</v>
      </c>
      <c r="EX7" s="2">
        <v>0</v>
      </c>
      <c r="EY7" s="2">
        <v>1</v>
      </c>
      <c r="EZ7" s="2">
        <v>0</v>
      </c>
      <c r="FA7" s="2">
        <v>0</v>
      </c>
      <c r="FB7" s="2">
        <v>0</v>
      </c>
      <c r="FC7" s="2">
        <v>1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1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1</v>
      </c>
      <c r="FR7" s="2">
        <v>0</v>
      </c>
      <c r="FS7" s="2">
        <v>1</v>
      </c>
      <c r="FT7" s="2">
        <v>0</v>
      </c>
      <c r="FU7" s="2">
        <v>0</v>
      </c>
      <c r="FV7" s="2">
        <v>0</v>
      </c>
      <c r="FW7" s="2">
        <v>1</v>
      </c>
      <c r="FX7" s="2">
        <v>0</v>
      </c>
      <c r="FY7" s="2">
        <v>1</v>
      </c>
      <c r="FZ7" s="2"/>
      <c r="GA7" s="2">
        <v>1</v>
      </c>
      <c r="GB7" s="2">
        <v>3</v>
      </c>
      <c r="GC7" s="2">
        <v>3</v>
      </c>
      <c r="GD7" s="2">
        <v>2</v>
      </c>
      <c r="GE7" s="2">
        <v>3</v>
      </c>
      <c r="GG7" s="2">
        <v>4</v>
      </c>
      <c r="GH7" s="2">
        <v>4</v>
      </c>
      <c r="GI7" s="2">
        <v>3</v>
      </c>
      <c r="GJ7" s="2">
        <v>4</v>
      </c>
      <c r="GK7" s="2">
        <v>3</v>
      </c>
      <c r="GM7" s="4">
        <f t="shared" si="0"/>
        <v>12</v>
      </c>
      <c r="GN7" s="2">
        <f t="shared" si="1"/>
        <v>18</v>
      </c>
      <c r="GO7" s="2"/>
      <c r="GP7" s="2">
        <v>3</v>
      </c>
      <c r="GQ7" s="2">
        <v>1</v>
      </c>
      <c r="GR7" s="2">
        <v>1</v>
      </c>
      <c r="GS7" s="2">
        <v>1</v>
      </c>
      <c r="GU7" s="2">
        <v>3</v>
      </c>
      <c r="GV7" s="2">
        <v>2</v>
      </c>
      <c r="GW7" s="2">
        <v>1</v>
      </c>
      <c r="GY7" s="2">
        <v>3</v>
      </c>
      <c r="GZ7" s="2">
        <v>3</v>
      </c>
      <c r="HA7" s="2">
        <v>2</v>
      </c>
      <c r="HB7" s="2">
        <v>1</v>
      </c>
      <c r="HD7" s="2">
        <v>1</v>
      </c>
      <c r="HE7" s="2">
        <v>2</v>
      </c>
      <c r="HF7" s="2">
        <v>2</v>
      </c>
      <c r="HH7" s="2">
        <f t="shared" si="2"/>
        <v>12</v>
      </c>
      <c r="HI7" s="2">
        <f t="shared" si="3"/>
        <v>14</v>
      </c>
      <c r="HJ7" s="2"/>
      <c r="HK7" s="2">
        <v>7</v>
      </c>
      <c r="HL7" s="2">
        <v>10</v>
      </c>
      <c r="HM7" s="2"/>
      <c r="HN7" s="2"/>
    </row>
    <row r="8" spans="1:222" ht="15.75" customHeight="1" x14ac:dyDescent="0.2">
      <c r="A8" s="3" t="e">
        <f>VLOOKUP(B8,#REF!,1,FALSE)</f>
        <v>#REF!</v>
      </c>
      <c r="B8" s="3">
        <v>44627.46208892361</v>
      </c>
      <c r="C8" s="2">
        <v>9</v>
      </c>
      <c r="D8" s="2" t="s">
        <v>185</v>
      </c>
      <c r="E8" s="2">
        <v>0</v>
      </c>
      <c r="F8" s="2" t="s">
        <v>223</v>
      </c>
      <c r="G8" s="2">
        <v>2</v>
      </c>
      <c r="H8" s="2">
        <v>2</v>
      </c>
      <c r="I8" s="2">
        <v>1</v>
      </c>
      <c r="J8" s="2">
        <v>1</v>
      </c>
      <c r="K8" s="2">
        <v>0</v>
      </c>
      <c r="L8" s="2">
        <v>3</v>
      </c>
      <c r="M8" s="2" t="s">
        <v>187</v>
      </c>
      <c r="N8" s="2">
        <v>3</v>
      </c>
      <c r="O8" s="2">
        <v>2</v>
      </c>
      <c r="P8" s="2">
        <v>0</v>
      </c>
      <c r="Q8" s="2">
        <v>2</v>
      </c>
      <c r="R8" s="2">
        <v>2</v>
      </c>
      <c r="S8" s="2">
        <v>0</v>
      </c>
      <c r="T8" s="2">
        <v>-1</v>
      </c>
      <c r="U8" s="2">
        <v>1</v>
      </c>
      <c r="V8" s="2">
        <v>-1</v>
      </c>
      <c r="W8" s="2">
        <v>-1</v>
      </c>
      <c r="X8" s="2"/>
      <c r="Y8" s="2">
        <v>0</v>
      </c>
      <c r="Z8" s="2">
        <v>1</v>
      </c>
      <c r="AA8" s="2">
        <v>1</v>
      </c>
      <c r="AB8" s="2">
        <v>4</v>
      </c>
      <c r="AC8" s="2">
        <v>4</v>
      </c>
      <c r="AD8" s="2">
        <v>4</v>
      </c>
      <c r="AE8" s="2">
        <v>4</v>
      </c>
      <c r="AF8" s="2">
        <v>4</v>
      </c>
      <c r="AG8" s="2">
        <v>1</v>
      </c>
      <c r="AH8" s="2">
        <v>1</v>
      </c>
      <c r="AI8" s="2">
        <v>3</v>
      </c>
      <c r="AJ8" s="2">
        <v>3</v>
      </c>
      <c r="AK8" s="2">
        <v>3</v>
      </c>
      <c r="AL8" s="2">
        <v>3</v>
      </c>
      <c r="AM8" s="2">
        <v>5</v>
      </c>
      <c r="AN8" s="2">
        <v>5</v>
      </c>
      <c r="AO8" s="2">
        <v>5</v>
      </c>
      <c r="AP8" s="2">
        <v>5</v>
      </c>
      <c r="AQ8" s="2">
        <v>4</v>
      </c>
      <c r="AR8" s="2">
        <v>4</v>
      </c>
      <c r="AS8" s="2">
        <v>4</v>
      </c>
      <c r="AT8" s="2">
        <v>4</v>
      </c>
      <c r="AU8" s="2">
        <v>4</v>
      </c>
      <c r="AV8" s="2"/>
      <c r="AW8" s="2">
        <v>1</v>
      </c>
      <c r="AX8" s="2">
        <v>3</v>
      </c>
      <c r="AY8" s="2">
        <v>0</v>
      </c>
      <c r="AZ8" s="2">
        <v>5</v>
      </c>
      <c r="BA8" s="2">
        <v>5</v>
      </c>
      <c r="BB8" s="2">
        <v>5</v>
      </c>
      <c r="BC8" s="2">
        <v>5</v>
      </c>
      <c r="BD8" s="2">
        <v>5</v>
      </c>
      <c r="BE8" s="2">
        <v>3</v>
      </c>
      <c r="BF8" s="2">
        <v>0</v>
      </c>
      <c r="BG8" s="2">
        <v>1</v>
      </c>
      <c r="BH8" s="2">
        <v>0</v>
      </c>
      <c r="BI8" s="2"/>
      <c r="BJ8" s="2"/>
      <c r="BK8" s="2">
        <v>0</v>
      </c>
      <c r="BL8" s="2">
        <v>3</v>
      </c>
      <c r="BM8" s="2">
        <v>9</v>
      </c>
      <c r="BN8" s="2">
        <v>10</v>
      </c>
      <c r="BO8" s="2">
        <v>9</v>
      </c>
      <c r="BP8" s="2" t="s">
        <v>224</v>
      </c>
      <c r="BQ8" s="2" t="s">
        <v>224</v>
      </c>
      <c r="BR8" s="2" t="s">
        <v>224</v>
      </c>
      <c r="BS8" s="2" t="s">
        <v>225</v>
      </c>
      <c r="BT8" s="2" t="s">
        <v>224</v>
      </c>
      <c r="BU8" s="2" t="s">
        <v>226</v>
      </c>
      <c r="BV8" s="2" t="s">
        <v>227</v>
      </c>
      <c r="BW8" s="2" t="s">
        <v>224</v>
      </c>
      <c r="BX8" s="2" t="s">
        <v>189</v>
      </c>
      <c r="BY8" s="2" t="s">
        <v>189</v>
      </c>
      <c r="BZ8" s="2" t="s">
        <v>189</v>
      </c>
      <c r="CA8" s="2" t="s">
        <v>189</v>
      </c>
      <c r="CB8" s="2" t="s">
        <v>190</v>
      </c>
      <c r="CC8" s="2" t="s">
        <v>190</v>
      </c>
      <c r="CD8" s="2" t="s">
        <v>189</v>
      </c>
      <c r="CE8" s="2" t="s">
        <v>189</v>
      </c>
      <c r="CF8" s="2" t="s">
        <v>189</v>
      </c>
      <c r="CG8" s="2" t="s">
        <v>189</v>
      </c>
      <c r="CH8" s="2" t="s">
        <v>189</v>
      </c>
      <c r="CI8" s="2" t="s">
        <v>189</v>
      </c>
      <c r="CJ8" s="2" t="s">
        <v>189</v>
      </c>
      <c r="CK8" s="2" t="s">
        <v>189</v>
      </c>
      <c r="CL8" s="2" t="s">
        <v>189</v>
      </c>
      <c r="CM8" s="2" t="s">
        <v>192</v>
      </c>
      <c r="CN8" s="2" t="s">
        <v>192</v>
      </c>
      <c r="CO8" s="2" t="s">
        <v>192</v>
      </c>
      <c r="CP8" s="2" t="s">
        <v>193</v>
      </c>
      <c r="CQ8" s="2" t="s">
        <v>192</v>
      </c>
      <c r="CR8" s="2" t="s">
        <v>192</v>
      </c>
      <c r="CS8" s="2" t="s">
        <v>193</v>
      </c>
      <c r="CT8" s="2" t="s">
        <v>192</v>
      </c>
      <c r="CU8" s="2" t="s">
        <v>192</v>
      </c>
      <c r="CV8" s="2" t="s">
        <v>192</v>
      </c>
      <c r="CW8" s="2" t="s">
        <v>192</v>
      </c>
      <c r="CX8" s="2" t="s">
        <v>193</v>
      </c>
      <c r="CY8" s="2" t="s">
        <v>192</v>
      </c>
      <c r="CZ8" s="2" t="s">
        <v>192</v>
      </c>
      <c r="DA8" s="2" t="s">
        <v>192</v>
      </c>
      <c r="DB8" s="2" t="s">
        <v>192</v>
      </c>
      <c r="DC8" s="2" t="s">
        <v>192</v>
      </c>
      <c r="DD8" s="2" t="s">
        <v>192</v>
      </c>
      <c r="DE8" s="2" t="s">
        <v>192</v>
      </c>
      <c r="DF8" s="2" t="s">
        <v>192</v>
      </c>
      <c r="DG8" s="2" t="s">
        <v>196</v>
      </c>
      <c r="DH8" s="2" t="s">
        <v>196</v>
      </c>
      <c r="DI8" s="2" t="s">
        <v>196</v>
      </c>
      <c r="DJ8" s="2" t="s">
        <v>194</v>
      </c>
      <c r="DK8" s="2" t="s">
        <v>196</v>
      </c>
      <c r="DL8" s="2" t="s">
        <v>196</v>
      </c>
      <c r="DM8" s="2" t="s">
        <v>196</v>
      </c>
      <c r="DN8" s="2" t="s">
        <v>196</v>
      </c>
      <c r="DO8" s="2" t="s">
        <v>196</v>
      </c>
      <c r="DP8" s="2" t="s">
        <v>196</v>
      </c>
      <c r="DQ8" s="2" t="s">
        <v>196</v>
      </c>
      <c r="DR8" s="2" t="s">
        <v>196</v>
      </c>
      <c r="DS8" s="2" t="s">
        <v>197</v>
      </c>
      <c r="DT8" s="2" t="s">
        <v>199</v>
      </c>
      <c r="DU8" s="2" t="s">
        <v>222</v>
      </c>
      <c r="DV8" s="2" t="s">
        <v>222</v>
      </c>
      <c r="DW8" s="2" t="s">
        <v>222</v>
      </c>
      <c r="DX8" s="2" t="s">
        <v>222</v>
      </c>
      <c r="DY8" s="2" t="s">
        <v>222</v>
      </c>
      <c r="DZ8" s="2"/>
      <c r="EA8" s="2">
        <v>0</v>
      </c>
      <c r="EB8" s="2">
        <v>1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1</v>
      </c>
      <c r="EJ8" s="2">
        <v>0</v>
      </c>
      <c r="EK8" s="2">
        <v>1</v>
      </c>
      <c r="EL8" s="2">
        <v>0</v>
      </c>
      <c r="EM8" s="2">
        <v>1</v>
      </c>
      <c r="EN8" s="2">
        <v>1</v>
      </c>
      <c r="EO8" s="2">
        <v>0</v>
      </c>
      <c r="EP8" s="2">
        <v>0</v>
      </c>
      <c r="EQ8" s="2">
        <v>1</v>
      </c>
      <c r="ER8" s="2">
        <v>0</v>
      </c>
      <c r="ES8" s="2">
        <v>1</v>
      </c>
      <c r="ET8" s="2">
        <v>0</v>
      </c>
      <c r="EU8" s="2">
        <v>1</v>
      </c>
      <c r="EV8" s="2">
        <v>0</v>
      </c>
      <c r="EW8" s="2">
        <v>1</v>
      </c>
      <c r="EX8" s="2">
        <v>0</v>
      </c>
      <c r="EY8" s="2">
        <v>1</v>
      </c>
      <c r="EZ8" s="2">
        <v>1</v>
      </c>
      <c r="FA8" s="2">
        <v>0</v>
      </c>
      <c r="FB8" s="2">
        <v>0</v>
      </c>
      <c r="FC8" s="2">
        <v>1</v>
      </c>
      <c r="FD8" s="2">
        <v>0</v>
      </c>
      <c r="FE8" s="2">
        <v>0</v>
      </c>
      <c r="FF8" s="2">
        <v>0</v>
      </c>
      <c r="FG8" s="2">
        <v>1</v>
      </c>
      <c r="FH8" s="2">
        <v>1</v>
      </c>
      <c r="FI8" s="2">
        <v>0</v>
      </c>
      <c r="FJ8" s="2">
        <v>1</v>
      </c>
      <c r="FK8" s="2">
        <v>0</v>
      </c>
      <c r="FL8" s="2">
        <v>0</v>
      </c>
      <c r="FM8" s="2">
        <v>1</v>
      </c>
      <c r="FN8" s="2">
        <v>0</v>
      </c>
      <c r="FO8" s="2">
        <v>1</v>
      </c>
      <c r="FP8" s="2">
        <v>0</v>
      </c>
      <c r="FQ8" s="2">
        <v>1</v>
      </c>
      <c r="FR8" s="2">
        <v>0</v>
      </c>
      <c r="FS8" s="2">
        <v>1</v>
      </c>
      <c r="FT8" s="2">
        <v>0</v>
      </c>
      <c r="FU8" s="2">
        <v>1</v>
      </c>
      <c r="FV8" s="2">
        <v>0</v>
      </c>
      <c r="FW8" s="2">
        <v>1</v>
      </c>
      <c r="FX8" s="2">
        <v>0</v>
      </c>
      <c r="FY8" s="2">
        <v>1</v>
      </c>
      <c r="FZ8" s="2"/>
      <c r="GA8" s="2">
        <v>5</v>
      </c>
      <c r="GB8" s="2">
        <v>5</v>
      </c>
      <c r="GC8" s="2">
        <v>5</v>
      </c>
      <c r="GD8" s="2">
        <v>5</v>
      </c>
      <c r="GE8" s="2">
        <v>4</v>
      </c>
      <c r="GG8" s="2">
        <v>5</v>
      </c>
      <c r="GH8" s="2">
        <v>5</v>
      </c>
      <c r="GI8" s="2">
        <v>5</v>
      </c>
      <c r="GJ8" s="2">
        <v>5</v>
      </c>
      <c r="GK8" s="2">
        <v>5</v>
      </c>
      <c r="GM8" s="4">
        <f t="shared" si="0"/>
        <v>24</v>
      </c>
      <c r="GN8" s="2">
        <f t="shared" si="1"/>
        <v>25</v>
      </c>
      <c r="GO8" s="2"/>
      <c r="GP8" s="2">
        <v>4</v>
      </c>
      <c r="GQ8" s="2">
        <v>4</v>
      </c>
      <c r="GR8" s="2">
        <v>4</v>
      </c>
      <c r="GS8" s="2">
        <v>4</v>
      </c>
      <c r="GU8" s="2">
        <v>1</v>
      </c>
      <c r="GV8" s="2">
        <v>3</v>
      </c>
      <c r="GW8" s="2">
        <v>0</v>
      </c>
      <c r="GY8" s="2">
        <v>3</v>
      </c>
      <c r="GZ8" s="2">
        <v>0</v>
      </c>
      <c r="HA8" s="2">
        <v>1</v>
      </c>
      <c r="HB8" s="2">
        <v>0</v>
      </c>
      <c r="HE8" s="2">
        <v>0</v>
      </c>
      <c r="HF8" s="2">
        <v>3</v>
      </c>
      <c r="HH8" s="2">
        <f t="shared" si="2"/>
        <v>20</v>
      </c>
      <c r="HI8" s="2">
        <f t="shared" si="3"/>
        <v>7</v>
      </c>
      <c r="HJ8" s="2"/>
      <c r="HK8" s="2">
        <v>10</v>
      </c>
      <c r="HL8" s="2">
        <v>9</v>
      </c>
      <c r="HM8" s="2"/>
      <c r="HN8" s="2"/>
    </row>
    <row r="9" spans="1:222" ht="15.75" customHeight="1" x14ac:dyDescent="0.2">
      <c r="A9" s="3" t="e">
        <f>VLOOKUP(B9,#REF!,1,FALSE)</f>
        <v>#REF!</v>
      </c>
      <c r="B9" s="3">
        <v>44627.725322638886</v>
      </c>
      <c r="C9" s="2">
        <v>10</v>
      </c>
      <c r="D9" s="2" t="s">
        <v>185</v>
      </c>
      <c r="E9" s="2">
        <v>0</v>
      </c>
      <c r="F9" s="2" t="s">
        <v>186</v>
      </c>
      <c r="G9" s="2">
        <v>8</v>
      </c>
      <c r="H9" s="2">
        <v>2</v>
      </c>
      <c r="I9" s="2">
        <v>1</v>
      </c>
      <c r="J9" s="2">
        <v>3</v>
      </c>
      <c r="K9" s="2">
        <v>0</v>
      </c>
      <c r="L9" s="2">
        <v>4</v>
      </c>
      <c r="M9" s="2" t="s">
        <v>213</v>
      </c>
      <c r="N9" s="2">
        <v>2</v>
      </c>
      <c r="O9" s="2">
        <v>2</v>
      </c>
      <c r="P9" s="2">
        <v>0</v>
      </c>
      <c r="Q9" s="2">
        <v>0</v>
      </c>
      <c r="R9" s="2">
        <v>3</v>
      </c>
      <c r="S9" s="2">
        <v>-1</v>
      </c>
      <c r="T9" s="2">
        <v>-1</v>
      </c>
      <c r="U9" s="2">
        <v>1</v>
      </c>
      <c r="V9" s="2">
        <v>-1</v>
      </c>
      <c r="W9" s="2">
        <v>1</v>
      </c>
      <c r="X9" s="2"/>
      <c r="Y9" s="2">
        <v>-1</v>
      </c>
      <c r="Z9" s="2">
        <v>1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-2</v>
      </c>
      <c r="AH9" s="2">
        <v>2</v>
      </c>
      <c r="AI9" s="2">
        <v>-1</v>
      </c>
      <c r="AJ9" s="2">
        <v>2</v>
      </c>
      <c r="AK9" s="2">
        <v>-2</v>
      </c>
      <c r="AL9" s="2">
        <v>-2</v>
      </c>
      <c r="AM9" s="2">
        <v>4</v>
      </c>
      <c r="AN9" s="2">
        <v>4</v>
      </c>
      <c r="AO9" s="2">
        <v>4</v>
      </c>
      <c r="AP9" s="2">
        <v>2</v>
      </c>
      <c r="AQ9" s="2">
        <v>4</v>
      </c>
      <c r="AR9" s="2">
        <v>2</v>
      </c>
      <c r="AS9" s="2">
        <v>1</v>
      </c>
      <c r="AT9" s="2">
        <v>2</v>
      </c>
      <c r="AU9" s="2">
        <v>1</v>
      </c>
      <c r="AV9" s="2"/>
      <c r="AW9" s="2">
        <v>1</v>
      </c>
      <c r="AX9" s="2">
        <v>1</v>
      </c>
      <c r="AY9" s="2">
        <v>-2</v>
      </c>
      <c r="AZ9" s="2">
        <v>4</v>
      </c>
      <c r="BA9" s="2">
        <v>4</v>
      </c>
      <c r="BB9" s="2">
        <v>2</v>
      </c>
      <c r="BC9" s="2">
        <v>5</v>
      </c>
      <c r="BD9" s="2">
        <v>4</v>
      </c>
      <c r="BE9" s="2">
        <v>2</v>
      </c>
      <c r="BF9" s="2">
        <v>1</v>
      </c>
      <c r="BG9" s="2">
        <v>3</v>
      </c>
      <c r="BH9" s="2">
        <v>2</v>
      </c>
      <c r="BI9" s="2"/>
      <c r="BJ9" s="2">
        <v>3</v>
      </c>
      <c r="BK9" s="2">
        <v>1</v>
      </c>
      <c r="BL9" s="2">
        <v>-2</v>
      </c>
      <c r="BM9" s="2">
        <v>8</v>
      </c>
      <c r="BN9" s="2">
        <v>8</v>
      </c>
      <c r="BO9" s="2">
        <v>8</v>
      </c>
      <c r="BP9" s="2"/>
      <c r="BQ9" s="2" t="s">
        <v>228</v>
      </c>
      <c r="BR9" s="2"/>
      <c r="BS9" s="2" t="s">
        <v>229</v>
      </c>
      <c r="BT9" s="2"/>
      <c r="BU9" s="2"/>
      <c r="BV9" s="2" t="s">
        <v>230</v>
      </c>
      <c r="BW9" s="2" t="s">
        <v>231</v>
      </c>
      <c r="BX9" s="2" t="s">
        <v>188</v>
      </c>
      <c r="BY9" s="2" t="s">
        <v>190</v>
      </c>
      <c r="BZ9" s="2" t="s">
        <v>189</v>
      </c>
      <c r="CA9" s="2" t="s">
        <v>190</v>
      </c>
      <c r="CB9" s="2" t="s">
        <v>188</v>
      </c>
      <c r="CC9" s="2" t="s">
        <v>188</v>
      </c>
      <c r="CD9" s="2" t="s">
        <v>189</v>
      </c>
      <c r="CE9" s="2" t="s">
        <v>189</v>
      </c>
      <c r="CF9" s="2" t="s">
        <v>191</v>
      </c>
      <c r="CG9" s="2" t="s">
        <v>190</v>
      </c>
      <c r="CH9" s="2" t="s">
        <v>191</v>
      </c>
      <c r="CI9" s="2" t="s">
        <v>191</v>
      </c>
      <c r="CJ9" s="2" t="s">
        <v>189</v>
      </c>
      <c r="CK9" s="2" t="s">
        <v>189</v>
      </c>
      <c r="CL9" s="2" t="s">
        <v>189</v>
      </c>
      <c r="CM9" s="2" t="s">
        <v>200</v>
      </c>
      <c r="CN9" s="2" t="s">
        <v>192</v>
      </c>
      <c r="CO9" s="2" t="s">
        <v>193</v>
      </c>
      <c r="CP9" s="2" t="s">
        <v>200</v>
      </c>
      <c r="CQ9" s="2" t="s">
        <v>192</v>
      </c>
      <c r="CR9" s="2" t="s">
        <v>193</v>
      </c>
      <c r="CS9" s="2" t="s">
        <v>193</v>
      </c>
      <c r="CT9" s="2" t="s">
        <v>192</v>
      </c>
      <c r="CU9" s="2" t="s">
        <v>192</v>
      </c>
      <c r="CV9" s="2" t="s">
        <v>192</v>
      </c>
      <c r="CW9" s="2" t="s">
        <v>192</v>
      </c>
      <c r="CX9" s="2" t="s">
        <v>192</v>
      </c>
      <c r="CY9" s="2" t="s">
        <v>192</v>
      </c>
      <c r="CZ9" s="2" t="s">
        <v>192</v>
      </c>
      <c r="DA9" s="2" t="s">
        <v>193</v>
      </c>
      <c r="DB9" s="2" t="s">
        <v>192</v>
      </c>
      <c r="DC9" s="2" t="s">
        <v>192</v>
      </c>
      <c r="DD9" s="2" t="s">
        <v>193</v>
      </c>
      <c r="DE9" s="2" t="s">
        <v>192</v>
      </c>
      <c r="DF9" s="2" t="s">
        <v>200</v>
      </c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>
        <v>1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1</v>
      </c>
      <c r="EJ9" s="2">
        <v>0</v>
      </c>
      <c r="EK9" s="2">
        <v>1</v>
      </c>
      <c r="EL9" s="2">
        <v>0</v>
      </c>
      <c r="EM9" s="2">
        <v>1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1</v>
      </c>
      <c r="ET9" s="2">
        <v>0</v>
      </c>
      <c r="EU9" s="2">
        <v>1</v>
      </c>
      <c r="EV9" s="2">
        <v>0</v>
      </c>
      <c r="EW9" s="2">
        <v>0</v>
      </c>
      <c r="EX9" s="2">
        <v>0</v>
      </c>
      <c r="EY9" s="2">
        <v>1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1</v>
      </c>
      <c r="FP9" s="2">
        <v>0</v>
      </c>
      <c r="FQ9" s="2">
        <v>1</v>
      </c>
      <c r="FR9" s="2">
        <v>0</v>
      </c>
      <c r="FS9" s="2">
        <v>1</v>
      </c>
      <c r="FT9" s="2">
        <v>0</v>
      </c>
      <c r="FU9" s="2">
        <v>1</v>
      </c>
      <c r="FV9" s="2">
        <v>0</v>
      </c>
      <c r="FW9" s="2">
        <v>0</v>
      </c>
      <c r="FX9" s="2">
        <v>0</v>
      </c>
      <c r="FY9" s="2">
        <v>1</v>
      </c>
      <c r="FZ9" s="2"/>
      <c r="GA9" s="2">
        <v>4</v>
      </c>
      <c r="GB9" s="2">
        <v>4</v>
      </c>
      <c r="GC9" s="2">
        <v>4</v>
      </c>
      <c r="GD9" s="2">
        <v>2</v>
      </c>
      <c r="GE9" s="2">
        <v>4</v>
      </c>
      <c r="GG9" s="2">
        <v>4</v>
      </c>
      <c r="GH9" s="2">
        <v>4</v>
      </c>
      <c r="GI9" s="2">
        <v>2</v>
      </c>
      <c r="GJ9" s="2">
        <v>5</v>
      </c>
      <c r="GK9" s="2">
        <v>4</v>
      </c>
      <c r="GM9" s="4">
        <f t="shared" si="0"/>
        <v>18</v>
      </c>
      <c r="GN9" s="2">
        <f t="shared" si="1"/>
        <v>19</v>
      </c>
      <c r="GO9" s="2"/>
      <c r="GP9" s="2">
        <v>2</v>
      </c>
      <c r="GQ9" s="2">
        <v>1</v>
      </c>
      <c r="GR9" s="2">
        <v>2</v>
      </c>
      <c r="GS9" s="2">
        <v>1</v>
      </c>
      <c r="GU9" s="2">
        <v>1</v>
      </c>
      <c r="GV9" s="2">
        <v>1</v>
      </c>
      <c r="GW9" s="2">
        <v>-2</v>
      </c>
      <c r="GY9" s="2">
        <v>2</v>
      </c>
      <c r="GZ9" s="2">
        <v>1</v>
      </c>
      <c r="HA9" s="2">
        <v>3</v>
      </c>
      <c r="HB9" s="2">
        <v>2</v>
      </c>
      <c r="HD9" s="2">
        <v>3</v>
      </c>
      <c r="HE9" s="2">
        <v>1</v>
      </c>
      <c r="HF9" s="2">
        <v>-2</v>
      </c>
      <c r="HH9" s="2">
        <f t="shared" si="2"/>
        <v>6</v>
      </c>
      <c r="HI9" s="2">
        <f t="shared" si="3"/>
        <v>10</v>
      </c>
      <c r="HJ9" s="2"/>
      <c r="HK9" s="2">
        <v>8</v>
      </c>
      <c r="HL9" s="2">
        <v>8</v>
      </c>
      <c r="HM9" s="2"/>
      <c r="HN9" s="2"/>
    </row>
    <row r="10" spans="1:222" ht="15.75" customHeight="1" x14ac:dyDescent="0.2">
      <c r="A10" s="3" t="e">
        <f>VLOOKUP(B10,#REF!,1,FALSE)</f>
        <v>#REF!</v>
      </c>
      <c r="B10" s="3">
        <v>44628.419589050929</v>
      </c>
      <c r="C10" s="2">
        <v>12</v>
      </c>
      <c r="D10" s="2" t="s">
        <v>185</v>
      </c>
      <c r="E10" s="2">
        <v>0</v>
      </c>
      <c r="F10" s="2" t="s">
        <v>232</v>
      </c>
      <c r="G10" s="2">
        <v>8</v>
      </c>
      <c r="H10" s="2">
        <v>2</v>
      </c>
      <c r="I10" s="2">
        <v>1</v>
      </c>
      <c r="J10" s="2">
        <v>5</v>
      </c>
      <c r="K10" s="2">
        <v>0</v>
      </c>
      <c r="L10" s="2">
        <v>3</v>
      </c>
      <c r="M10" s="2" t="s">
        <v>213</v>
      </c>
      <c r="N10" s="2">
        <v>3</v>
      </c>
      <c r="O10" s="2">
        <v>4</v>
      </c>
      <c r="P10" s="2">
        <v>0</v>
      </c>
      <c r="Q10" s="2">
        <v>0</v>
      </c>
      <c r="R10" s="2">
        <v>3</v>
      </c>
      <c r="S10" s="2">
        <v>0</v>
      </c>
      <c r="T10" s="2">
        <v>1</v>
      </c>
      <c r="U10" s="2">
        <v>1</v>
      </c>
      <c r="V10" s="2">
        <v>0</v>
      </c>
      <c r="W10" s="2">
        <v>-1</v>
      </c>
      <c r="X10" s="2"/>
      <c r="Y10" s="2">
        <v>-1</v>
      </c>
      <c r="Z10" s="2">
        <v>0</v>
      </c>
      <c r="AA10" s="2">
        <v>1</v>
      </c>
      <c r="AB10" s="2">
        <v>2</v>
      </c>
      <c r="AC10" s="2">
        <v>2</v>
      </c>
      <c r="AD10" s="2">
        <v>2</v>
      </c>
      <c r="AE10" s="2">
        <v>4</v>
      </c>
      <c r="AF10" s="2">
        <v>1</v>
      </c>
      <c r="AG10" s="2">
        <v>2</v>
      </c>
      <c r="AH10" s="2">
        <v>2</v>
      </c>
      <c r="AI10" s="2">
        <v>2</v>
      </c>
      <c r="AJ10" s="2">
        <v>3</v>
      </c>
      <c r="AK10" s="2">
        <v>3</v>
      </c>
      <c r="AL10" s="2">
        <v>3</v>
      </c>
      <c r="AM10" s="2">
        <v>4</v>
      </c>
      <c r="AN10" s="2">
        <v>3</v>
      </c>
      <c r="AO10" s="2">
        <v>2</v>
      </c>
      <c r="AP10" s="2">
        <v>0</v>
      </c>
      <c r="AQ10" s="2">
        <v>2</v>
      </c>
      <c r="AR10" s="2">
        <v>3</v>
      </c>
      <c r="AS10" s="2">
        <v>1</v>
      </c>
      <c r="AT10" s="2">
        <v>2</v>
      </c>
      <c r="AU10" s="2">
        <v>2</v>
      </c>
      <c r="AV10" s="2"/>
      <c r="AW10" s="2">
        <v>1</v>
      </c>
      <c r="AX10" s="2">
        <v>0</v>
      </c>
      <c r="AY10" s="2">
        <v>1</v>
      </c>
      <c r="AZ10" s="2">
        <v>3</v>
      </c>
      <c r="BA10" s="2">
        <v>4</v>
      </c>
      <c r="BB10" s="2">
        <v>3</v>
      </c>
      <c r="BC10" s="2">
        <v>4</v>
      </c>
      <c r="BD10" s="2">
        <v>1</v>
      </c>
      <c r="BE10" s="2">
        <v>2</v>
      </c>
      <c r="BF10" s="2">
        <v>2</v>
      </c>
      <c r="BG10" s="2">
        <v>3</v>
      </c>
      <c r="BH10" s="2">
        <v>2</v>
      </c>
      <c r="BI10" s="2"/>
      <c r="BJ10" s="2">
        <v>3</v>
      </c>
      <c r="BK10" s="2">
        <v>3</v>
      </c>
      <c r="BL10" s="2">
        <v>2</v>
      </c>
      <c r="BM10" s="2">
        <v>8</v>
      </c>
      <c r="BN10" s="2">
        <v>8</v>
      </c>
      <c r="BO10" s="2">
        <v>8</v>
      </c>
      <c r="BP10" s="2" t="s">
        <v>233</v>
      </c>
      <c r="BQ10" s="2"/>
      <c r="BR10" s="2"/>
      <c r="BS10" s="2"/>
      <c r="BT10" s="2" t="s">
        <v>224</v>
      </c>
      <c r="BU10" s="2" t="s">
        <v>234</v>
      </c>
      <c r="BV10" s="2" t="s">
        <v>235</v>
      </c>
      <c r="BW10" s="2" t="s">
        <v>236</v>
      </c>
      <c r="BX10" s="2" t="s">
        <v>190</v>
      </c>
      <c r="BY10" s="2" t="s">
        <v>188</v>
      </c>
      <c r="BZ10" s="2" t="s">
        <v>191</v>
      </c>
      <c r="CA10" s="2" t="s">
        <v>191</v>
      </c>
      <c r="CB10" s="2" t="s">
        <v>190</v>
      </c>
      <c r="CC10" s="2" t="s">
        <v>190</v>
      </c>
      <c r="CD10" s="2" t="s">
        <v>189</v>
      </c>
      <c r="CE10" s="2" t="s">
        <v>189</v>
      </c>
      <c r="CF10" s="2" t="s">
        <v>190</v>
      </c>
      <c r="CG10" s="2" t="s">
        <v>189</v>
      </c>
      <c r="CH10" s="2" t="s">
        <v>191</v>
      </c>
      <c r="CI10" s="2" t="s">
        <v>189</v>
      </c>
      <c r="CJ10" s="2" t="s">
        <v>189</v>
      </c>
      <c r="CK10" s="2" t="s">
        <v>189</v>
      </c>
      <c r="CL10" s="2" t="s">
        <v>189</v>
      </c>
      <c r="CM10" s="2" t="s">
        <v>192</v>
      </c>
      <c r="CN10" s="2" t="s">
        <v>192</v>
      </c>
      <c r="CO10" s="2" t="s">
        <v>200</v>
      </c>
      <c r="CP10" s="2" t="s">
        <v>192</v>
      </c>
      <c r="CQ10" s="2" t="s">
        <v>192</v>
      </c>
      <c r="CR10" s="2" t="s">
        <v>193</v>
      </c>
      <c r="CS10" s="2" t="s">
        <v>193</v>
      </c>
      <c r="CT10" s="2" t="s">
        <v>192</v>
      </c>
      <c r="CU10" s="2" t="s">
        <v>192</v>
      </c>
      <c r="CV10" s="2" t="s">
        <v>200</v>
      </c>
      <c r="CW10" s="2" t="s">
        <v>192</v>
      </c>
      <c r="CX10" s="2" t="s">
        <v>192</v>
      </c>
      <c r="CY10" s="2" t="s">
        <v>192</v>
      </c>
      <c r="CZ10" s="2" t="s">
        <v>192</v>
      </c>
      <c r="DA10" s="2" t="s">
        <v>200</v>
      </c>
      <c r="DB10" s="2" t="s">
        <v>193</v>
      </c>
      <c r="DC10" s="2" t="s">
        <v>192</v>
      </c>
      <c r="DD10" s="2" t="s">
        <v>200</v>
      </c>
      <c r="DE10" s="2" t="s">
        <v>192</v>
      </c>
      <c r="DF10" s="2" t="s">
        <v>192</v>
      </c>
      <c r="DG10" s="2" t="s">
        <v>195</v>
      </c>
      <c r="DH10" s="2" t="s">
        <v>195</v>
      </c>
      <c r="DI10" s="2" t="s">
        <v>195</v>
      </c>
      <c r="DJ10" s="2" t="s">
        <v>220</v>
      </c>
      <c r="DK10" s="2" t="s">
        <v>194</v>
      </c>
      <c r="DL10" s="2" t="s">
        <v>195</v>
      </c>
      <c r="DM10" s="2" t="s">
        <v>195</v>
      </c>
      <c r="DN10" s="2" t="s">
        <v>196</v>
      </c>
      <c r="DO10" s="2" t="s">
        <v>220</v>
      </c>
      <c r="DP10" s="2" t="s">
        <v>196</v>
      </c>
      <c r="DQ10" s="2" t="s">
        <v>195</v>
      </c>
      <c r="DR10" s="2" t="s">
        <v>201</v>
      </c>
      <c r="DS10" s="2" t="s">
        <v>198</v>
      </c>
      <c r="DT10" s="2" t="s">
        <v>222</v>
      </c>
      <c r="DU10" s="2" t="s">
        <v>199</v>
      </c>
      <c r="DV10" s="2" t="s">
        <v>197</v>
      </c>
      <c r="DW10" s="2" t="s">
        <v>197</v>
      </c>
      <c r="DX10" s="2" t="s">
        <v>199</v>
      </c>
      <c r="DY10" s="2" t="s">
        <v>197</v>
      </c>
      <c r="DZ10" s="2"/>
      <c r="EA10" s="2">
        <v>1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1</v>
      </c>
      <c r="EI10" s="2">
        <v>0</v>
      </c>
      <c r="EJ10" s="2">
        <v>1</v>
      </c>
      <c r="EK10" s="2">
        <v>0</v>
      </c>
      <c r="EL10" s="2">
        <v>0</v>
      </c>
      <c r="EM10" s="2">
        <v>1</v>
      </c>
      <c r="EN10" s="2">
        <v>1</v>
      </c>
      <c r="EO10" s="2">
        <v>0</v>
      </c>
      <c r="EP10" s="2">
        <v>0</v>
      </c>
      <c r="EQ10" s="2">
        <v>1</v>
      </c>
      <c r="ER10" s="2">
        <v>0</v>
      </c>
      <c r="ES10" s="2">
        <v>1</v>
      </c>
      <c r="ET10" s="2">
        <v>0</v>
      </c>
      <c r="EU10" s="2">
        <v>1</v>
      </c>
      <c r="EV10" s="2">
        <v>1</v>
      </c>
      <c r="EW10" s="2">
        <v>0</v>
      </c>
      <c r="EX10" s="2">
        <v>0</v>
      </c>
      <c r="EY10" s="2">
        <v>1</v>
      </c>
      <c r="EZ10" s="2">
        <v>1</v>
      </c>
      <c r="FA10" s="2">
        <v>0</v>
      </c>
      <c r="FB10" s="2">
        <v>1</v>
      </c>
      <c r="FC10" s="2">
        <v>0</v>
      </c>
      <c r="FD10" s="2">
        <v>0</v>
      </c>
      <c r="FE10" s="2">
        <v>0</v>
      </c>
      <c r="FF10" s="2">
        <v>1</v>
      </c>
      <c r="FG10" s="2">
        <v>0</v>
      </c>
      <c r="FH10" s="2">
        <v>0</v>
      </c>
      <c r="FI10" s="2">
        <v>1</v>
      </c>
      <c r="FJ10" s="2">
        <v>1</v>
      </c>
      <c r="FK10" s="2">
        <v>0</v>
      </c>
      <c r="FL10" s="2">
        <v>0</v>
      </c>
      <c r="FM10" s="2">
        <v>1</v>
      </c>
      <c r="FN10" s="2">
        <v>0</v>
      </c>
      <c r="FO10" s="2">
        <v>1</v>
      </c>
      <c r="FP10" s="2">
        <v>0</v>
      </c>
      <c r="FQ10" s="2">
        <v>1</v>
      </c>
      <c r="FR10" s="2">
        <v>0</v>
      </c>
      <c r="FS10" s="2">
        <v>1</v>
      </c>
      <c r="FT10" s="2">
        <v>1</v>
      </c>
      <c r="FU10" s="2">
        <v>0</v>
      </c>
      <c r="FV10" s="2">
        <v>1</v>
      </c>
      <c r="FW10" s="2">
        <v>0</v>
      </c>
      <c r="FX10" s="2">
        <v>1</v>
      </c>
      <c r="FY10" s="2">
        <v>0</v>
      </c>
      <c r="FZ10" s="2"/>
      <c r="GA10" s="2">
        <v>4</v>
      </c>
      <c r="GB10" s="2">
        <v>3</v>
      </c>
      <c r="GC10" s="2">
        <v>2</v>
      </c>
      <c r="GD10" s="2">
        <v>0</v>
      </c>
      <c r="GE10" s="2">
        <v>2</v>
      </c>
      <c r="GG10" s="2">
        <v>3</v>
      </c>
      <c r="GH10" s="2">
        <v>4</v>
      </c>
      <c r="GI10" s="2">
        <v>3</v>
      </c>
      <c r="GJ10" s="2">
        <v>4</v>
      </c>
      <c r="GK10" s="2">
        <v>1</v>
      </c>
      <c r="GM10" s="4">
        <f t="shared" si="0"/>
        <v>11</v>
      </c>
      <c r="GN10" s="2">
        <f t="shared" si="1"/>
        <v>15</v>
      </c>
      <c r="GO10" s="2"/>
      <c r="GP10" s="2">
        <v>3</v>
      </c>
      <c r="GQ10" s="2">
        <v>1</v>
      </c>
      <c r="GR10" s="2">
        <v>2</v>
      </c>
      <c r="GS10" s="2">
        <v>2</v>
      </c>
      <c r="GU10" s="2">
        <v>1</v>
      </c>
      <c r="GV10" s="2">
        <v>0</v>
      </c>
      <c r="GW10" s="2">
        <v>1</v>
      </c>
      <c r="GY10" s="2">
        <v>2</v>
      </c>
      <c r="GZ10" s="2">
        <v>2</v>
      </c>
      <c r="HA10" s="2">
        <v>3</v>
      </c>
      <c r="HB10" s="2">
        <v>2</v>
      </c>
      <c r="HD10" s="2">
        <v>3</v>
      </c>
      <c r="HE10" s="2">
        <v>3</v>
      </c>
      <c r="HF10" s="2">
        <v>2</v>
      </c>
      <c r="HH10" s="2">
        <f t="shared" si="2"/>
        <v>10</v>
      </c>
      <c r="HI10" s="2">
        <f t="shared" si="3"/>
        <v>17</v>
      </c>
      <c r="HJ10" s="2"/>
      <c r="HK10" s="2">
        <v>8</v>
      </c>
      <c r="HL10" s="2">
        <v>8</v>
      </c>
      <c r="HM10" s="2"/>
      <c r="HN10" s="2"/>
    </row>
    <row r="11" spans="1:222" ht="15.75" customHeight="1" x14ac:dyDescent="0.2">
      <c r="A11" s="3" t="e">
        <f>VLOOKUP(B11,#REF!,1,FALSE)</f>
        <v>#REF!</v>
      </c>
      <c r="B11" s="3">
        <v>44628.477942743055</v>
      </c>
      <c r="C11" s="2">
        <v>13</v>
      </c>
      <c r="D11" s="2" t="s">
        <v>185</v>
      </c>
      <c r="E11" s="2">
        <v>0</v>
      </c>
      <c r="F11" s="2" t="s">
        <v>237</v>
      </c>
      <c r="G11" s="2">
        <v>15</v>
      </c>
      <c r="H11" s="2">
        <v>2</v>
      </c>
      <c r="I11" s="2">
        <v>1</v>
      </c>
      <c r="J11" s="2">
        <v>7</v>
      </c>
      <c r="K11" s="2">
        <v>2</v>
      </c>
      <c r="L11" s="2">
        <v>5</v>
      </c>
      <c r="M11" s="2" t="s">
        <v>187</v>
      </c>
      <c r="N11" s="2">
        <v>3</v>
      </c>
      <c r="O11" s="2">
        <v>4</v>
      </c>
      <c r="P11" s="2">
        <v>0</v>
      </c>
      <c r="Q11" s="2">
        <v>0</v>
      </c>
      <c r="R11" s="2">
        <v>3</v>
      </c>
      <c r="S11" s="2">
        <v>-1</v>
      </c>
      <c r="T11" s="2">
        <v>-1</v>
      </c>
      <c r="U11" s="2">
        <v>0</v>
      </c>
      <c r="V11" s="2">
        <v>-1</v>
      </c>
      <c r="W11" s="2">
        <v>-1</v>
      </c>
      <c r="X11" s="2"/>
      <c r="Y11" s="2">
        <v>-1</v>
      </c>
      <c r="Z11" s="2">
        <v>1</v>
      </c>
      <c r="AA11" s="2">
        <v>1</v>
      </c>
      <c r="AB11" s="2">
        <v>2</v>
      </c>
      <c r="AC11" s="2">
        <v>2</v>
      </c>
      <c r="AD11" s="2">
        <v>2</v>
      </c>
      <c r="AE11" s="2">
        <v>2</v>
      </c>
      <c r="AF11" s="2">
        <v>2</v>
      </c>
      <c r="AG11" s="2">
        <v>-1</v>
      </c>
      <c r="AH11" s="2">
        <v>1</v>
      </c>
      <c r="AI11" s="2">
        <v>1</v>
      </c>
      <c r="AJ11" s="2">
        <v>1</v>
      </c>
      <c r="AK11" s="2">
        <v>2</v>
      </c>
      <c r="AL11" s="2">
        <v>2</v>
      </c>
      <c r="AM11" s="2">
        <v>3</v>
      </c>
      <c r="AN11" s="2">
        <v>4</v>
      </c>
      <c r="AO11" s="2">
        <v>2</v>
      </c>
      <c r="AP11" s="2">
        <v>2</v>
      </c>
      <c r="AQ11" s="2">
        <v>2</v>
      </c>
      <c r="AR11" s="2">
        <v>3</v>
      </c>
      <c r="AS11" s="2">
        <v>1</v>
      </c>
      <c r="AT11" s="2">
        <v>0</v>
      </c>
      <c r="AU11" s="2">
        <v>1</v>
      </c>
      <c r="AV11" s="2"/>
      <c r="AW11" s="2">
        <v>1</v>
      </c>
      <c r="AX11" s="2">
        <v>0</v>
      </c>
      <c r="AY11" s="2">
        <v>2</v>
      </c>
      <c r="AZ11" s="2">
        <v>4</v>
      </c>
      <c r="BA11" s="2">
        <v>4</v>
      </c>
      <c r="BB11" s="2">
        <v>4</v>
      </c>
      <c r="BC11" s="2">
        <v>4</v>
      </c>
      <c r="BD11" s="2">
        <v>3</v>
      </c>
      <c r="BE11" s="2">
        <v>3</v>
      </c>
      <c r="BF11" s="2">
        <v>1</v>
      </c>
      <c r="BG11" s="2">
        <v>0</v>
      </c>
      <c r="BH11" s="2">
        <v>1</v>
      </c>
      <c r="BI11" s="2"/>
      <c r="BJ11" s="2">
        <v>1</v>
      </c>
      <c r="BK11" s="2">
        <v>0</v>
      </c>
      <c r="BL11" s="2">
        <v>2</v>
      </c>
      <c r="BM11" s="2">
        <v>9</v>
      </c>
      <c r="BN11" s="2">
        <v>9</v>
      </c>
      <c r="BO11" s="2">
        <v>9</v>
      </c>
      <c r="BP11" s="2" t="s">
        <v>238</v>
      </c>
      <c r="BQ11" s="2"/>
      <c r="BR11" s="2"/>
      <c r="BS11" s="2"/>
      <c r="BT11" s="2"/>
      <c r="BU11" s="2"/>
      <c r="BV11" s="2" t="s">
        <v>239</v>
      </c>
      <c r="BW11" s="2" t="s">
        <v>240</v>
      </c>
      <c r="BX11" s="2" t="s">
        <v>191</v>
      </c>
      <c r="BY11" s="2" t="s">
        <v>190</v>
      </c>
      <c r="BZ11" s="2" t="s">
        <v>188</v>
      </c>
      <c r="CA11" s="2" t="s">
        <v>190</v>
      </c>
      <c r="CB11" s="2" t="s">
        <v>188</v>
      </c>
      <c r="CC11" s="2" t="s">
        <v>191</v>
      </c>
      <c r="CD11" s="2" t="s">
        <v>189</v>
      </c>
      <c r="CE11" s="2" t="s">
        <v>189</v>
      </c>
      <c r="CF11" s="2" t="s">
        <v>188</v>
      </c>
      <c r="CG11" s="2" t="s">
        <v>188</v>
      </c>
      <c r="CH11" s="2" t="s">
        <v>188</v>
      </c>
      <c r="CI11" s="2" t="s">
        <v>189</v>
      </c>
      <c r="CJ11" s="2" t="s">
        <v>189</v>
      </c>
      <c r="CK11" s="2" t="s">
        <v>189</v>
      </c>
      <c r="CL11" s="2" t="s">
        <v>189</v>
      </c>
      <c r="CM11" s="2" t="s">
        <v>192</v>
      </c>
      <c r="CN11" s="2" t="s">
        <v>192</v>
      </c>
      <c r="CO11" s="2" t="s">
        <v>193</v>
      </c>
      <c r="CP11" s="2" t="s">
        <v>192</v>
      </c>
      <c r="CQ11" s="2" t="s">
        <v>192</v>
      </c>
      <c r="CR11" s="2" t="s">
        <v>192</v>
      </c>
      <c r="CS11" s="2" t="s">
        <v>192</v>
      </c>
      <c r="CT11" s="2" t="s">
        <v>192</v>
      </c>
      <c r="CU11" s="2" t="s">
        <v>192</v>
      </c>
      <c r="CV11" s="2" t="s">
        <v>200</v>
      </c>
      <c r="CW11" s="2" t="s">
        <v>193</v>
      </c>
      <c r="CX11" s="2" t="s">
        <v>193</v>
      </c>
      <c r="CY11" s="2" t="s">
        <v>200</v>
      </c>
      <c r="CZ11" s="2" t="s">
        <v>192</v>
      </c>
      <c r="DA11" s="2" t="s">
        <v>193</v>
      </c>
      <c r="DB11" s="2" t="s">
        <v>192</v>
      </c>
      <c r="DC11" s="2" t="s">
        <v>192</v>
      </c>
      <c r="DD11" s="2" t="s">
        <v>193</v>
      </c>
      <c r="DE11" s="2" t="s">
        <v>200</v>
      </c>
      <c r="DF11" s="2" t="s">
        <v>193</v>
      </c>
      <c r="DG11" s="2" t="s">
        <v>196</v>
      </c>
      <c r="DH11" s="2" t="s">
        <v>196</v>
      </c>
      <c r="DI11" s="2" t="s">
        <v>196</v>
      </c>
      <c r="DJ11" s="2" t="s">
        <v>196</v>
      </c>
      <c r="DK11" s="2" t="s">
        <v>196</v>
      </c>
      <c r="DL11" s="2" t="s">
        <v>195</v>
      </c>
      <c r="DM11" s="2" t="s">
        <v>195</v>
      </c>
      <c r="DN11" s="2" t="s">
        <v>196</v>
      </c>
      <c r="DO11" s="2" t="s">
        <v>220</v>
      </c>
      <c r="DP11" s="2" t="s">
        <v>194</v>
      </c>
      <c r="DQ11" s="2" t="s">
        <v>195</v>
      </c>
      <c r="DR11" s="2" t="s">
        <v>196</v>
      </c>
      <c r="DS11" s="2" t="s">
        <v>197</v>
      </c>
      <c r="DT11" s="2" t="s">
        <v>197</v>
      </c>
      <c r="DU11" s="2" t="s">
        <v>197</v>
      </c>
      <c r="DV11" s="2" t="s">
        <v>197</v>
      </c>
      <c r="DW11" s="2" t="s">
        <v>197</v>
      </c>
      <c r="DX11" s="2" t="s">
        <v>198</v>
      </c>
      <c r="DY11" s="2" t="s">
        <v>197</v>
      </c>
      <c r="DZ11" s="2"/>
      <c r="EA11" s="2">
        <v>1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1</v>
      </c>
      <c r="EJ11" s="2">
        <v>0</v>
      </c>
      <c r="EK11" s="2">
        <v>1</v>
      </c>
      <c r="EL11" s="2">
        <v>0</v>
      </c>
      <c r="EM11" s="2">
        <v>1</v>
      </c>
      <c r="EN11" s="2">
        <v>0</v>
      </c>
      <c r="EO11" s="2">
        <v>1</v>
      </c>
      <c r="EP11" s="2">
        <v>0</v>
      </c>
      <c r="EQ11" s="2">
        <v>1</v>
      </c>
      <c r="ER11" s="2">
        <v>0</v>
      </c>
      <c r="ES11" s="2">
        <v>1</v>
      </c>
      <c r="ET11" s="2">
        <v>0</v>
      </c>
      <c r="EU11" s="2">
        <v>1</v>
      </c>
      <c r="EV11" s="2">
        <v>1</v>
      </c>
      <c r="EW11" s="2">
        <v>0</v>
      </c>
      <c r="EX11" s="2">
        <v>0</v>
      </c>
      <c r="EY11" s="2">
        <v>1</v>
      </c>
      <c r="EZ11" s="2">
        <v>1</v>
      </c>
      <c r="FA11" s="2">
        <v>0</v>
      </c>
      <c r="FB11" s="2">
        <v>1</v>
      </c>
      <c r="FC11" s="2">
        <v>0</v>
      </c>
      <c r="FD11" s="2">
        <v>0</v>
      </c>
      <c r="FE11" s="2">
        <v>0</v>
      </c>
      <c r="FF11" s="2">
        <v>1</v>
      </c>
      <c r="FG11" s="2">
        <v>0</v>
      </c>
      <c r="FH11" s="2">
        <v>1</v>
      </c>
      <c r="FI11" s="2">
        <v>0</v>
      </c>
      <c r="FJ11" s="2">
        <v>1</v>
      </c>
      <c r="FK11" s="2">
        <v>0</v>
      </c>
      <c r="FL11" s="2">
        <v>0</v>
      </c>
      <c r="FM11" s="2">
        <v>1</v>
      </c>
      <c r="FN11" s="2">
        <v>0</v>
      </c>
      <c r="FO11" s="2">
        <v>1</v>
      </c>
      <c r="FP11" s="2">
        <v>0</v>
      </c>
      <c r="FQ11" s="2">
        <v>1</v>
      </c>
      <c r="FR11" s="2">
        <v>0</v>
      </c>
      <c r="FS11" s="2">
        <v>1</v>
      </c>
      <c r="FT11" s="2">
        <v>0</v>
      </c>
      <c r="FU11" s="2">
        <v>1</v>
      </c>
      <c r="FV11" s="2">
        <v>0</v>
      </c>
      <c r="FW11" s="2">
        <v>1</v>
      </c>
      <c r="FX11" s="2">
        <v>1</v>
      </c>
      <c r="FY11" s="2">
        <v>0</v>
      </c>
      <c r="FZ11" s="2"/>
      <c r="GA11" s="2">
        <v>3</v>
      </c>
      <c r="GB11" s="2">
        <v>4</v>
      </c>
      <c r="GC11" s="2">
        <v>2</v>
      </c>
      <c r="GD11" s="2">
        <v>2</v>
      </c>
      <c r="GE11" s="2">
        <v>2</v>
      </c>
      <c r="GG11" s="2">
        <v>4</v>
      </c>
      <c r="GH11" s="2">
        <v>4</v>
      </c>
      <c r="GI11" s="2">
        <v>4</v>
      </c>
      <c r="GJ11" s="2">
        <v>4</v>
      </c>
      <c r="GK11" s="2">
        <v>3</v>
      </c>
      <c r="GM11" s="4">
        <f t="shared" si="0"/>
        <v>13</v>
      </c>
      <c r="GN11" s="2">
        <f t="shared" si="1"/>
        <v>19</v>
      </c>
      <c r="GO11" s="2"/>
      <c r="GP11" s="2">
        <v>3</v>
      </c>
      <c r="GQ11" s="2">
        <v>1</v>
      </c>
      <c r="GR11" s="2">
        <v>0</v>
      </c>
      <c r="GS11" s="2">
        <v>1</v>
      </c>
      <c r="GU11" s="2">
        <v>1</v>
      </c>
      <c r="GV11" s="2">
        <v>0</v>
      </c>
      <c r="GW11" s="2">
        <v>2</v>
      </c>
      <c r="GY11" s="2">
        <v>3</v>
      </c>
      <c r="GZ11" s="2">
        <v>1</v>
      </c>
      <c r="HA11" s="2">
        <v>0</v>
      </c>
      <c r="HB11" s="2">
        <v>1</v>
      </c>
      <c r="HD11" s="2">
        <v>1</v>
      </c>
      <c r="HE11" s="2">
        <v>0</v>
      </c>
      <c r="HF11" s="2">
        <v>2</v>
      </c>
      <c r="HH11" s="2">
        <f t="shared" si="2"/>
        <v>8</v>
      </c>
      <c r="HI11" s="2">
        <f t="shared" si="3"/>
        <v>8</v>
      </c>
      <c r="HJ11" s="2"/>
      <c r="HK11" s="2">
        <v>9</v>
      </c>
      <c r="HL11" s="2">
        <v>9</v>
      </c>
      <c r="HM11" s="2"/>
      <c r="HN11" s="2"/>
    </row>
    <row r="12" spans="1:222" ht="15.75" customHeight="1" x14ac:dyDescent="0.2">
      <c r="A12" s="3" t="e">
        <f>VLOOKUP(B12,#REF!,1,FALSE)</f>
        <v>#REF!</v>
      </c>
      <c r="B12" s="3">
        <v>44640.745883217591</v>
      </c>
      <c r="C12" s="2">
        <v>14</v>
      </c>
      <c r="D12" s="2" t="s">
        <v>185</v>
      </c>
      <c r="E12" s="2">
        <v>0</v>
      </c>
      <c r="F12" s="2" t="s">
        <v>237</v>
      </c>
      <c r="G12" s="2">
        <v>8</v>
      </c>
      <c r="H12" s="2">
        <v>2</v>
      </c>
      <c r="I12" s="2">
        <v>1</v>
      </c>
      <c r="J12" s="2">
        <v>4</v>
      </c>
      <c r="K12" s="2">
        <v>0</v>
      </c>
      <c r="L12" s="2">
        <v>4</v>
      </c>
      <c r="M12" s="2" t="s">
        <v>187</v>
      </c>
      <c r="N12" s="2">
        <v>2</v>
      </c>
      <c r="O12" s="2">
        <v>3</v>
      </c>
      <c r="P12" s="2">
        <v>0</v>
      </c>
      <c r="Q12" s="2" t="s">
        <v>241</v>
      </c>
      <c r="R12" s="2">
        <v>3</v>
      </c>
      <c r="S12" s="2">
        <v>0</v>
      </c>
      <c r="T12" s="2">
        <v>-1</v>
      </c>
      <c r="U12" s="2">
        <v>-1</v>
      </c>
      <c r="V12" s="2">
        <v>-1</v>
      </c>
      <c r="W12" s="2">
        <v>-1</v>
      </c>
      <c r="X12" s="2"/>
      <c r="Y12" s="2">
        <v>-1</v>
      </c>
      <c r="Z12" s="2">
        <v>1</v>
      </c>
      <c r="AA12" s="2">
        <v>1</v>
      </c>
      <c r="AB12" s="2">
        <v>2</v>
      </c>
      <c r="AC12" s="2">
        <v>2</v>
      </c>
      <c r="AD12" s="2">
        <v>4</v>
      </c>
      <c r="AE12" s="2">
        <v>2</v>
      </c>
      <c r="AF12" s="2">
        <v>4</v>
      </c>
      <c r="AG12" s="2">
        <v>-2</v>
      </c>
      <c r="AH12" s="2">
        <v>-1</v>
      </c>
      <c r="AI12" s="2">
        <v>1</v>
      </c>
      <c r="AJ12" s="2">
        <v>1</v>
      </c>
      <c r="AK12" s="2">
        <v>-2</v>
      </c>
      <c r="AL12" s="2">
        <v>-2</v>
      </c>
      <c r="AM12" s="2">
        <v>4</v>
      </c>
      <c r="AN12" s="2">
        <v>4</v>
      </c>
      <c r="AO12" s="2">
        <v>4</v>
      </c>
      <c r="AP12" s="2">
        <v>3</v>
      </c>
      <c r="AQ12" s="2">
        <v>3</v>
      </c>
      <c r="AR12" s="2">
        <v>2</v>
      </c>
      <c r="AS12" s="2">
        <v>1</v>
      </c>
      <c r="AT12" s="2">
        <v>0</v>
      </c>
      <c r="AU12" s="2">
        <v>1</v>
      </c>
      <c r="AV12" s="2"/>
      <c r="AW12" s="2">
        <v>1</v>
      </c>
      <c r="AX12" s="2">
        <v>1</v>
      </c>
      <c r="AY12" s="2">
        <v>1</v>
      </c>
      <c r="AZ12" s="2">
        <v>3</v>
      </c>
      <c r="BA12" s="2">
        <v>3</v>
      </c>
      <c r="BB12" s="2">
        <v>3</v>
      </c>
      <c r="BC12" s="2">
        <v>3</v>
      </c>
      <c r="BD12" s="2">
        <v>1</v>
      </c>
      <c r="BE12" s="2">
        <v>2</v>
      </c>
      <c r="BF12" s="2">
        <v>1</v>
      </c>
      <c r="BG12" s="2">
        <v>1</v>
      </c>
      <c r="BH12" s="2">
        <v>1</v>
      </c>
      <c r="BI12" s="2"/>
      <c r="BJ12" s="2">
        <v>2</v>
      </c>
      <c r="BK12" s="2">
        <v>1</v>
      </c>
      <c r="BL12" s="2">
        <v>1</v>
      </c>
      <c r="BM12" s="2">
        <v>7</v>
      </c>
      <c r="BN12" s="2">
        <v>8</v>
      </c>
      <c r="BO12" s="2">
        <v>8</v>
      </c>
      <c r="BP12" s="2"/>
      <c r="BQ12" s="2"/>
      <c r="BR12" s="2"/>
      <c r="BS12" s="2" t="s">
        <v>242</v>
      </c>
      <c r="BT12" s="2" t="s">
        <v>243</v>
      </c>
      <c r="BU12" s="2" t="s">
        <v>244</v>
      </c>
      <c r="BV12" s="2" t="s">
        <v>245</v>
      </c>
      <c r="BW12" s="2" t="s">
        <v>246</v>
      </c>
      <c r="BX12" s="2" t="s">
        <v>188</v>
      </c>
      <c r="BY12" s="2" t="s">
        <v>188</v>
      </c>
      <c r="BZ12" s="2" t="s">
        <v>190</v>
      </c>
      <c r="CA12" s="2" t="s">
        <v>188</v>
      </c>
      <c r="CB12" s="2" t="s">
        <v>188</v>
      </c>
      <c r="CC12" s="2" t="s">
        <v>188</v>
      </c>
      <c r="CD12" s="2" t="s">
        <v>189</v>
      </c>
      <c r="CE12" s="2" t="s">
        <v>188</v>
      </c>
      <c r="CF12" s="2" t="s">
        <v>188</v>
      </c>
      <c r="CG12" s="2" t="s">
        <v>188</v>
      </c>
      <c r="CH12" s="2" t="s">
        <v>188</v>
      </c>
      <c r="CI12" s="2" t="s">
        <v>190</v>
      </c>
      <c r="CJ12" s="2" t="s">
        <v>190</v>
      </c>
      <c r="CK12" s="2" t="s">
        <v>191</v>
      </c>
      <c r="CL12" s="2" t="s">
        <v>188</v>
      </c>
      <c r="CM12" s="2" t="s">
        <v>200</v>
      </c>
      <c r="CN12" s="2" t="s">
        <v>193</v>
      </c>
      <c r="CO12" s="2" t="s">
        <v>192</v>
      </c>
      <c r="CP12" s="2" t="s">
        <v>200</v>
      </c>
      <c r="CQ12" s="2" t="s">
        <v>193</v>
      </c>
      <c r="CR12" s="2" t="s">
        <v>193</v>
      </c>
      <c r="CS12" s="2" t="s">
        <v>192</v>
      </c>
      <c r="CT12" s="2" t="s">
        <v>193</v>
      </c>
      <c r="CU12" s="2" t="s">
        <v>192</v>
      </c>
      <c r="CV12" s="2" t="s">
        <v>200</v>
      </c>
      <c r="CW12" s="2" t="s">
        <v>192</v>
      </c>
      <c r="CX12" s="2" t="s">
        <v>193</v>
      </c>
      <c r="CY12" s="2" t="s">
        <v>193</v>
      </c>
      <c r="CZ12" s="2" t="s">
        <v>192</v>
      </c>
      <c r="DA12" s="2" t="s">
        <v>192</v>
      </c>
      <c r="DB12" s="2" t="s">
        <v>192</v>
      </c>
      <c r="DC12" s="2" t="s">
        <v>192</v>
      </c>
      <c r="DD12" s="2" t="s">
        <v>193</v>
      </c>
      <c r="DE12" s="2" t="s">
        <v>193</v>
      </c>
      <c r="DF12" s="2" t="s">
        <v>200</v>
      </c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>
        <v>0</v>
      </c>
      <c r="EB12" s="2">
        <v>1</v>
      </c>
      <c r="EC12" s="2">
        <v>0</v>
      </c>
      <c r="ED12" s="2">
        <v>0</v>
      </c>
      <c r="EE12" s="2">
        <v>1</v>
      </c>
      <c r="EF12" s="2">
        <v>0</v>
      </c>
      <c r="EG12" s="2">
        <v>0</v>
      </c>
      <c r="EH12" s="2">
        <v>0</v>
      </c>
      <c r="EI12" s="2">
        <v>0</v>
      </c>
      <c r="EJ12" s="2">
        <v>1</v>
      </c>
      <c r="EK12" s="2">
        <v>0</v>
      </c>
      <c r="EL12" s="2">
        <v>0</v>
      </c>
      <c r="EM12" s="2">
        <v>1</v>
      </c>
      <c r="EN12" s="2">
        <v>1</v>
      </c>
      <c r="EO12" s="2">
        <v>0</v>
      </c>
      <c r="EP12" s="2">
        <v>0</v>
      </c>
      <c r="EQ12" s="2">
        <v>0</v>
      </c>
      <c r="ER12" s="2">
        <v>0</v>
      </c>
      <c r="ES12" s="2">
        <v>1</v>
      </c>
      <c r="ET12" s="2">
        <v>0</v>
      </c>
      <c r="EU12" s="2">
        <v>1</v>
      </c>
      <c r="EV12" s="2">
        <v>0</v>
      </c>
      <c r="EW12" s="2">
        <v>0</v>
      </c>
      <c r="EX12" s="2">
        <v>0</v>
      </c>
      <c r="EY12" s="2">
        <v>1</v>
      </c>
      <c r="EZ12" s="2">
        <v>1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1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1</v>
      </c>
      <c r="FP12" s="2">
        <v>0</v>
      </c>
      <c r="FQ12" s="2">
        <v>1</v>
      </c>
      <c r="FR12" s="2">
        <v>0</v>
      </c>
      <c r="FS12" s="2">
        <v>1</v>
      </c>
      <c r="FT12" s="2">
        <v>1</v>
      </c>
      <c r="FU12" s="2">
        <v>0</v>
      </c>
      <c r="FV12" s="2">
        <v>0</v>
      </c>
      <c r="FW12" s="2">
        <v>0</v>
      </c>
      <c r="FX12" s="2">
        <v>0</v>
      </c>
      <c r="FY12" s="2">
        <v>1</v>
      </c>
      <c r="FZ12" s="2"/>
      <c r="GA12" s="2">
        <v>4</v>
      </c>
      <c r="GB12" s="2">
        <v>4</v>
      </c>
      <c r="GC12" s="2">
        <v>4</v>
      </c>
      <c r="GD12" s="2">
        <v>3</v>
      </c>
      <c r="GE12" s="2">
        <v>3</v>
      </c>
      <c r="GG12" s="2">
        <v>3</v>
      </c>
      <c r="GH12" s="2">
        <v>3</v>
      </c>
      <c r="GI12" s="2">
        <v>3</v>
      </c>
      <c r="GJ12" s="2">
        <v>3</v>
      </c>
      <c r="GK12" s="2">
        <v>1</v>
      </c>
      <c r="GM12" s="4">
        <f t="shared" si="0"/>
        <v>18</v>
      </c>
      <c r="GN12" s="2">
        <f t="shared" si="1"/>
        <v>13</v>
      </c>
      <c r="GO12" s="2"/>
      <c r="GP12" s="2">
        <v>2</v>
      </c>
      <c r="GQ12" s="2">
        <v>1</v>
      </c>
      <c r="GR12" s="2">
        <v>0</v>
      </c>
      <c r="GS12" s="2">
        <v>1</v>
      </c>
      <c r="GU12" s="2">
        <v>1</v>
      </c>
      <c r="GV12" s="2">
        <v>1</v>
      </c>
      <c r="GW12" s="2">
        <v>1</v>
      </c>
      <c r="GY12" s="2">
        <v>2</v>
      </c>
      <c r="GZ12" s="2">
        <v>1</v>
      </c>
      <c r="HA12" s="2">
        <v>1</v>
      </c>
      <c r="HB12" s="2">
        <v>1</v>
      </c>
      <c r="HD12" s="2">
        <v>2</v>
      </c>
      <c r="HE12" s="2">
        <v>1</v>
      </c>
      <c r="HF12" s="2">
        <v>1</v>
      </c>
      <c r="HH12" s="2">
        <f t="shared" si="2"/>
        <v>7</v>
      </c>
      <c r="HI12" s="2">
        <f t="shared" si="3"/>
        <v>9</v>
      </c>
      <c r="HJ12" s="2"/>
      <c r="HK12" s="2">
        <v>8</v>
      </c>
      <c r="HL12" s="2">
        <v>8</v>
      </c>
      <c r="HM12" s="2"/>
      <c r="HN12" s="2"/>
    </row>
    <row r="13" spans="1:222" ht="15.75" customHeight="1" x14ac:dyDescent="0.2">
      <c r="A13" s="3" t="e">
        <f>VLOOKUP(B13,#REF!,1,FALSE)</f>
        <v>#REF!</v>
      </c>
      <c r="B13" s="3">
        <v>44640.762115300924</v>
      </c>
      <c r="C13" s="2">
        <v>15</v>
      </c>
      <c r="D13" s="2" t="s">
        <v>185</v>
      </c>
      <c r="E13" s="2">
        <v>0</v>
      </c>
      <c r="F13" s="2" t="s">
        <v>186</v>
      </c>
      <c r="G13" s="2">
        <v>8</v>
      </c>
      <c r="H13" s="2">
        <v>2</v>
      </c>
      <c r="I13" s="2">
        <v>1</v>
      </c>
      <c r="J13" s="2">
        <v>2</v>
      </c>
      <c r="K13" s="2">
        <v>0</v>
      </c>
      <c r="L13" s="2">
        <v>4</v>
      </c>
      <c r="M13" s="2" t="s">
        <v>187</v>
      </c>
      <c r="N13" s="2">
        <v>2</v>
      </c>
      <c r="O13" s="2">
        <v>2</v>
      </c>
      <c r="P13" s="2">
        <v>0</v>
      </c>
      <c r="Q13" s="2">
        <v>2</v>
      </c>
      <c r="R13" s="2">
        <v>3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/>
      <c r="Y13" s="2">
        <v>-1</v>
      </c>
      <c r="Z13" s="2">
        <v>1</v>
      </c>
      <c r="AA13" s="2">
        <v>0</v>
      </c>
      <c r="AB13" s="2">
        <v>1</v>
      </c>
      <c r="AC13" s="2">
        <v>4</v>
      </c>
      <c r="AD13" s="2">
        <v>4</v>
      </c>
      <c r="AE13" s="2">
        <v>1</v>
      </c>
      <c r="AF13" s="2">
        <v>1</v>
      </c>
      <c r="AG13" s="2">
        <v>-1</v>
      </c>
      <c r="AH13" s="2">
        <v>-1</v>
      </c>
      <c r="AI13" s="2">
        <v>-1</v>
      </c>
      <c r="AJ13" s="2">
        <v>3</v>
      </c>
      <c r="AK13" s="2">
        <v>-1</v>
      </c>
      <c r="AL13" s="2">
        <v>-1</v>
      </c>
      <c r="AM13" s="2">
        <v>1</v>
      </c>
      <c r="AN13" s="2">
        <v>1</v>
      </c>
      <c r="AO13" s="2">
        <v>1</v>
      </c>
      <c r="AP13" s="2">
        <v>3</v>
      </c>
      <c r="AQ13" s="2">
        <v>1</v>
      </c>
      <c r="AR13" s="2">
        <v>0</v>
      </c>
      <c r="AS13" s="2">
        <v>1</v>
      </c>
      <c r="AT13" s="2">
        <v>1</v>
      </c>
      <c r="AU13" s="2">
        <v>1</v>
      </c>
      <c r="AV13" s="2"/>
      <c r="AW13" s="2">
        <v>2</v>
      </c>
      <c r="AX13" s="2">
        <v>1</v>
      </c>
      <c r="AY13" s="2">
        <v>-1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/>
      <c r="BJ13" s="2">
        <v>0</v>
      </c>
      <c r="BK13" s="2">
        <v>0</v>
      </c>
      <c r="BL13" s="2">
        <v>-1</v>
      </c>
      <c r="BM13" s="2">
        <v>5</v>
      </c>
      <c r="BN13" s="2">
        <v>5</v>
      </c>
      <c r="BO13" s="2">
        <v>5</v>
      </c>
      <c r="BP13" s="2"/>
      <c r="BQ13" s="2"/>
      <c r="BR13" s="2"/>
      <c r="BS13" s="2"/>
      <c r="BT13" s="2"/>
      <c r="BU13" s="2"/>
      <c r="BV13" s="2"/>
      <c r="BW13" s="2"/>
      <c r="BX13" s="2" t="s">
        <v>188</v>
      </c>
      <c r="BY13" s="2" t="s">
        <v>191</v>
      </c>
      <c r="BZ13" s="2" t="s">
        <v>188</v>
      </c>
      <c r="CA13" s="2" t="s">
        <v>188</v>
      </c>
      <c r="CB13" s="2" t="s">
        <v>188</v>
      </c>
      <c r="CC13" s="2" t="s">
        <v>188</v>
      </c>
      <c r="CD13" s="2" t="s">
        <v>189</v>
      </c>
      <c r="CE13" s="2" t="s">
        <v>189</v>
      </c>
      <c r="CF13" s="2" t="s">
        <v>191</v>
      </c>
      <c r="CG13" s="2" t="s">
        <v>190</v>
      </c>
      <c r="CH13" s="2" t="s">
        <v>191</v>
      </c>
      <c r="CI13" s="2" t="s">
        <v>191</v>
      </c>
      <c r="CJ13" s="2" t="s">
        <v>189</v>
      </c>
      <c r="CK13" s="2" t="s">
        <v>189</v>
      </c>
      <c r="CL13" s="2" t="s">
        <v>191</v>
      </c>
      <c r="CM13" s="2" t="s">
        <v>193</v>
      </c>
      <c r="CN13" s="2" t="s">
        <v>193</v>
      </c>
      <c r="CO13" s="2" t="s">
        <v>193</v>
      </c>
      <c r="CP13" s="2" t="s">
        <v>200</v>
      </c>
      <c r="CQ13" s="2" t="s">
        <v>193</v>
      </c>
      <c r="CR13" s="2" t="s">
        <v>200</v>
      </c>
      <c r="CS13" s="2" t="s">
        <v>200</v>
      </c>
      <c r="CT13" s="2" t="s">
        <v>200</v>
      </c>
      <c r="CU13" s="2" t="s">
        <v>200</v>
      </c>
      <c r="CV13" s="2" t="s">
        <v>193</v>
      </c>
      <c r="CW13" s="2" t="s">
        <v>192</v>
      </c>
      <c r="CX13" s="2" t="s">
        <v>200</v>
      </c>
      <c r="CY13" s="2" t="s">
        <v>192</v>
      </c>
      <c r="CZ13" s="2" t="s">
        <v>192</v>
      </c>
      <c r="DA13" s="2" t="s">
        <v>200</v>
      </c>
      <c r="DB13" s="2" t="s">
        <v>192</v>
      </c>
      <c r="DC13" s="2" t="s">
        <v>192</v>
      </c>
      <c r="DD13" s="2" t="s">
        <v>193</v>
      </c>
      <c r="DE13" s="2" t="s">
        <v>200</v>
      </c>
      <c r="DF13" s="2" t="s">
        <v>192</v>
      </c>
      <c r="DG13" s="2" t="s">
        <v>195</v>
      </c>
      <c r="DH13" s="2" t="s">
        <v>195</v>
      </c>
      <c r="DI13" s="2" t="s">
        <v>195</v>
      </c>
      <c r="DJ13" s="2" t="s">
        <v>195</v>
      </c>
      <c r="DK13" s="2" t="s">
        <v>194</v>
      </c>
      <c r="DL13" s="2" t="s">
        <v>195</v>
      </c>
      <c r="DM13" s="2" t="s">
        <v>195</v>
      </c>
      <c r="DN13" s="2" t="s">
        <v>196</v>
      </c>
      <c r="DO13" s="2" t="s">
        <v>220</v>
      </c>
      <c r="DP13" s="2" t="s">
        <v>194</v>
      </c>
      <c r="DQ13" s="2" t="s">
        <v>194</v>
      </c>
      <c r="DR13" s="2" t="s">
        <v>195</v>
      </c>
      <c r="DS13" s="2" t="s">
        <v>197</v>
      </c>
      <c r="DT13" s="2" t="s">
        <v>197</v>
      </c>
      <c r="DU13" s="2" t="s">
        <v>197</v>
      </c>
      <c r="DV13" s="2" t="s">
        <v>197</v>
      </c>
      <c r="DW13" s="2" t="s">
        <v>197</v>
      </c>
      <c r="DX13" s="2" t="s">
        <v>199</v>
      </c>
      <c r="DY13" s="2" t="s">
        <v>197</v>
      </c>
      <c r="DZ13" s="2"/>
      <c r="EA13" s="2">
        <v>0</v>
      </c>
      <c r="EB13" s="2">
        <v>1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1</v>
      </c>
      <c r="EJ13" s="2">
        <v>0</v>
      </c>
      <c r="EK13" s="2">
        <v>1</v>
      </c>
      <c r="EL13" s="2">
        <v>0</v>
      </c>
      <c r="EM13" s="2">
        <v>1</v>
      </c>
      <c r="EN13" s="2">
        <v>1</v>
      </c>
      <c r="EO13" s="2">
        <v>0</v>
      </c>
      <c r="EP13" s="2">
        <v>0</v>
      </c>
      <c r="EQ13" s="2">
        <v>1</v>
      </c>
      <c r="ER13" s="2">
        <v>0</v>
      </c>
      <c r="ES13" s="2">
        <v>1</v>
      </c>
      <c r="ET13" s="2">
        <v>0</v>
      </c>
      <c r="EU13" s="2">
        <v>1</v>
      </c>
      <c r="EV13" s="2">
        <v>1</v>
      </c>
      <c r="EW13" s="2">
        <v>0</v>
      </c>
      <c r="EX13" s="2">
        <v>0</v>
      </c>
      <c r="EY13" s="2">
        <v>1</v>
      </c>
      <c r="EZ13" s="2">
        <v>1</v>
      </c>
      <c r="FA13" s="2">
        <v>0</v>
      </c>
      <c r="FB13" s="2">
        <v>0</v>
      </c>
      <c r="FC13" s="2">
        <v>1</v>
      </c>
      <c r="FD13" s="2">
        <v>0</v>
      </c>
      <c r="FE13" s="2">
        <v>0</v>
      </c>
      <c r="FF13" s="2">
        <v>0</v>
      </c>
      <c r="FG13" s="2">
        <v>1</v>
      </c>
      <c r="FH13" s="2">
        <v>1</v>
      </c>
      <c r="FI13" s="2">
        <v>0</v>
      </c>
      <c r="FJ13" s="2">
        <v>1</v>
      </c>
      <c r="FK13" s="2">
        <v>0</v>
      </c>
      <c r="FL13" s="2">
        <v>1</v>
      </c>
      <c r="FM13" s="2">
        <v>0</v>
      </c>
      <c r="FN13" s="2">
        <v>0</v>
      </c>
      <c r="FO13" s="2">
        <v>1</v>
      </c>
      <c r="FP13" s="2">
        <v>0</v>
      </c>
      <c r="FQ13" s="2">
        <v>1</v>
      </c>
      <c r="FR13" s="2">
        <v>0</v>
      </c>
      <c r="FS13" s="2">
        <v>1</v>
      </c>
      <c r="FT13" s="2">
        <v>0</v>
      </c>
      <c r="FU13" s="2">
        <v>1</v>
      </c>
      <c r="FV13" s="2">
        <v>0</v>
      </c>
      <c r="FW13" s="2">
        <v>1</v>
      </c>
      <c r="FX13" s="2">
        <v>0</v>
      </c>
      <c r="FY13" s="2">
        <v>1</v>
      </c>
      <c r="FZ13" s="2"/>
      <c r="GA13" s="2">
        <v>1</v>
      </c>
      <c r="GB13" s="2">
        <v>1</v>
      </c>
      <c r="GC13" s="2">
        <v>1</v>
      </c>
      <c r="GD13" s="2">
        <v>3</v>
      </c>
      <c r="GE13" s="2">
        <v>1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M13" s="4">
        <f t="shared" si="0"/>
        <v>7</v>
      </c>
      <c r="GN13" s="2">
        <f t="shared" si="1"/>
        <v>0</v>
      </c>
      <c r="GO13" s="2"/>
      <c r="GP13" s="2">
        <v>0</v>
      </c>
      <c r="GQ13" s="2">
        <v>1</v>
      </c>
      <c r="GR13" s="2">
        <v>1</v>
      </c>
      <c r="GS13" s="2">
        <v>1</v>
      </c>
      <c r="GU13" s="2">
        <v>2</v>
      </c>
      <c r="GV13" s="2">
        <v>1</v>
      </c>
      <c r="GW13" s="2">
        <v>-1</v>
      </c>
      <c r="GY13" s="2">
        <v>0</v>
      </c>
      <c r="GZ13" s="2">
        <v>0</v>
      </c>
      <c r="HA13" s="2">
        <v>0</v>
      </c>
      <c r="HB13" s="2">
        <v>0</v>
      </c>
      <c r="HD13" s="2">
        <v>0</v>
      </c>
      <c r="HE13" s="2">
        <v>0</v>
      </c>
      <c r="HF13" s="2">
        <v>-1</v>
      </c>
      <c r="HH13" s="2">
        <f t="shared" si="2"/>
        <v>5</v>
      </c>
      <c r="HI13" s="2">
        <f t="shared" si="3"/>
        <v>-1</v>
      </c>
      <c r="HJ13" s="2"/>
      <c r="HK13" s="2">
        <v>5</v>
      </c>
      <c r="HL13" s="2">
        <v>5</v>
      </c>
      <c r="HM13" s="2"/>
      <c r="HN13" s="2"/>
    </row>
    <row r="14" spans="1:222" ht="15.75" customHeight="1" x14ac:dyDescent="0.2">
      <c r="A14" s="3" t="e">
        <f>VLOOKUP(B14,#REF!,1,FALSE)</f>
        <v>#REF!</v>
      </c>
      <c r="B14" s="3">
        <v>44640.781154456017</v>
      </c>
      <c r="C14" s="2">
        <v>16</v>
      </c>
      <c r="D14" s="2" t="s">
        <v>185</v>
      </c>
      <c r="E14" s="2">
        <v>0</v>
      </c>
      <c r="F14" s="2" t="s">
        <v>247</v>
      </c>
      <c r="G14" s="2">
        <v>8</v>
      </c>
      <c r="H14" s="2">
        <v>2</v>
      </c>
      <c r="I14" s="2">
        <v>1</v>
      </c>
      <c r="J14" s="2">
        <v>3</v>
      </c>
      <c r="K14" s="2">
        <v>0</v>
      </c>
      <c r="L14" s="2">
        <v>3</v>
      </c>
      <c r="M14" s="2" t="s">
        <v>213</v>
      </c>
      <c r="N14" s="2">
        <v>2</v>
      </c>
      <c r="O14" s="2">
        <v>3</v>
      </c>
      <c r="P14" s="2">
        <v>0</v>
      </c>
      <c r="Q14" s="2">
        <v>0</v>
      </c>
      <c r="R14" s="2">
        <v>3</v>
      </c>
      <c r="S14" s="2">
        <v>1</v>
      </c>
      <c r="T14" s="2">
        <v>0</v>
      </c>
      <c r="U14" s="2">
        <v>1</v>
      </c>
      <c r="V14" s="2">
        <v>1</v>
      </c>
      <c r="W14" s="2">
        <v>1</v>
      </c>
      <c r="X14" s="2"/>
      <c r="Y14" s="2">
        <v>-1</v>
      </c>
      <c r="Z14" s="2">
        <v>-1</v>
      </c>
      <c r="AA14" s="2">
        <v>1</v>
      </c>
      <c r="AB14" s="2">
        <v>2</v>
      </c>
      <c r="AC14" s="2">
        <v>2</v>
      </c>
      <c r="AD14" s="2">
        <v>2</v>
      </c>
      <c r="AE14" s="2">
        <v>4</v>
      </c>
      <c r="AF14" s="2">
        <v>2</v>
      </c>
      <c r="AG14" s="2">
        <v>1</v>
      </c>
      <c r="AH14" s="2">
        <v>1</v>
      </c>
      <c r="AI14" s="2">
        <v>-1</v>
      </c>
      <c r="AJ14" s="2">
        <v>2</v>
      </c>
      <c r="AK14" s="2">
        <v>2</v>
      </c>
      <c r="AL14" s="2">
        <v>2</v>
      </c>
      <c r="AM14" s="2">
        <v>4</v>
      </c>
      <c r="AN14" s="2">
        <v>3</v>
      </c>
      <c r="AO14" s="2">
        <v>3</v>
      </c>
      <c r="AP14" s="2">
        <v>0</v>
      </c>
      <c r="AQ14" s="2">
        <v>1</v>
      </c>
      <c r="AR14" s="2">
        <v>4</v>
      </c>
      <c r="AS14" s="2">
        <v>2</v>
      </c>
      <c r="AT14" s="2">
        <v>1</v>
      </c>
      <c r="AU14" s="2">
        <v>2</v>
      </c>
      <c r="AV14" s="2"/>
      <c r="AW14" s="2">
        <v>2</v>
      </c>
      <c r="AX14" s="2">
        <v>1</v>
      </c>
      <c r="AY14" s="2">
        <v>0</v>
      </c>
      <c r="AZ14" s="2">
        <v>4</v>
      </c>
      <c r="BA14" s="2">
        <v>5</v>
      </c>
      <c r="BB14" s="2">
        <v>3</v>
      </c>
      <c r="BC14" s="2">
        <v>4</v>
      </c>
      <c r="BD14" s="2">
        <v>2</v>
      </c>
      <c r="BE14" s="2">
        <v>2</v>
      </c>
      <c r="BF14" s="2">
        <v>2</v>
      </c>
      <c r="BG14" s="2">
        <v>2</v>
      </c>
      <c r="BH14" s="2">
        <v>1</v>
      </c>
      <c r="BI14" s="2"/>
      <c r="BJ14" s="2">
        <v>2</v>
      </c>
      <c r="BK14" s="2">
        <v>0</v>
      </c>
      <c r="BL14" s="2">
        <v>0</v>
      </c>
      <c r="BM14" s="2">
        <v>8</v>
      </c>
      <c r="BN14" s="2">
        <v>8</v>
      </c>
      <c r="BO14" s="2">
        <v>7</v>
      </c>
      <c r="BP14" s="2" t="s">
        <v>248</v>
      </c>
      <c r="BQ14" s="2" t="s">
        <v>249</v>
      </c>
      <c r="BR14" s="2"/>
      <c r="BS14" s="2" t="s">
        <v>250</v>
      </c>
      <c r="BT14" s="2"/>
      <c r="BU14" s="2"/>
      <c r="BV14" s="2" t="s">
        <v>251</v>
      </c>
      <c r="BW14" s="2" t="s">
        <v>252</v>
      </c>
      <c r="BX14" s="2" t="s">
        <v>190</v>
      </c>
      <c r="BY14" s="2" t="s">
        <v>190</v>
      </c>
      <c r="BZ14" s="2" t="s">
        <v>189</v>
      </c>
      <c r="CA14" s="2" t="s">
        <v>190</v>
      </c>
      <c r="CB14" s="2" t="s">
        <v>191</v>
      </c>
      <c r="CC14" s="2" t="s">
        <v>190</v>
      </c>
      <c r="CD14" s="2" t="s">
        <v>189</v>
      </c>
      <c r="CE14" s="2" t="s">
        <v>189</v>
      </c>
      <c r="CF14" s="2" t="s">
        <v>191</v>
      </c>
      <c r="CG14" s="2" t="s">
        <v>189</v>
      </c>
      <c r="CH14" s="2" t="s">
        <v>190</v>
      </c>
      <c r="CI14" s="2" t="s">
        <v>189</v>
      </c>
      <c r="CJ14" s="2" t="s">
        <v>189</v>
      </c>
      <c r="CK14" s="2" t="s">
        <v>189</v>
      </c>
      <c r="CL14" s="2" t="s">
        <v>189</v>
      </c>
      <c r="CM14" s="2" t="s">
        <v>192</v>
      </c>
      <c r="CN14" s="2" t="s">
        <v>192</v>
      </c>
      <c r="CO14" s="2" t="s">
        <v>193</v>
      </c>
      <c r="CP14" s="2" t="s">
        <v>193</v>
      </c>
      <c r="CQ14" s="2" t="s">
        <v>193</v>
      </c>
      <c r="CR14" s="2" t="s">
        <v>193</v>
      </c>
      <c r="CS14" s="2" t="s">
        <v>200</v>
      </c>
      <c r="CT14" s="2" t="s">
        <v>193</v>
      </c>
      <c r="CU14" s="2" t="s">
        <v>192</v>
      </c>
      <c r="CV14" s="2" t="s">
        <v>200</v>
      </c>
      <c r="CW14" s="2" t="s">
        <v>192</v>
      </c>
      <c r="CX14" s="2" t="s">
        <v>193</v>
      </c>
      <c r="CY14" s="2" t="s">
        <v>192</v>
      </c>
      <c r="CZ14" s="2" t="s">
        <v>192</v>
      </c>
      <c r="DA14" s="2" t="s">
        <v>192</v>
      </c>
      <c r="DB14" s="2" t="s">
        <v>192</v>
      </c>
      <c r="DC14" s="2" t="s">
        <v>192</v>
      </c>
      <c r="DD14" s="2" t="s">
        <v>200</v>
      </c>
      <c r="DE14" s="2" t="s">
        <v>192</v>
      </c>
      <c r="DF14" s="2" t="s">
        <v>193</v>
      </c>
      <c r="DG14" s="2" t="s">
        <v>195</v>
      </c>
      <c r="DH14" s="2" t="s">
        <v>194</v>
      </c>
      <c r="DI14" s="2" t="s">
        <v>195</v>
      </c>
      <c r="DJ14" s="2" t="s">
        <v>201</v>
      </c>
      <c r="DK14" s="2" t="s">
        <v>194</v>
      </c>
      <c r="DL14" s="2" t="s">
        <v>194</v>
      </c>
      <c r="DM14" s="2" t="s">
        <v>194</v>
      </c>
      <c r="DN14" s="2" t="s">
        <v>220</v>
      </c>
      <c r="DO14" s="2" t="s">
        <v>220</v>
      </c>
      <c r="DP14" s="2" t="s">
        <v>201</v>
      </c>
      <c r="DQ14" s="2" t="s">
        <v>201</v>
      </c>
      <c r="DR14" s="2" t="s">
        <v>195</v>
      </c>
      <c r="DS14" s="2" t="s">
        <v>197</v>
      </c>
      <c r="DT14" s="2" t="s">
        <v>197</v>
      </c>
      <c r="DU14" s="2" t="s">
        <v>198</v>
      </c>
      <c r="DV14" s="2" t="s">
        <v>197</v>
      </c>
      <c r="DW14" s="2" t="s">
        <v>198</v>
      </c>
      <c r="DX14" s="2" t="s">
        <v>198</v>
      </c>
      <c r="DY14" s="2" t="s">
        <v>198</v>
      </c>
      <c r="DZ14" s="2"/>
      <c r="EA14" s="2">
        <v>1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1</v>
      </c>
      <c r="EI14" s="2">
        <v>0</v>
      </c>
      <c r="EJ14" s="2">
        <v>1</v>
      </c>
      <c r="EK14" s="2">
        <v>0</v>
      </c>
      <c r="EL14" s="2">
        <v>1</v>
      </c>
      <c r="EM14" s="2">
        <v>0</v>
      </c>
      <c r="EN14" s="2">
        <v>1</v>
      </c>
      <c r="EO14" s="2">
        <v>0</v>
      </c>
      <c r="EP14" s="2">
        <v>0</v>
      </c>
      <c r="EQ14" s="2">
        <v>1</v>
      </c>
      <c r="ER14" s="2">
        <v>0</v>
      </c>
      <c r="ES14" s="2">
        <v>1</v>
      </c>
      <c r="ET14" s="2">
        <v>0</v>
      </c>
      <c r="EU14" s="2">
        <v>1</v>
      </c>
      <c r="EV14" s="2">
        <v>1</v>
      </c>
      <c r="EW14" s="2">
        <v>0</v>
      </c>
      <c r="EX14" s="2">
        <v>0</v>
      </c>
      <c r="EY14" s="2">
        <v>1</v>
      </c>
      <c r="EZ14" s="2">
        <v>1</v>
      </c>
      <c r="FA14" s="2">
        <v>0</v>
      </c>
      <c r="FB14" s="2">
        <v>0</v>
      </c>
      <c r="FC14" s="2">
        <v>1</v>
      </c>
      <c r="FD14" s="2">
        <v>0</v>
      </c>
      <c r="FE14" s="2">
        <v>0</v>
      </c>
      <c r="FF14" s="2">
        <v>1</v>
      </c>
      <c r="FG14" s="2">
        <v>0</v>
      </c>
      <c r="FH14" s="2">
        <v>1</v>
      </c>
      <c r="FI14" s="2">
        <v>0</v>
      </c>
      <c r="FJ14" s="2">
        <v>1</v>
      </c>
      <c r="FK14" s="2">
        <v>0</v>
      </c>
      <c r="FL14" s="2">
        <v>1</v>
      </c>
      <c r="FM14" s="2">
        <v>0</v>
      </c>
      <c r="FN14" s="2">
        <v>1</v>
      </c>
      <c r="FO14" s="2">
        <v>0</v>
      </c>
      <c r="FP14" s="2">
        <v>0</v>
      </c>
      <c r="FQ14" s="2">
        <v>1</v>
      </c>
      <c r="FR14" s="2">
        <v>0</v>
      </c>
      <c r="FS14" s="2">
        <v>1</v>
      </c>
      <c r="FT14" s="2">
        <v>0</v>
      </c>
      <c r="FU14" s="2">
        <v>1</v>
      </c>
      <c r="FV14" s="2">
        <v>0</v>
      </c>
      <c r="FW14" s="2">
        <v>1</v>
      </c>
      <c r="FX14" s="2">
        <v>0</v>
      </c>
      <c r="FY14" s="2">
        <v>1</v>
      </c>
      <c r="FZ14" s="2"/>
      <c r="GA14" s="2">
        <v>4</v>
      </c>
      <c r="GB14" s="2">
        <v>3</v>
      </c>
      <c r="GC14" s="2">
        <v>3</v>
      </c>
      <c r="GD14" s="2">
        <v>0</v>
      </c>
      <c r="GE14" s="2">
        <v>1</v>
      </c>
      <c r="GG14" s="2">
        <v>4</v>
      </c>
      <c r="GH14" s="2">
        <v>5</v>
      </c>
      <c r="GI14" s="2">
        <v>3</v>
      </c>
      <c r="GJ14" s="2">
        <v>4</v>
      </c>
      <c r="GK14" s="2">
        <v>2</v>
      </c>
      <c r="GM14" s="4">
        <f t="shared" si="0"/>
        <v>11</v>
      </c>
      <c r="GN14" s="2">
        <f t="shared" si="1"/>
        <v>18</v>
      </c>
      <c r="GO14" s="2"/>
      <c r="GP14" s="2">
        <v>4</v>
      </c>
      <c r="GQ14" s="2">
        <v>2</v>
      </c>
      <c r="GR14" s="2">
        <v>1</v>
      </c>
      <c r="GS14" s="2">
        <v>2</v>
      </c>
      <c r="GU14" s="2">
        <v>2</v>
      </c>
      <c r="GV14" s="2">
        <v>1</v>
      </c>
      <c r="GW14" s="2">
        <v>0</v>
      </c>
      <c r="GY14" s="2">
        <v>2</v>
      </c>
      <c r="GZ14" s="2">
        <v>2</v>
      </c>
      <c r="HA14" s="2">
        <v>2</v>
      </c>
      <c r="HB14" s="2">
        <v>1</v>
      </c>
      <c r="HD14" s="2">
        <v>2</v>
      </c>
      <c r="HE14" s="2">
        <v>0</v>
      </c>
      <c r="HF14" s="2">
        <v>0</v>
      </c>
      <c r="HH14" s="2">
        <f t="shared" si="2"/>
        <v>12</v>
      </c>
      <c r="HI14" s="2">
        <f t="shared" si="3"/>
        <v>9</v>
      </c>
      <c r="HJ14" s="2"/>
      <c r="HK14" s="2">
        <v>8</v>
      </c>
      <c r="HL14" s="2">
        <v>7</v>
      </c>
      <c r="HM14" s="2"/>
      <c r="HN14" s="2"/>
    </row>
    <row r="15" spans="1:222" ht="15.75" customHeight="1" x14ac:dyDescent="0.2">
      <c r="A15" s="3" t="e">
        <f>VLOOKUP(B15,#REF!,1,FALSE)</f>
        <v>#REF!</v>
      </c>
      <c r="B15" s="3">
        <v>44640.946095046296</v>
      </c>
      <c r="C15" s="2">
        <v>17</v>
      </c>
      <c r="D15" s="2" t="s">
        <v>185</v>
      </c>
      <c r="E15" s="2">
        <v>0</v>
      </c>
      <c r="F15" s="2" t="s">
        <v>186</v>
      </c>
      <c r="G15" s="2">
        <v>8</v>
      </c>
      <c r="H15" s="2">
        <v>2</v>
      </c>
      <c r="I15" s="2">
        <v>1</v>
      </c>
      <c r="J15" s="2">
        <v>2</v>
      </c>
      <c r="K15" s="2">
        <v>0</v>
      </c>
      <c r="L15" s="2">
        <v>3</v>
      </c>
      <c r="M15" s="2" t="s">
        <v>213</v>
      </c>
      <c r="N15" s="2">
        <v>2</v>
      </c>
      <c r="O15" s="2">
        <v>3</v>
      </c>
      <c r="P15" s="2">
        <v>0</v>
      </c>
      <c r="Q15" s="2">
        <v>2</v>
      </c>
      <c r="R15" s="2">
        <v>2</v>
      </c>
      <c r="S15" s="2">
        <v>1</v>
      </c>
      <c r="T15" s="2">
        <v>-1</v>
      </c>
      <c r="U15" s="2">
        <v>0</v>
      </c>
      <c r="V15" s="2">
        <v>0</v>
      </c>
      <c r="W15" s="2">
        <v>1</v>
      </c>
      <c r="X15" s="2"/>
      <c r="Y15" s="2">
        <v>-1</v>
      </c>
      <c r="Z15" s="2">
        <v>1</v>
      </c>
      <c r="AA15" s="2">
        <v>1</v>
      </c>
      <c r="AB15" s="2">
        <v>2</v>
      </c>
      <c r="AC15" s="2">
        <v>1</v>
      </c>
      <c r="AD15" s="2">
        <v>1</v>
      </c>
      <c r="AE15" s="2">
        <v>1</v>
      </c>
      <c r="AF15" s="2">
        <v>4</v>
      </c>
      <c r="AG15" s="2">
        <v>2</v>
      </c>
      <c r="AH15" s="2">
        <v>2</v>
      </c>
      <c r="AI15" s="2">
        <v>2</v>
      </c>
      <c r="AJ15" s="2">
        <v>1</v>
      </c>
      <c r="AK15" s="2">
        <v>1</v>
      </c>
      <c r="AL15" s="2">
        <v>2</v>
      </c>
      <c r="AM15" s="2">
        <v>4</v>
      </c>
      <c r="AN15" s="2">
        <v>4</v>
      </c>
      <c r="AO15" s="2">
        <v>4</v>
      </c>
      <c r="AP15" s="2">
        <v>3</v>
      </c>
      <c r="AQ15" s="2">
        <v>3</v>
      </c>
      <c r="AR15" s="2">
        <v>3</v>
      </c>
      <c r="AS15" s="2">
        <v>2</v>
      </c>
      <c r="AT15" s="2">
        <v>1</v>
      </c>
      <c r="AU15" s="2">
        <v>1</v>
      </c>
      <c r="AV15" s="2"/>
      <c r="AW15" s="2">
        <v>2</v>
      </c>
      <c r="AX15" s="2">
        <v>1</v>
      </c>
      <c r="AY15" s="2">
        <v>0</v>
      </c>
      <c r="AZ15" s="2">
        <v>2</v>
      </c>
      <c r="BA15" s="2">
        <v>2</v>
      </c>
      <c r="BB15" s="2">
        <v>2</v>
      </c>
      <c r="BC15" s="2">
        <v>2</v>
      </c>
      <c r="BD15" s="2">
        <v>1</v>
      </c>
      <c r="BE15" s="2">
        <v>3</v>
      </c>
      <c r="BF15" s="2">
        <v>2</v>
      </c>
      <c r="BG15" s="2">
        <v>1</v>
      </c>
      <c r="BH15" s="2">
        <v>1</v>
      </c>
      <c r="BI15" s="2"/>
      <c r="BJ15" s="2">
        <v>1</v>
      </c>
      <c r="BK15" s="2">
        <v>1</v>
      </c>
      <c r="BL15" s="2">
        <v>1</v>
      </c>
      <c r="BM15" s="2">
        <v>8</v>
      </c>
      <c r="BN15" s="2">
        <v>8</v>
      </c>
      <c r="BO15" s="2">
        <v>8</v>
      </c>
      <c r="BP15" s="2"/>
      <c r="BQ15" s="2"/>
      <c r="BR15" s="2"/>
      <c r="BS15" s="2"/>
      <c r="BT15" s="2"/>
      <c r="BU15" s="2"/>
      <c r="BV15" s="2" t="s">
        <v>253</v>
      </c>
      <c r="BW15" s="2" t="s">
        <v>254</v>
      </c>
      <c r="BX15" s="2" t="s">
        <v>189</v>
      </c>
      <c r="BY15" s="2" t="s">
        <v>188</v>
      </c>
      <c r="BZ15" s="2" t="s">
        <v>190</v>
      </c>
      <c r="CA15" s="2" t="s">
        <v>190</v>
      </c>
      <c r="CB15" s="2" t="s">
        <v>191</v>
      </c>
      <c r="CC15" s="2" t="s">
        <v>190</v>
      </c>
      <c r="CD15" s="2" t="s">
        <v>189</v>
      </c>
      <c r="CE15" s="2" t="s">
        <v>190</v>
      </c>
      <c r="CF15" s="2" t="s">
        <v>188</v>
      </c>
      <c r="CG15" s="2" t="s">
        <v>188</v>
      </c>
      <c r="CH15" s="2" t="s">
        <v>190</v>
      </c>
      <c r="CI15" s="2" t="s">
        <v>191</v>
      </c>
      <c r="CJ15" s="2" t="s">
        <v>188</v>
      </c>
      <c r="CK15" s="2" t="s">
        <v>190</v>
      </c>
      <c r="CL15" s="2" t="s">
        <v>191</v>
      </c>
      <c r="CM15" s="2" t="s">
        <v>192</v>
      </c>
      <c r="CN15" s="2" t="s">
        <v>192</v>
      </c>
      <c r="CO15" s="2" t="s">
        <v>200</v>
      </c>
      <c r="CP15" s="2" t="s">
        <v>192</v>
      </c>
      <c r="CQ15" s="2" t="s">
        <v>192</v>
      </c>
      <c r="CR15" s="2" t="s">
        <v>192</v>
      </c>
      <c r="CS15" s="2" t="s">
        <v>192</v>
      </c>
      <c r="CT15" s="2" t="s">
        <v>192</v>
      </c>
      <c r="CU15" s="2" t="s">
        <v>192</v>
      </c>
      <c r="CV15" s="2" t="s">
        <v>193</v>
      </c>
      <c r="CW15" s="2" t="s">
        <v>192</v>
      </c>
      <c r="CX15" s="2" t="s">
        <v>200</v>
      </c>
      <c r="CY15" s="2" t="s">
        <v>200</v>
      </c>
      <c r="CZ15" s="2" t="s">
        <v>193</v>
      </c>
      <c r="DA15" s="2" t="s">
        <v>200</v>
      </c>
      <c r="DB15" s="2" t="s">
        <v>193</v>
      </c>
      <c r="DC15" s="2" t="s">
        <v>192</v>
      </c>
      <c r="DD15" s="2" t="s">
        <v>193</v>
      </c>
      <c r="DE15" s="2" t="s">
        <v>200</v>
      </c>
      <c r="DF15" s="2" t="s">
        <v>193</v>
      </c>
      <c r="DG15" s="2" t="s">
        <v>195</v>
      </c>
      <c r="DH15" s="2" t="s">
        <v>201</v>
      </c>
      <c r="DI15" s="2" t="s">
        <v>195</v>
      </c>
      <c r="DJ15" s="2" t="s">
        <v>195</v>
      </c>
      <c r="DK15" s="2" t="s">
        <v>196</v>
      </c>
      <c r="DL15" s="2" t="s">
        <v>195</v>
      </c>
      <c r="DM15" s="2" t="s">
        <v>195</v>
      </c>
      <c r="DN15" s="2" t="s">
        <v>220</v>
      </c>
      <c r="DO15" s="2" t="s">
        <v>220</v>
      </c>
      <c r="DP15" s="2" t="s">
        <v>195</v>
      </c>
      <c r="DQ15" s="2" t="s">
        <v>201</v>
      </c>
      <c r="DR15" s="2" t="s">
        <v>195</v>
      </c>
      <c r="DS15" s="2" t="s">
        <v>198</v>
      </c>
      <c r="DT15" s="2" t="s">
        <v>197</v>
      </c>
      <c r="DU15" s="2" t="s">
        <v>199</v>
      </c>
      <c r="DV15" s="2" t="s">
        <v>197</v>
      </c>
      <c r="DW15" s="2" t="s">
        <v>198</v>
      </c>
      <c r="DX15" s="2" t="s">
        <v>199</v>
      </c>
      <c r="DY15" s="2" t="s">
        <v>197</v>
      </c>
      <c r="DZ15" s="2"/>
      <c r="EA15" s="2">
        <v>0</v>
      </c>
      <c r="EB15" s="2">
        <v>1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1</v>
      </c>
      <c r="EJ15" s="2">
        <v>1</v>
      </c>
      <c r="EK15" s="2">
        <v>0</v>
      </c>
      <c r="EL15" s="2">
        <v>0</v>
      </c>
      <c r="EM15" s="2">
        <v>1</v>
      </c>
      <c r="EN15" s="2">
        <v>1</v>
      </c>
      <c r="EO15" s="2">
        <v>0</v>
      </c>
      <c r="EP15" s="2">
        <v>0</v>
      </c>
      <c r="EQ15" s="2">
        <v>1</v>
      </c>
      <c r="ER15" s="2">
        <v>0</v>
      </c>
      <c r="ES15" s="2">
        <v>1</v>
      </c>
      <c r="ET15" s="2">
        <v>0</v>
      </c>
      <c r="EU15" s="2">
        <v>1</v>
      </c>
      <c r="EV15" s="2">
        <v>1</v>
      </c>
      <c r="EW15" s="2">
        <v>0</v>
      </c>
      <c r="EX15" s="2">
        <v>0</v>
      </c>
      <c r="EY15" s="2">
        <v>1</v>
      </c>
      <c r="EZ15" s="2">
        <v>0</v>
      </c>
      <c r="FA15" s="2">
        <v>0</v>
      </c>
      <c r="FB15" s="2">
        <v>1</v>
      </c>
      <c r="FC15" s="2">
        <v>0</v>
      </c>
      <c r="FD15" s="2">
        <v>0</v>
      </c>
      <c r="FE15" s="2">
        <v>0</v>
      </c>
      <c r="FF15" s="2">
        <v>0</v>
      </c>
      <c r="FG15" s="2">
        <v>1</v>
      </c>
      <c r="FH15" s="2">
        <v>1</v>
      </c>
      <c r="FI15" s="2">
        <v>0</v>
      </c>
      <c r="FJ15" s="2">
        <v>0</v>
      </c>
      <c r="FK15" s="2">
        <v>0</v>
      </c>
      <c r="FL15" s="2">
        <v>1</v>
      </c>
      <c r="FM15" s="2">
        <v>0</v>
      </c>
      <c r="FN15" s="2">
        <v>1</v>
      </c>
      <c r="FO15" s="2">
        <v>0</v>
      </c>
      <c r="FP15" s="2">
        <v>1</v>
      </c>
      <c r="FQ15" s="2">
        <v>0</v>
      </c>
      <c r="FR15" s="2">
        <v>0</v>
      </c>
      <c r="FS15" s="2">
        <v>1</v>
      </c>
      <c r="FT15" s="2">
        <v>0</v>
      </c>
      <c r="FU15" s="2">
        <v>1</v>
      </c>
      <c r="FV15" s="2">
        <v>0</v>
      </c>
      <c r="FW15" s="2">
        <v>1</v>
      </c>
      <c r="FX15" s="2">
        <v>0</v>
      </c>
      <c r="FY15" s="2">
        <v>1</v>
      </c>
      <c r="FZ15" s="2"/>
      <c r="GA15" s="2">
        <v>4</v>
      </c>
      <c r="GB15" s="2">
        <v>4</v>
      </c>
      <c r="GC15" s="2">
        <v>4</v>
      </c>
      <c r="GD15" s="2">
        <v>3</v>
      </c>
      <c r="GE15" s="2">
        <v>3</v>
      </c>
      <c r="GG15" s="2">
        <v>2</v>
      </c>
      <c r="GH15" s="2">
        <v>2</v>
      </c>
      <c r="GI15" s="2">
        <v>2</v>
      </c>
      <c r="GJ15" s="2">
        <v>2</v>
      </c>
      <c r="GK15" s="2">
        <v>1</v>
      </c>
      <c r="GM15" s="4">
        <f t="shared" si="0"/>
        <v>18</v>
      </c>
      <c r="GN15" s="2">
        <f t="shared" si="1"/>
        <v>9</v>
      </c>
      <c r="GO15" s="2"/>
      <c r="GP15" s="2">
        <v>3</v>
      </c>
      <c r="GQ15" s="2">
        <v>2</v>
      </c>
      <c r="GR15" s="2">
        <v>1</v>
      </c>
      <c r="GS15" s="2">
        <v>1</v>
      </c>
      <c r="GU15" s="2">
        <v>2</v>
      </c>
      <c r="GV15" s="2">
        <v>1</v>
      </c>
      <c r="GW15" s="2">
        <v>0</v>
      </c>
      <c r="GY15" s="2">
        <v>3</v>
      </c>
      <c r="GZ15" s="2">
        <v>2</v>
      </c>
      <c r="HA15" s="2">
        <v>1</v>
      </c>
      <c r="HB15" s="2">
        <v>1</v>
      </c>
      <c r="HD15" s="2">
        <v>1</v>
      </c>
      <c r="HE15" s="2">
        <v>1</v>
      </c>
      <c r="HF15" s="2">
        <v>1</v>
      </c>
      <c r="HH15" s="2">
        <f t="shared" si="2"/>
        <v>10</v>
      </c>
      <c r="HI15" s="2">
        <f t="shared" si="3"/>
        <v>10</v>
      </c>
      <c r="HJ15" s="2"/>
      <c r="HK15" s="2">
        <v>8</v>
      </c>
      <c r="HL15" s="2">
        <v>8</v>
      </c>
      <c r="HM15" s="2"/>
      <c r="HN15" s="2"/>
    </row>
    <row r="16" spans="1:222" ht="15.75" customHeight="1" x14ac:dyDescent="0.2">
      <c r="A16" s="3" t="e">
        <f>VLOOKUP(B16,#REF!,1,FALSE)</f>
        <v>#REF!</v>
      </c>
      <c r="B16" s="3">
        <v>44641.555548298609</v>
      </c>
      <c r="C16" s="2">
        <v>18</v>
      </c>
      <c r="D16" s="2" t="s">
        <v>185</v>
      </c>
      <c r="E16" s="2">
        <v>0</v>
      </c>
      <c r="F16" s="2" t="s">
        <v>237</v>
      </c>
      <c r="G16" s="2">
        <v>8</v>
      </c>
      <c r="H16" s="2">
        <v>2</v>
      </c>
      <c r="I16" s="2">
        <v>1</v>
      </c>
      <c r="J16" s="2">
        <v>9</v>
      </c>
      <c r="K16" s="2">
        <v>2</v>
      </c>
      <c r="L16" s="2">
        <v>4</v>
      </c>
      <c r="M16" s="2" t="s">
        <v>187</v>
      </c>
      <c r="N16" s="2">
        <v>2</v>
      </c>
      <c r="O16" s="2">
        <v>3</v>
      </c>
      <c r="P16" s="2">
        <v>0</v>
      </c>
      <c r="Q16" s="2">
        <v>0</v>
      </c>
      <c r="R16" s="2">
        <v>2</v>
      </c>
      <c r="S16" s="2">
        <v>-1</v>
      </c>
      <c r="T16" s="2">
        <v>-1</v>
      </c>
      <c r="U16" s="2">
        <v>-1</v>
      </c>
      <c r="V16" s="2">
        <v>-1</v>
      </c>
      <c r="W16" s="2">
        <v>0</v>
      </c>
      <c r="X16" s="2"/>
      <c r="Y16" s="2">
        <v>-1</v>
      </c>
      <c r="Z16" s="2">
        <v>1</v>
      </c>
      <c r="AA16" s="2">
        <v>1</v>
      </c>
      <c r="AB16" s="2">
        <v>4</v>
      </c>
      <c r="AC16" s="2">
        <v>4</v>
      </c>
      <c r="AD16" s="2">
        <v>1</v>
      </c>
      <c r="AE16" s="2">
        <v>2</v>
      </c>
      <c r="AF16" s="2">
        <v>1</v>
      </c>
      <c r="AG16" s="2">
        <v>2</v>
      </c>
      <c r="AH16" s="2">
        <v>1</v>
      </c>
      <c r="AI16" s="2">
        <v>-2</v>
      </c>
      <c r="AJ16" s="2">
        <v>3</v>
      </c>
      <c r="AK16" s="2">
        <v>3</v>
      </c>
      <c r="AL16" s="2">
        <v>2</v>
      </c>
      <c r="AM16" s="2">
        <v>5</v>
      </c>
      <c r="AN16" s="2">
        <v>5</v>
      </c>
      <c r="AO16" s="2">
        <v>5</v>
      </c>
      <c r="AP16" s="2">
        <v>5</v>
      </c>
      <c r="AQ16" s="2">
        <v>5</v>
      </c>
      <c r="AR16" s="2">
        <v>4</v>
      </c>
      <c r="AS16" s="2">
        <v>0</v>
      </c>
      <c r="AT16" s="2">
        <v>0</v>
      </c>
      <c r="AU16" s="2">
        <v>0</v>
      </c>
      <c r="AV16" s="2"/>
      <c r="AW16" s="2">
        <v>1</v>
      </c>
      <c r="AX16" s="2">
        <v>1</v>
      </c>
      <c r="AY16" s="2">
        <v>2</v>
      </c>
      <c r="AZ16" s="2">
        <v>4</v>
      </c>
      <c r="BA16" s="2">
        <v>4</v>
      </c>
      <c r="BB16" s="2">
        <v>3</v>
      </c>
      <c r="BC16" s="2">
        <v>5</v>
      </c>
      <c r="BD16" s="2">
        <v>4</v>
      </c>
      <c r="BE16" s="2">
        <v>3</v>
      </c>
      <c r="BF16" s="2">
        <v>0</v>
      </c>
      <c r="BG16" s="2">
        <v>0</v>
      </c>
      <c r="BH16" s="2">
        <v>1</v>
      </c>
      <c r="BI16" s="2"/>
      <c r="BJ16" s="2">
        <v>1</v>
      </c>
      <c r="BK16" s="2">
        <v>1</v>
      </c>
      <c r="BL16" s="2">
        <v>2</v>
      </c>
      <c r="BM16" s="2">
        <v>9</v>
      </c>
      <c r="BN16" s="2">
        <v>9</v>
      </c>
      <c r="BO16" s="2">
        <v>9</v>
      </c>
      <c r="BP16" s="2" t="s">
        <v>255</v>
      </c>
      <c r="BQ16" s="2"/>
      <c r="BR16" s="2"/>
      <c r="BS16" s="2"/>
      <c r="BT16" s="2"/>
      <c r="BU16" s="2"/>
      <c r="BV16" s="2" t="s">
        <v>256</v>
      </c>
      <c r="BW16" s="2" t="s">
        <v>257</v>
      </c>
      <c r="BX16" s="2" t="s">
        <v>189</v>
      </c>
      <c r="BY16" s="2" t="s">
        <v>189</v>
      </c>
      <c r="BZ16" s="2" t="s">
        <v>189</v>
      </c>
      <c r="CA16" s="2" t="s">
        <v>190</v>
      </c>
      <c r="CB16" s="2" t="s">
        <v>189</v>
      </c>
      <c r="CC16" s="2" t="s">
        <v>190</v>
      </c>
      <c r="CD16" s="2" t="s">
        <v>189</v>
      </c>
      <c r="CE16" s="2" t="s">
        <v>189</v>
      </c>
      <c r="CF16" s="2" t="s">
        <v>189</v>
      </c>
      <c r="CG16" s="2" t="s">
        <v>189</v>
      </c>
      <c r="CH16" s="2" t="s">
        <v>189</v>
      </c>
      <c r="CI16" s="2" t="s">
        <v>189</v>
      </c>
      <c r="CJ16" s="2" t="s">
        <v>189</v>
      </c>
      <c r="CK16" s="2" t="s">
        <v>189</v>
      </c>
      <c r="CL16" s="2" t="s">
        <v>189</v>
      </c>
      <c r="CM16" s="2" t="s">
        <v>193</v>
      </c>
      <c r="CN16" s="2" t="s">
        <v>192</v>
      </c>
      <c r="CO16" s="2" t="s">
        <v>192</v>
      </c>
      <c r="CP16" s="2" t="s">
        <v>193</v>
      </c>
      <c r="CQ16" s="2" t="s">
        <v>193</v>
      </c>
      <c r="CR16" s="2" t="s">
        <v>193</v>
      </c>
      <c r="CS16" s="2" t="s">
        <v>200</v>
      </c>
      <c r="CT16" s="2" t="s">
        <v>193</v>
      </c>
      <c r="CU16" s="2" t="s">
        <v>200</v>
      </c>
      <c r="CV16" s="2" t="s">
        <v>200</v>
      </c>
      <c r="CW16" s="2" t="s">
        <v>192</v>
      </c>
      <c r="CX16" s="2" t="s">
        <v>192</v>
      </c>
      <c r="CY16" s="2" t="s">
        <v>192</v>
      </c>
      <c r="CZ16" s="2" t="s">
        <v>192</v>
      </c>
      <c r="DA16" s="2" t="s">
        <v>200</v>
      </c>
      <c r="DB16" s="2" t="s">
        <v>192</v>
      </c>
      <c r="DC16" s="2" t="s">
        <v>192</v>
      </c>
      <c r="DD16" s="2" t="s">
        <v>192</v>
      </c>
      <c r="DE16" s="2" t="s">
        <v>192</v>
      </c>
      <c r="DF16" s="2" t="s">
        <v>192</v>
      </c>
      <c r="DG16" s="2" t="s">
        <v>195</v>
      </c>
      <c r="DH16" s="2" t="s">
        <v>195</v>
      </c>
      <c r="DI16" s="2" t="s">
        <v>195</v>
      </c>
      <c r="DJ16" s="2" t="s">
        <v>195</v>
      </c>
      <c r="DK16" s="2" t="s">
        <v>194</v>
      </c>
      <c r="DL16" s="2" t="s">
        <v>194</v>
      </c>
      <c r="DM16" s="2" t="s">
        <v>194</v>
      </c>
      <c r="DN16" s="2" t="s">
        <v>194</v>
      </c>
      <c r="DO16" s="2" t="s">
        <v>194</v>
      </c>
      <c r="DP16" s="2" t="s">
        <v>194</v>
      </c>
      <c r="DQ16" s="2" t="s">
        <v>194</v>
      </c>
      <c r="DR16" s="2" t="s">
        <v>194</v>
      </c>
      <c r="DS16" s="2" t="s">
        <v>197</v>
      </c>
      <c r="DT16" s="2" t="s">
        <v>197</v>
      </c>
      <c r="DU16" s="2" t="s">
        <v>221</v>
      </c>
      <c r="DV16" s="2" t="s">
        <v>197</v>
      </c>
      <c r="DW16" s="2" t="s">
        <v>197</v>
      </c>
      <c r="DX16" s="2" t="s">
        <v>197</v>
      </c>
      <c r="DY16" s="2" t="s">
        <v>197</v>
      </c>
      <c r="DZ16" s="2"/>
      <c r="EA16" s="2">
        <v>1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1</v>
      </c>
      <c r="EI16" s="2">
        <v>0</v>
      </c>
      <c r="EJ16" s="2">
        <v>1</v>
      </c>
      <c r="EK16" s="2">
        <v>0</v>
      </c>
      <c r="EL16" s="2">
        <v>1</v>
      </c>
      <c r="EM16" s="2">
        <v>0</v>
      </c>
      <c r="EN16" s="2">
        <v>1</v>
      </c>
      <c r="EO16" s="2">
        <v>0</v>
      </c>
      <c r="EP16" s="2">
        <v>1</v>
      </c>
      <c r="EQ16" s="2">
        <v>0</v>
      </c>
      <c r="ER16" s="2">
        <v>0</v>
      </c>
      <c r="ES16" s="2">
        <v>1</v>
      </c>
      <c r="ET16" s="2">
        <v>1</v>
      </c>
      <c r="EU16" s="2">
        <v>0</v>
      </c>
      <c r="EV16" s="2">
        <v>1</v>
      </c>
      <c r="EW16" s="2">
        <v>0</v>
      </c>
      <c r="EX16" s="2">
        <v>0</v>
      </c>
      <c r="EY16" s="2">
        <v>1</v>
      </c>
      <c r="EZ16" s="2">
        <v>1</v>
      </c>
      <c r="FA16" s="2">
        <v>0</v>
      </c>
      <c r="FB16" s="2">
        <v>1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1</v>
      </c>
      <c r="FK16" s="2">
        <v>0</v>
      </c>
      <c r="FL16" s="2">
        <v>1</v>
      </c>
      <c r="FM16" s="2">
        <v>0</v>
      </c>
      <c r="FN16" s="2">
        <v>1</v>
      </c>
      <c r="FO16" s="2">
        <v>0</v>
      </c>
      <c r="FP16" s="2">
        <v>0</v>
      </c>
      <c r="FQ16" s="2">
        <v>1</v>
      </c>
      <c r="FR16" s="2">
        <v>1</v>
      </c>
      <c r="FS16" s="2">
        <v>0</v>
      </c>
      <c r="FT16" s="2">
        <v>1</v>
      </c>
      <c r="FU16" s="2">
        <v>0</v>
      </c>
      <c r="FV16" s="2">
        <v>1</v>
      </c>
      <c r="FW16" s="2">
        <v>0</v>
      </c>
      <c r="FX16" s="2">
        <v>1</v>
      </c>
      <c r="FY16" s="2">
        <v>0</v>
      </c>
      <c r="FZ16" s="2"/>
      <c r="GA16" s="2">
        <v>5</v>
      </c>
      <c r="GB16" s="2">
        <v>5</v>
      </c>
      <c r="GC16" s="2">
        <v>5</v>
      </c>
      <c r="GD16" s="2">
        <v>5</v>
      </c>
      <c r="GE16" s="2">
        <v>5</v>
      </c>
      <c r="GG16" s="2">
        <v>4</v>
      </c>
      <c r="GH16" s="2">
        <v>4</v>
      </c>
      <c r="GI16" s="2">
        <v>3</v>
      </c>
      <c r="GJ16" s="2">
        <v>5</v>
      </c>
      <c r="GK16" s="2">
        <v>4</v>
      </c>
      <c r="GM16" s="2">
        <f t="shared" si="0"/>
        <v>25</v>
      </c>
      <c r="GN16" s="2">
        <f t="shared" si="1"/>
        <v>20</v>
      </c>
      <c r="GO16" s="2"/>
      <c r="GP16" s="2">
        <v>4</v>
      </c>
      <c r="GQ16" s="2">
        <v>0</v>
      </c>
      <c r="GR16" s="2">
        <v>0</v>
      </c>
      <c r="GS16" s="2">
        <v>0</v>
      </c>
      <c r="GU16" s="2">
        <v>1</v>
      </c>
      <c r="GV16" s="2">
        <v>1</v>
      </c>
      <c r="GW16" s="2">
        <v>2</v>
      </c>
      <c r="GY16" s="2">
        <v>3</v>
      </c>
      <c r="GZ16" s="2">
        <v>0</v>
      </c>
      <c r="HA16" s="2">
        <v>0</v>
      </c>
      <c r="HB16" s="2">
        <v>1</v>
      </c>
      <c r="HD16" s="2">
        <v>1</v>
      </c>
      <c r="HE16" s="2">
        <v>1</v>
      </c>
      <c r="HF16" s="2">
        <v>2</v>
      </c>
      <c r="HH16" s="2">
        <f t="shared" si="2"/>
        <v>8</v>
      </c>
      <c r="HI16" s="2">
        <f t="shared" si="3"/>
        <v>8</v>
      </c>
      <c r="HJ16" s="2"/>
      <c r="HK16" s="2">
        <v>9</v>
      </c>
      <c r="HL16" s="2">
        <v>9</v>
      </c>
      <c r="HM16" s="2"/>
      <c r="HN16" s="2"/>
    </row>
    <row r="17" spans="1:222" ht="15.75" customHeight="1" x14ac:dyDescent="0.2">
      <c r="A17" s="3" t="e">
        <f>VLOOKUP(B17,#REF!,1,FALSE)</f>
        <v>#REF!</v>
      </c>
      <c r="B17" s="3">
        <v>44641.564568576388</v>
      </c>
      <c r="C17" s="2">
        <v>19</v>
      </c>
      <c r="D17" s="2" t="s">
        <v>185</v>
      </c>
      <c r="E17" s="2">
        <v>0</v>
      </c>
      <c r="F17" s="2" t="s">
        <v>232</v>
      </c>
      <c r="G17" s="2">
        <v>2</v>
      </c>
      <c r="H17" s="2">
        <v>0.5</v>
      </c>
      <c r="I17" s="2">
        <v>1</v>
      </c>
      <c r="J17" s="2">
        <v>6</v>
      </c>
      <c r="K17" s="2">
        <v>0</v>
      </c>
      <c r="L17" s="2">
        <v>4</v>
      </c>
      <c r="M17" s="2" t="s">
        <v>187</v>
      </c>
      <c r="N17" s="2">
        <v>3</v>
      </c>
      <c r="O17" s="2">
        <v>2</v>
      </c>
      <c r="P17" s="2">
        <v>2</v>
      </c>
      <c r="Q17" s="2">
        <v>0</v>
      </c>
      <c r="R17" s="2">
        <v>2</v>
      </c>
      <c r="S17" s="2">
        <v>0</v>
      </c>
      <c r="T17" s="2">
        <v>-1</v>
      </c>
      <c r="U17" s="2">
        <v>0</v>
      </c>
      <c r="V17" s="2">
        <v>-1</v>
      </c>
      <c r="W17" s="2">
        <v>0</v>
      </c>
      <c r="X17" s="2"/>
      <c r="Y17" s="2">
        <v>0</v>
      </c>
      <c r="Z17" s="2">
        <v>-1</v>
      </c>
      <c r="AA17" s="2">
        <v>-1</v>
      </c>
      <c r="AB17" s="2">
        <v>2</v>
      </c>
      <c r="AC17" s="2">
        <v>0</v>
      </c>
      <c r="AD17" s="2">
        <v>1</v>
      </c>
      <c r="AE17" s="2">
        <v>1</v>
      </c>
      <c r="AF17" s="2">
        <v>1</v>
      </c>
      <c r="AG17" s="2">
        <v>-1</v>
      </c>
      <c r="AH17" s="2">
        <v>-1</v>
      </c>
      <c r="AI17" s="2">
        <v>-1</v>
      </c>
      <c r="AJ17" s="2">
        <v>-1</v>
      </c>
      <c r="AK17" s="2">
        <v>-1</v>
      </c>
      <c r="AL17" s="2">
        <v>-1</v>
      </c>
      <c r="AM17" s="2">
        <v>3</v>
      </c>
      <c r="AN17" s="2">
        <v>3</v>
      </c>
      <c r="AO17" s="2">
        <v>3</v>
      </c>
      <c r="AP17" s="2">
        <v>2</v>
      </c>
      <c r="AQ17" s="2">
        <v>3</v>
      </c>
      <c r="AR17" s="2">
        <v>2</v>
      </c>
      <c r="AS17" s="2">
        <v>2</v>
      </c>
      <c r="AT17" s="2">
        <v>1</v>
      </c>
      <c r="AU17" s="2">
        <v>2</v>
      </c>
      <c r="AV17" s="2"/>
      <c r="AW17" s="2">
        <v>2</v>
      </c>
      <c r="AX17" s="2">
        <v>1</v>
      </c>
      <c r="AY17" s="2">
        <v>1</v>
      </c>
      <c r="AZ17" s="2">
        <v>2</v>
      </c>
      <c r="BA17" s="2">
        <v>2</v>
      </c>
      <c r="BB17" s="2">
        <v>2</v>
      </c>
      <c r="BC17" s="2">
        <v>2</v>
      </c>
      <c r="BD17" s="2">
        <v>3</v>
      </c>
      <c r="BE17" s="2">
        <v>2</v>
      </c>
      <c r="BF17" s="2">
        <v>2</v>
      </c>
      <c r="BG17" s="2">
        <v>2</v>
      </c>
      <c r="BH17" s="2">
        <v>2</v>
      </c>
      <c r="BI17" s="2"/>
      <c r="BJ17" s="2">
        <v>2</v>
      </c>
      <c r="BK17" s="2">
        <v>1</v>
      </c>
      <c r="BL17" s="2">
        <v>1</v>
      </c>
      <c r="BM17" s="2">
        <v>6</v>
      </c>
      <c r="BN17" s="2">
        <v>6</v>
      </c>
      <c r="BO17" s="2">
        <v>6</v>
      </c>
      <c r="BP17" s="2" t="s">
        <v>258</v>
      </c>
      <c r="BQ17" s="2" t="s">
        <v>259</v>
      </c>
      <c r="BR17" s="2" t="s">
        <v>260</v>
      </c>
      <c r="BS17" s="2" t="s">
        <v>261</v>
      </c>
      <c r="BT17" s="2" t="s">
        <v>262</v>
      </c>
      <c r="BU17" s="2" t="s">
        <v>262</v>
      </c>
      <c r="BV17" s="2" t="s">
        <v>263</v>
      </c>
      <c r="BW17" s="2" t="s">
        <v>264</v>
      </c>
      <c r="BX17" s="2" t="s">
        <v>191</v>
      </c>
      <c r="BY17" s="2" t="s">
        <v>190</v>
      </c>
      <c r="BZ17" s="2" t="s">
        <v>188</v>
      </c>
      <c r="CA17" s="2" t="s">
        <v>188</v>
      </c>
      <c r="CB17" s="2" t="s">
        <v>188</v>
      </c>
      <c r="CC17" s="2" t="s">
        <v>188</v>
      </c>
      <c r="CD17" s="2" t="s">
        <v>190</v>
      </c>
      <c r="CE17" s="2" t="s">
        <v>191</v>
      </c>
      <c r="CF17" s="2" t="s">
        <v>190</v>
      </c>
      <c r="CG17" s="2" t="s">
        <v>191</v>
      </c>
      <c r="CH17" s="2" t="s">
        <v>190</v>
      </c>
      <c r="CI17" s="2" t="s">
        <v>190</v>
      </c>
      <c r="CJ17" s="2" t="s">
        <v>190</v>
      </c>
      <c r="CK17" s="2" t="s">
        <v>190</v>
      </c>
      <c r="CL17" s="2" t="s">
        <v>191</v>
      </c>
      <c r="CM17" s="2" t="s">
        <v>200</v>
      </c>
      <c r="CN17" s="2" t="s">
        <v>193</v>
      </c>
      <c r="CO17" s="2" t="s">
        <v>200</v>
      </c>
      <c r="CP17" s="2" t="s">
        <v>200</v>
      </c>
      <c r="CQ17" s="2" t="s">
        <v>193</v>
      </c>
      <c r="CR17" s="2" t="s">
        <v>200</v>
      </c>
      <c r="CS17" s="2" t="s">
        <v>200</v>
      </c>
      <c r="CT17" s="2" t="s">
        <v>193</v>
      </c>
      <c r="CU17" s="2" t="s">
        <v>193</v>
      </c>
      <c r="CV17" s="2" t="s">
        <v>193</v>
      </c>
      <c r="CW17" s="2" t="s">
        <v>192</v>
      </c>
      <c r="CX17" s="2" t="s">
        <v>200</v>
      </c>
      <c r="CY17" s="2" t="s">
        <v>193</v>
      </c>
      <c r="CZ17" s="2" t="s">
        <v>193</v>
      </c>
      <c r="DA17" s="2" t="s">
        <v>193</v>
      </c>
      <c r="DB17" s="2" t="s">
        <v>192</v>
      </c>
      <c r="DC17" s="2" t="s">
        <v>192</v>
      </c>
      <c r="DD17" s="2" t="s">
        <v>193</v>
      </c>
      <c r="DE17" s="2" t="s">
        <v>192</v>
      </c>
      <c r="DF17" s="2" t="s">
        <v>200</v>
      </c>
      <c r="DG17" s="2" t="s">
        <v>195</v>
      </c>
      <c r="DH17" s="2" t="s">
        <v>201</v>
      </c>
      <c r="DI17" s="2" t="s">
        <v>195</v>
      </c>
      <c r="DJ17" s="2" t="s">
        <v>195</v>
      </c>
      <c r="DK17" s="2" t="s">
        <v>194</v>
      </c>
      <c r="DL17" s="2" t="s">
        <v>195</v>
      </c>
      <c r="DM17" s="2" t="s">
        <v>195</v>
      </c>
      <c r="DN17" s="2" t="s">
        <v>194</v>
      </c>
      <c r="DO17" s="2" t="s">
        <v>196</v>
      </c>
      <c r="DP17" s="2" t="s">
        <v>195</v>
      </c>
      <c r="DQ17" s="2" t="s">
        <v>195</v>
      </c>
      <c r="DR17" s="2" t="s">
        <v>195</v>
      </c>
      <c r="DS17" s="2" t="s">
        <v>197</v>
      </c>
      <c r="DT17" s="2" t="s">
        <v>199</v>
      </c>
      <c r="DU17" s="2" t="s">
        <v>197</v>
      </c>
      <c r="DV17" s="2" t="s">
        <v>198</v>
      </c>
      <c r="DW17" s="2" t="s">
        <v>197</v>
      </c>
      <c r="DX17" s="2" t="s">
        <v>197</v>
      </c>
      <c r="DY17" s="2" t="s">
        <v>197</v>
      </c>
      <c r="DZ17" s="2"/>
      <c r="EA17" s="2">
        <v>1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1</v>
      </c>
      <c r="EM17" s="2">
        <v>1</v>
      </c>
      <c r="EN17" s="2">
        <v>0</v>
      </c>
      <c r="EO17" s="2">
        <v>0</v>
      </c>
      <c r="EP17" s="2">
        <v>0</v>
      </c>
      <c r="EQ17" s="2">
        <v>0</v>
      </c>
      <c r="ER17" s="2">
        <v>1</v>
      </c>
      <c r="ES17" s="2">
        <v>1</v>
      </c>
      <c r="ET17" s="2">
        <v>0</v>
      </c>
      <c r="EU17" s="2">
        <v>0</v>
      </c>
      <c r="EV17" s="2">
        <v>0</v>
      </c>
      <c r="EW17" s="2">
        <v>0</v>
      </c>
      <c r="EX17" s="2">
        <v>1</v>
      </c>
      <c r="EY17" s="2">
        <v>1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1</v>
      </c>
      <c r="FO17" s="2">
        <v>1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/>
      <c r="GA17" s="2">
        <v>3</v>
      </c>
      <c r="GB17" s="2">
        <v>3</v>
      </c>
      <c r="GC17" s="2">
        <v>3</v>
      </c>
      <c r="GD17" s="2">
        <v>2</v>
      </c>
      <c r="GE17" s="2">
        <v>3</v>
      </c>
      <c r="GG17" s="2">
        <v>2</v>
      </c>
      <c r="GH17" s="2">
        <v>2</v>
      </c>
      <c r="GI17" s="2">
        <v>2</v>
      </c>
      <c r="GJ17" s="2">
        <v>2</v>
      </c>
      <c r="GK17" s="2">
        <v>3</v>
      </c>
      <c r="GM17" s="2">
        <f t="shared" si="0"/>
        <v>14</v>
      </c>
      <c r="GN17" s="2">
        <f t="shared" si="1"/>
        <v>11</v>
      </c>
      <c r="GO17" s="2"/>
      <c r="GP17" s="2">
        <v>2</v>
      </c>
      <c r="GQ17" s="2">
        <v>2</v>
      </c>
      <c r="GR17" s="2">
        <v>1</v>
      </c>
      <c r="GS17" s="2">
        <v>2</v>
      </c>
      <c r="GU17" s="2">
        <v>2</v>
      </c>
      <c r="GV17" s="2">
        <v>1</v>
      </c>
      <c r="GW17" s="2">
        <v>1</v>
      </c>
      <c r="GY17" s="2">
        <v>2</v>
      </c>
      <c r="GZ17" s="2">
        <v>2</v>
      </c>
      <c r="HA17" s="2">
        <v>2</v>
      </c>
      <c r="HB17" s="2">
        <v>2</v>
      </c>
      <c r="HD17" s="2">
        <v>2</v>
      </c>
      <c r="HE17" s="2">
        <v>1</v>
      </c>
      <c r="HF17" s="2">
        <v>1</v>
      </c>
      <c r="HH17" s="2">
        <f t="shared" si="2"/>
        <v>11</v>
      </c>
      <c r="HI17" s="2">
        <f t="shared" si="3"/>
        <v>12</v>
      </c>
      <c r="HJ17" s="2"/>
      <c r="HK17" s="2">
        <v>6</v>
      </c>
      <c r="HL17" s="2">
        <v>6</v>
      </c>
      <c r="HM17" s="2"/>
      <c r="HN17" s="2"/>
    </row>
    <row r="18" spans="1:222" ht="15.75" customHeight="1" x14ac:dyDescent="0.2">
      <c r="A18" s="3" t="e">
        <f>VLOOKUP(B18,#REF!,1,FALSE)</f>
        <v>#REF!</v>
      </c>
      <c r="B18" s="3">
        <v>44641.574489722225</v>
      </c>
      <c r="C18" s="2">
        <v>20</v>
      </c>
      <c r="D18" s="2" t="s">
        <v>185</v>
      </c>
      <c r="E18" s="2">
        <v>0</v>
      </c>
      <c r="F18" s="2" t="s">
        <v>265</v>
      </c>
      <c r="G18" s="2">
        <v>2</v>
      </c>
      <c r="H18" s="2">
        <v>0.5</v>
      </c>
      <c r="I18" s="2">
        <v>1</v>
      </c>
      <c r="J18" s="2">
        <v>3</v>
      </c>
      <c r="K18" s="2">
        <v>0</v>
      </c>
      <c r="L18" s="2">
        <v>4</v>
      </c>
      <c r="M18" s="2" t="s">
        <v>187</v>
      </c>
      <c r="N18" s="2">
        <v>2</v>
      </c>
      <c r="O18" s="2">
        <v>4</v>
      </c>
      <c r="P18" s="2">
        <v>0</v>
      </c>
      <c r="Q18" s="2" t="s">
        <v>266</v>
      </c>
      <c r="R18" s="2">
        <v>3</v>
      </c>
      <c r="S18" s="2">
        <v>-1</v>
      </c>
      <c r="T18" s="2">
        <v>-1</v>
      </c>
      <c r="U18" s="2">
        <v>-1</v>
      </c>
      <c r="V18" s="2">
        <v>-1</v>
      </c>
      <c r="W18" s="2">
        <v>-1</v>
      </c>
      <c r="X18" s="2"/>
      <c r="Y18" s="2">
        <v>-1</v>
      </c>
      <c r="Z18" s="2">
        <v>1</v>
      </c>
      <c r="AA18" s="2">
        <v>1</v>
      </c>
      <c r="AB18" s="2">
        <v>2</v>
      </c>
      <c r="AC18" s="2">
        <v>2</v>
      </c>
      <c r="AD18" s="2">
        <v>2</v>
      </c>
      <c r="AE18" s="2">
        <v>2</v>
      </c>
      <c r="AF18" s="2">
        <v>2</v>
      </c>
      <c r="AG18" s="2">
        <v>1</v>
      </c>
      <c r="AH18" s="2">
        <v>2</v>
      </c>
      <c r="AI18" s="2">
        <v>2</v>
      </c>
      <c r="AJ18" s="2">
        <v>3</v>
      </c>
      <c r="AK18" s="2">
        <v>3</v>
      </c>
      <c r="AL18" s="2">
        <v>3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4</v>
      </c>
      <c r="AS18" s="2">
        <v>2</v>
      </c>
      <c r="AT18" s="2">
        <v>1</v>
      </c>
      <c r="AU18" s="2">
        <v>0</v>
      </c>
      <c r="AV18" s="2"/>
      <c r="AW18" s="2">
        <v>2</v>
      </c>
      <c r="AX18" s="2">
        <v>2</v>
      </c>
      <c r="AY18" s="2">
        <v>3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/>
      <c r="BJ18" s="2">
        <v>0</v>
      </c>
      <c r="BK18" s="2">
        <v>0</v>
      </c>
      <c r="BL18" s="2">
        <v>3</v>
      </c>
      <c r="BM18" s="2">
        <v>8</v>
      </c>
      <c r="BN18" s="2">
        <v>9</v>
      </c>
      <c r="BO18" s="2">
        <v>5</v>
      </c>
      <c r="BP18" s="2" t="s">
        <v>267</v>
      </c>
      <c r="BQ18" s="2" t="s">
        <v>268</v>
      </c>
      <c r="BR18" s="2" t="s">
        <v>258</v>
      </c>
      <c r="BS18" s="2" t="s">
        <v>269</v>
      </c>
      <c r="BT18" s="2" t="s">
        <v>258</v>
      </c>
      <c r="BU18" s="2" t="s">
        <v>258</v>
      </c>
      <c r="BV18" s="2" t="s">
        <v>270</v>
      </c>
      <c r="BW18" s="2" t="s">
        <v>271</v>
      </c>
      <c r="BX18" s="2" t="s">
        <v>191</v>
      </c>
      <c r="BY18" s="2" t="s">
        <v>188</v>
      </c>
      <c r="BZ18" s="2" t="s">
        <v>188</v>
      </c>
      <c r="CA18" s="2" t="s">
        <v>188</v>
      </c>
      <c r="CB18" s="2" t="s">
        <v>188</v>
      </c>
      <c r="CC18" s="2" t="s">
        <v>188</v>
      </c>
      <c r="CD18" s="2" t="s">
        <v>189</v>
      </c>
      <c r="CE18" s="2" t="s">
        <v>191</v>
      </c>
      <c r="CF18" s="2" t="s">
        <v>191</v>
      </c>
      <c r="CG18" s="2" t="s">
        <v>188</v>
      </c>
      <c r="CH18" s="2" t="s">
        <v>191</v>
      </c>
      <c r="CI18" s="2" t="s">
        <v>188</v>
      </c>
      <c r="CJ18" s="2" t="s">
        <v>188</v>
      </c>
      <c r="CK18" s="2" t="s">
        <v>188</v>
      </c>
      <c r="CL18" s="2" t="s">
        <v>191</v>
      </c>
      <c r="CM18" s="2" t="s">
        <v>193</v>
      </c>
      <c r="CN18" s="2" t="s">
        <v>193</v>
      </c>
      <c r="CO18" s="2" t="s">
        <v>200</v>
      </c>
      <c r="CP18" s="2" t="s">
        <v>200</v>
      </c>
      <c r="CQ18" s="2" t="s">
        <v>192</v>
      </c>
      <c r="CR18" s="2" t="s">
        <v>192</v>
      </c>
      <c r="CS18" s="2" t="s">
        <v>192</v>
      </c>
      <c r="CT18" s="2" t="s">
        <v>192</v>
      </c>
      <c r="CU18" s="2" t="s">
        <v>200</v>
      </c>
      <c r="CV18" s="2" t="s">
        <v>200</v>
      </c>
      <c r="CW18" s="2" t="s">
        <v>200</v>
      </c>
      <c r="CX18" s="2" t="s">
        <v>200</v>
      </c>
      <c r="CY18" s="2" t="s">
        <v>193</v>
      </c>
      <c r="CZ18" s="2" t="s">
        <v>193</v>
      </c>
      <c r="DA18" s="2" t="s">
        <v>200</v>
      </c>
      <c r="DB18" s="2" t="s">
        <v>192</v>
      </c>
      <c r="DC18" s="2" t="s">
        <v>192</v>
      </c>
      <c r="DD18" s="2" t="s">
        <v>193</v>
      </c>
      <c r="DE18" s="2" t="s">
        <v>192</v>
      </c>
      <c r="DF18" s="2" t="s">
        <v>192</v>
      </c>
      <c r="DG18" s="2" t="s">
        <v>195</v>
      </c>
      <c r="DH18" s="2" t="s">
        <v>195</v>
      </c>
      <c r="DI18" s="2" t="s">
        <v>196</v>
      </c>
      <c r="DJ18" s="2" t="s">
        <v>196</v>
      </c>
      <c r="DK18" s="2" t="s">
        <v>194</v>
      </c>
      <c r="DL18" s="2" t="s">
        <v>220</v>
      </c>
      <c r="DM18" s="2" t="s">
        <v>220</v>
      </c>
      <c r="DN18" s="2" t="s">
        <v>196</v>
      </c>
      <c r="DO18" s="2" t="s">
        <v>220</v>
      </c>
      <c r="DP18" s="2" t="s">
        <v>220</v>
      </c>
      <c r="DQ18" s="2" t="s">
        <v>220</v>
      </c>
      <c r="DR18" s="2" t="s">
        <v>196</v>
      </c>
      <c r="DS18" s="2" t="s">
        <v>222</v>
      </c>
      <c r="DT18" s="2" t="s">
        <v>221</v>
      </c>
      <c r="DU18" s="2" t="s">
        <v>221</v>
      </c>
      <c r="DV18" s="2" t="s">
        <v>221</v>
      </c>
      <c r="DW18" s="2" t="s">
        <v>221</v>
      </c>
      <c r="DX18" s="2" t="s">
        <v>221</v>
      </c>
      <c r="DY18" s="2" t="s">
        <v>221</v>
      </c>
      <c r="DZ18" s="2"/>
      <c r="EA18" s="2">
        <v>1</v>
      </c>
      <c r="EB18" s="2">
        <v>1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1</v>
      </c>
      <c r="EI18" s="2">
        <v>1</v>
      </c>
      <c r="EJ18" s="2">
        <v>1</v>
      </c>
      <c r="EK18" s="2">
        <v>1</v>
      </c>
      <c r="EL18" s="2">
        <v>1</v>
      </c>
      <c r="EM18" s="2">
        <v>1</v>
      </c>
      <c r="EN18" s="2">
        <v>1</v>
      </c>
      <c r="EO18" s="2">
        <v>0</v>
      </c>
      <c r="EP18" s="2">
        <v>0</v>
      </c>
      <c r="EQ18" s="2">
        <v>1</v>
      </c>
      <c r="ER18" s="2">
        <v>0</v>
      </c>
      <c r="ES18" s="2">
        <v>1</v>
      </c>
      <c r="ET18" s="2">
        <v>1</v>
      </c>
      <c r="EU18" s="2">
        <v>1</v>
      </c>
      <c r="EV18" s="2">
        <v>1</v>
      </c>
      <c r="EW18" s="2">
        <v>1</v>
      </c>
      <c r="EX18" s="2">
        <v>1</v>
      </c>
      <c r="EY18" s="2">
        <v>1</v>
      </c>
      <c r="EZ18" s="2">
        <v>1</v>
      </c>
      <c r="FA18" s="2">
        <v>1</v>
      </c>
      <c r="FB18" s="2">
        <v>0</v>
      </c>
      <c r="FC18" s="2">
        <v>0</v>
      </c>
      <c r="FD18" s="2">
        <v>0</v>
      </c>
      <c r="FE18" s="2">
        <v>0</v>
      </c>
      <c r="FF18" s="2">
        <v>1</v>
      </c>
      <c r="FG18" s="2">
        <v>1</v>
      </c>
      <c r="FH18" s="2">
        <v>1</v>
      </c>
      <c r="FI18" s="2">
        <v>0</v>
      </c>
      <c r="FJ18" s="2">
        <v>1</v>
      </c>
      <c r="FK18" s="2">
        <v>0</v>
      </c>
      <c r="FL18" s="2">
        <v>1</v>
      </c>
      <c r="FM18" s="2">
        <v>0</v>
      </c>
      <c r="FN18" s="2">
        <v>1</v>
      </c>
      <c r="FO18" s="2">
        <v>1</v>
      </c>
      <c r="FP18" s="2">
        <v>1</v>
      </c>
      <c r="FQ18" s="2">
        <v>1</v>
      </c>
      <c r="FR18" s="2">
        <v>0</v>
      </c>
      <c r="FS18" s="2">
        <v>1</v>
      </c>
      <c r="FT18" s="2">
        <v>1</v>
      </c>
      <c r="FU18" s="2">
        <v>0</v>
      </c>
      <c r="FV18" s="2">
        <v>1</v>
      </c>
      <c r="FW18" s="2">
        <v>1</v>
      </c>
      <c r="FX18" s="2">
        <v>1</v>
      </c>
      <c r="FY18" s="2">
        <v>0</v>
      </c>
      <c r="FZ18" s="2"/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M18" s="2">
        <f t="shared" si="0"/>
        <v>0</v>
      </c>
      <c r="GN18" s="2">
        <f t="shared" si="1"/>
        <v>0</v>
      </c>
      <c r="GO18" s="2"/>
      <c r="GP18" s="2">
        <v>4</v>
      </c>
      <c r="GQ18" s="2">
        <v>2</v>
      </c>
      <c r="GR18" s="2">
        <v>1</v>
      </c>
      <c r="GS18" s="2">
        <v>0</v>
      </c>
      <c r="GU18" s="2">
        <v>2</v>
      </c>
      <c r="GV18" s="2">
        <v>2</v>
      </c>
      <c r="GW18" s="2">
        <v>3</v>
      </c>
      <c r="GY18" s="2">
        <v>0</v>
      </c>
      <c r="GZ18" s="2">
        <v>0</v>
      </c>
      <c r="HA18" s="2">
        <v>0</v>
      </c>
      <c r="HB18" s="2">
        <v>0</v>
      </c>
      <c r="HD18" s="2">
        <v>0</v>
      </c>
      <c r="HE18" s="2">
        <v>0</v>
      </c>
      <c r="HF18" s="2">
        <v>3</v>
      </c>
      <c r="HH18" s="2">
        <f t="shared" si="2"/>
        <v>14</v>
      </c>
      <c r="HI18" s="2">
        <f t="shared" si="3"/>
        <v>3</v>
      </c>
      <c r="HJ18" s="2"/>
      <c r="HK18" s="2">
        <v>9</v>
      </c>
      <c r="HL18" s="2">
        <v>5</v>
      </c>
      <c r="HM18" s="2"/>
      <c r="HN18" s="2"/>
    </row>
    <row r="19" spans="1:222" ht="15.75" customHeight="1" x14ac:dyDescent="0.2">
      <c r="A19" s="3" t="e">
        <f>VLOOKUP(B19,#REF!,1,FALSE)</f>
        <v>#REF!</v>
      </c>
      <c r="B19" s="3">
        <v>44641.601299606482</v>
      </c>
      <c r="C19" s="2">
        <v>21</v>
      </c>
      <c r="D19" s="2" t="s">
        <v>185</v>
      </c>
      <c r="E19" s="2">
        <v>0</v>
      </c>
      <c r="F19" s="2" t="s">
        <v>232</v>
      </c>
      <c r="G19" s="2">
        <v>8</v>
      </c>
      <c r="H19" s="2">
        <v>0.5</v>
      </c>
      <c r="I19" s="2">
        <v>1</v>
      </c>
      <c r="J19" s="2">
        <v>5</v>
      </c>
      <c r="K19" s="2">
        <v>0</v>
      </c>
      <c r="L19" s="2">
        <v>3</v>
      </c>
      <c r="M19" s="2" t="s">
        <v>213</v>
      </c>
      <c r="N19" s="2">
        <v>3</v>
      </c>
      <c r="O19" s="2">
        <v>2</v>
      </c>
      <c r="P19" s="2">
        <v>0</v>
      </c>
      <c r="Q19" s="2">
        <v>0</v>
      </c>
      <c r="R19" s="2">
        <v>2</v>
      </c>
      <c r="S19" s="2">
        <v>0</v>
      </c>
      <c r="T19" s="2">
        <v>-1</v>
      </c>
      <c r="U19" s="2">
        <v>0</v>
      </c>
      <c r="V19" s="2">
        <v>-1</v>
      </c>
      <c r="W19" s="2">
        <v>0</v>
      </c>
      <c r="X19" s="2"/>
      <c r="Y19" s="2">
        <v>-1</v>
      </c>
      <c r="Z19" s="2">
        <v>0</v>
      </c>
      <c r="AA19" s="2">
        <v>1</v>
      </c>
      <c r="AB19" s="2">
        <v>2</v>
      </c>
      <c r="AC19" s="2">
        <v>2</v>
      </c>
      <c r="AD19" s="2">
        <v>2</v>
      </c>
      <c r="AE19" s="2">
        <v>2</v>
      </c>
      <c r="AF19" s="2">
        <v>4</v>
      </c>
      <c r="AG19" s="2">
        <v>1</v>
      </c>
      <c r="AH19" s="2">
        <v>1</v>
      </c>
      <c r="AI19" s="2">
        <v>1</v>
      </c>
      <c r="AJ19" s="2">
        <v>1</v>
      </c>
      <c r="AK19" s="2">
        <v>-1</v>
      </c>
      <c r="AL19" s="2">
        <v>1</v>
      </c>
      <c r="AM19" s="2">
        <v>3</v>
      </c>
      <c r="AN19" s="2">
        <v>2</v>
      </c>
      <c r="AO19" s="2">
        <v>4</v>
      </c>
      <c r="AP19" s="2">
        <v>1</v>
      </c>
      <c r="AQ19" s="2">
        <v>5</v>
      </c>
      <c r="AR19" s="2">
        <v>3</v>
      </c>
      <c r="AS19" s="2">
        <v>0</v>
      </c>
      <c r="AT19" s="2">
        <v>0</v>
      </c>
      <c r="AU19" s="2">
        <v>1</v>
      </c>
      <c r="AV19" s="2"/>
      <c r="AW19" s="2">
        <v>1</v>
      </c>
      <c r="AX19" s="2">
        <v>1</v>
      </c>
      <c r="AY19" s="2">
        <v>3</v>
      </c>
      <c r="AZ19" s="2">
        <v>4</v>
      </c>
      <c r="BA19" s="2">
        <v>4</v>
      </c>
      <c r="BB19" s="2">
        <v>4</v>
      </c>
      <c r="BC19" s="2">
        <v>2</v>
      </c>
      <c r="BD19" s="2">
        <v>4</v>
      </c>
      <c r="BE19" s="2">
        <v>3</v>
      </c>
      <c r="BF19" s="2">
        <v>1</v>
      </c>
      <c r="BG19" s="2">
        <v>1</v>
      </c>
      <c r="BH19" s="2">
        <v>1</v>
      </c>
      <c r="BI19" s="2"/>
      <c r="BJ19" s="2">
        <v>1</v>
      </c>
      <c r="BK19" s="2">
        <v>1</v>
      </c>
      <c r="BL19" s="2">
        <v>3</v>
      </c>
      <c r="BM19" s="2">
        <v>6</v>
      </c>
      <c r="BN19" s="2">
        <v>9</v>
      </c>
      <c r="BO19" s="2">
        <v>9</v>
      </c>
      <c r="BP19" s="2" t="s">
        <v>272</v>
      </c>
      <c r="BQ19" s="2" t="s">
        <v>273</v>
      </c>
      <c r="BR19" s="2" t="s">
        <v>258</v>
      </c>
      <c r="BS19" s="2" t="s">
        <v>274</v>
      </c>
      <c r="BT19" s="2" t="s">
        <v>258</v>
      </c>
      <c r="BU19" s="2" t="s">
        <v>258</v>
      </c>
      <c r="BV19" s="2" t="s">
        <v>275</v>
      </c>
      <c r="BW19" s="2" t="s">
        <v>276</v>
      </c>
      <c r="BX19" s="2" t="s">
        <v>190</v>
      </c>
      <c r="BY19" s="2" t="s">
        <v>188</v>
      </c>
      <c r="BZ19" s="2" t="s">
        <v>190</v>
      </c>
      <c r="CA19" s="2" t="s">
        <v>190</v>
      </c>
      <c r="CB19" s="2" t="s">
        <v>190</v>
      </c>
      <c r="CC19" s="2" t="s">
        <v>190</v>
      </c>
      <c r="CD19" s="2" t="s">
        <v>190</v>
      </c>
      <c r="CE19" s="2" t="s">
        <v>188</v>
      </c>
      <c r="CF19" s="2" t="s">
        <v>188</v>
      </c>
      <c r="CG19" s="2" t="s">
        <v>188</v>
      </c>
      <c r="CH19" s="2" t="s">
        <v>188</v>
      </c>
      <c r="CI19" s="2" t="s">
        <v>188</v>
      </c>
      <c r="CJ19" s="2" t="s">
        <v>190</v>
      </c>
      <c r="CK19" s="2" t="s">
        <v>190</v>
      </c>
      <c r="CL19" s="2" t="s">
        <v>190</v>
      </c>
      <c r="CM19" s="2" t="s">
        <v>192</v>
      </c>
      <c r="CN19" s="2" t="s">
        <v>192</v>
      </c>
      <c r="CO19" s="2" t="s">
        <v>200</v>
      </c>
      <c r="CP19" s="2" t="s">
        <v>192</v>
      </c>
      <c r="CQ19" s="2" t="s">
        <v>192</v>
      </c>
      <c r="CR19" s="2" t="s">
        <v>193</v>
      </c>
      <c r="CS19" s="2" t="s">
        <v>193</v>
      </c>
      <c r="CT19" s="2" t="s">
        <v>193</v>
      </c>
      <c r="CU19" s="2" t="s">
        <v>193</v>
      </c>
      <c r="CV19" s="2" t="s">
        <v>200</v>
      </c>
      <c r="CW19" s="2" t="s">
        <v>200</v>
      </c>
      <c r="CX19" s="2" t="s">
        <v>193</v>
      </c>
      <c r="CY19" s="2" t="s">
        <v>200</v>
      </c>
      <c r="CZ19" s="2" t="s">
        <v>200</v>
      </c>
      <c r="DA19" s="2" t="s">
        <v>200</v>
      </c>
      <c r="DB19" s="2" t="s">
        <v>193</v>
      </c>
      <c r="DC19" s="2" t="s">
        <v>192</v>
      </c>
      <c r="DD19" s="2" t="s">
        <v>192</v>
      </c>
      <c r="DE19" s="2" t="s">
        <v>192</v>
      </c>
      <c r="DF19" s="2" t="s">
        <v>192</v>
      </c>
      <c r="DG19" s="2" t="s">
        <v>220</v>
      </c>
      <c r="DH19" s="2" t="s">
        <v>220</v>
      </c>
      <c r="DI19" s="2" t="s">
        <v>196</v>
      </c>
      <c r="DJ19" s="2" t="s">
        <v>195</v>
      </c>
      <c r="DK19" s="2" t="s">
        <v>220</v>
      </c>
      <c r="DL19" s="2" t="s">
        <v>196</v>
      </c>
      <c r="DM19" s="2" t="s">
        <v>194</v>
      </c>
      <c r="DN19" s="2" t="s">
        <v>220</v>
      </c>
      <c r="DO19" s="2" t="s">
        <v>196</v>
      </c>
      <c r="DP19" s="2" t="s">
        <v>196</v>
      </c>
      <c r="DQ19" s="2" t="s">
        <v>195</v>
      </c>
      <c r="DR19" s="2" t="s">
        <v>195</v>
      </c>
      <c r="DS19" s="2" t="s">
        <v>197</v>
      </c>
      <c r="DT19" s="2" t="s">
        <v>198</v>
      </c>
      <c r="DU19" s="2" t="s">
        <v>197</v>
      </c>
      <c r="DV19" s="2" t="s">
        <v>197</v>
      </c>
      <c r="DW19" s="2" t="s">
        <v>197</v>
      </c>
      <c r="DX19" s="2" t="s">
        <v>197</v>
      </c>
      <c r="DY19" s="2" t="s">
        <v>197</v>
      </c>
      <c r="DZ19" s="2"/>
      <c r="EA19" s="2">
        <v>1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1</v>
      </c>
      <c r="EJ19" s="2">
        <v>1</v>
      </c>
      <c r="EK19" s="2">
        <v>0</v>
      </c>
      <c r="EL19" s="2">
        <v>0</v>
      </c>
      <c r="EM19" s="2">
        <v>1</v>
      </c>
      <c r="EN19" s="2">
        <v>1</v>
      </c>
      <c r="EO19" s="2">
        <v>0</v>
      </c>
      <c r="EP19" s="2">
        <v>0</v>
      </c>
      <c r="EQ19" s="2">
        <v>1</v>
      </c>
      <c r="ER19" s="2">
        <v>0</v>
      </c>
      <c r="ES19" s="2">
        <v>1</v>
      </c>
      <c r="ET19" s="2">
        <v>0</v>
      </c>
      <c r="EU19" s="2">
        <v>1</v>
      </c>
      <c r="EV19" s="2">
        <v>1</v>
      </c>
      <c r="EW19" s="2">
        <v>0</v>
      </c>
      <c r="EX19" s="2">
        <v>0</v>
      </c>
      <c r="EY19" s="2">
        <v>1</v>
      </c>
      <c r="EZ19" s="2">
        <v>1</v>
      </c>
      <c r="FA19" s="2">
        <v>0</v>
      </c>
      <c r="FB19" s="2">
        <v>1</v>
      </c>
      <c r="FC19" s="2">
        <v>0</v>
      </c>
      <c r="FD19" s="2">
        <v>0</v>
      </c>
      <c r="FE19" s="2">
        <v>0</v>
      </c>
      <c r="FF19" s="2">
        <v>1</v>
      </c>
      <c r="FG19" s="2">
        <v>0</v>
      </c>
      <c r="FH19" s="2">
        <v>1</v>
      </c>
      <c r="FI19" s="2">
        <v>0</v>
      </c>
      <c r="FJ19" s="2">
        <v>1</v>
      </c>
      <c r="FK19" s="2">
        <v>0</v>
      </c>
      <c r="FL19" s="2">
        <v>1</v>
      </c>
      <c r="FM19" s="2">
        <v>0</v>
      </c>
      <c r="FN19" s="2">
        <v>1</v>
      </c>
      <c r="FO19" s="2">
        <v>0</v>
      </c>
      <c r="FP19" s="2">
        <v>0</v>
      </c>
      <c r="FQ19" s="2">
        <v>1</v>
      </c>
      <c r="FR19" s="2">
        <v>0</v>
      </c>
      <c r="FS19" s="2">
        <v>1</v>
      </c>
      <c r="FT19" s="2">
        <v>0</v>
      </c>
      <c r="FU19" s="2">
        <v>1</v>
      </c>
      <c r="FV19" s="2">
        <v>0</v>
      </c>
      <c r="FW19" s="2">
        <v>1</v>
      </c>
      <c r="FX19" s="2">
        <v>0</v>
      </c>
      <c r="FY19" s="2">
        <v>1</v>
      </c>
      <c r="FZ19" s="2"/>
      <c r="GA19" s="2">
        <v>3</v>
      </c>
      <c r="GB19" s="2">
        <v>2</v>
      </c>
      <c r="GC19" s="2">
        <v>4</v>
      </c>
      <c r="GD19" s="2">
        <v>1</v>
      </c>
      <c r="GE19" s="2">
        <v>5</v>
      </c>
      <c r="GG19" s="2">
        <v>4</v>
      </c>
      <c r="GH19" s="2">
        <v>4</v>
      </c>
      <c r="GI19" s="2">
        <v>4</v>
      </c>
      <c r="GJ19" s="2">
        <v>2</v>
      </c>
      <c r="GK19" s="2">
        <v>4</v>
      </c>
      <c r="GM19" s="2">
        <f t="shared" si="0"/>
        <v>15</v>
      </c>
      <c r="GN19" s="2">
        <f t="shared" si="1"/>
        <v>18</v>
      </c>
      <c r="GO19" s="2"/>
      <c r="GP19" s="2">
        <v>3</v>
      </c>
      <c r="GQ19" s="2">
        <v>0</v>
      </c>
      <c r="GR19" s="2">
        <v>0</v>
      </c>
      <c r="GS19" s="2">
        <v>1</v>
      </c>
      <c r="GU19" s="2">
        <v>1</v>
      </c>
      <c r="GV19" s="2">
        <v>1</v>
      </c>
      <c r="GW19" s="2">
        <v>3</v>
      </c>
      <c r="GY19" s="2">
        <v>3</v>
      </c>
      <c r="GZ19" s="2">
        <v>1</v>
      </c>
      <c r="HA19" s="2">
        <v>1</v>
      </c>
      <c r="HB19" s="2">
        <v>1</v>
      </c>
      <c r="HD19" s="2">
        <v>1</v>
      </c>
      <c r="HE19" s="2">
        <v>1</v>
      </c>
      <c r="HF19" s="2">
        <v>3</v>
      </c>
      <c r="HH19" s="2">
        <f t="shared" si="2"/>
        <v>9</v>
      </c>
      <c r="HI19" s="2">
        <f t="shared" si="3"/>
        <v>11</v>
      </c>
      <c r="HJ19" s="2"/>
      <c r="HK19" s="2">
        <v>9</v>
      </c>
      <c r="HL19" s="2">
        <v>9</v>
      </c>
      <c r="HM19" s="2"/>
      <c r="HN19" s="2"/>
    </row>
    <row r="20" spans="1:222" ht="15.75" customHeight="1" x14ac:dyDescent="0.2">
      <c r="A20" s="3" t="e">
        <f>VLOOKUP(B20,#REF!,1,FALSE)</f>
        <v>#REF!</v>
      </c>
      <c r="B20" s="3">
        <v>44641.606574456018</v>
      </c>
      <c r="C20" s="2">
        <v>22</v>
      </c>
      <c r="D20" s="2" t="s">
        <v>185</v>
      </c>
      <c r="E20" s="2">
        <v>0</v>
      </c>
      <c r="F20" s="2" t="s">
        <v>186</v>
      </c>
      <c r="G20" s="2">
        <v>2</v>
      </c>
      <c r="H20" s="2">
        <v>0.5</v>
      </c>
      <c r="I20" s="2">
        <v>1</v>
      </c>
      <c r="J20" s="2">
        <v>3</v>
      </c>
      <c r="K20" s="2">
        <v>0</v>
      </c>
      <c r="L20" s="2">
        <v>4</v>
      </c>
      <c r="M20" s="2" t="s">
        <v>187</v>
      </c>
      <c r="N20" s="2">
        <v>3</v>
      </c>
      <c r="O20" s="2">
        <v>3</v>
      </c>
      <c r="P20" s="2">
        <v>0</v>
      </c>
      <c r="Q20" s="2" t="s">
        <v>277</v>
      </c>
      <c r="R20" s="2">
        <v>2</v>
      </c>
      <c r="S20" s="2">
        <v>0</v>
      </c>
      <c r="T20" s="2">
        <v>1</v>
      </c>
      <c r="U20" s="2">
        <v>1</v>
      </c>
      <c r="V20" s="2">
        <v>0</v>
      </c>
      <c r="W20" s="2">
        <v>1</v>
      </c>
      <c r="X20" s="2"/>
      <c r="Y20" s="2">
        <v>1</v>
      </c>
      <c r="Z20" s="2">
        <v>1</v>
      </c>
      <c r="AA20" s="2">
        <v>1</v>
      </c>
      <c r="AB20" s="2">
        <v>2</v>
      </c>
      <c r="AC20" s="2">
        <v>1</v>
      </c>
      <c r="AD20" s="2">
        <v>1</v>
      </c>
      <c r="AE20" s="2">
        <v>1</v>
      </c>
      <c r="AF20" s="2">
        <v>4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3</v>
      </c>
      <c r="AN20" s="2">
        <v>3</v>
      </c>
      <c r="AO20" s="2">
        <v>3</v>
      </c>
      <c r="AP20" s="2">
        <v>3</v>
      </c>
      <c r="AQ20" s="2">
        <v>3</v>
      </c>
      <c r="AR20" s="2">
        <v>2</v>
      </c>
      <c r="AS20" s="2">
        <v>1</v>
      </c>
      <c r="AT20" s="2">
        <v>1</v>
      </c>
      <c r="AU20" s="2">
        <v>2</v>
      </c>
      <c r="AV20" s="2"/>
      <c r="AW20" s="2">
        <v>2</v>
      </c>
      <c r="AX20" s="2">
        <v>2</v>
      </c>
      <c r="AY20" s="2">
        <v>0</v>
      </c>
      <c r="AZ20" s="2">
        <v>3</v>
      </c>
      <c r="BA20" s="2">
        <v>4</v>
      </c>
      <c r="BB20" s="2">
        <v>3</v>
      </c>
      <c r="BC20" s="2">
        <v>4</v>
      </c>
      <c r="BD20" s="2">
        <v>3</v>
      </c>
      <c r="BE20" s="2">
        <v>2</v>
      </c>
      <c r="BF20" s="2">
        <v>1</v>
      </c>
      <c r="BG20" s="2">
        <v>3</v>
      </c>
      <c r="BH20" s="2">
        <v>3</v>
      </c>
      <c r="BI20" s="2"/>
      <c r="BJ20" s="2">
        <v>3</v>
      </c>
      <c r="BK20" s="2">
        <v>2</v>
      </c>
      <c r="BL20" s="2">
        <v>0</v>
      </c>
      <c r="BM20" s="2">
        <v>8</v>
      </c>
      <c r="BN20" s="2">
        <v>7</v>
      </c>
      <c r="BO20" s="2">
        <v>7</v>
      </c>
      <c r="BP20" s="2" t="s">
        <v>278</v>
      </c>
      <c r="BQ20" s="2" t="s">
        <v>258</v>
      </c>
      <c r="BR20" s="2"/>
      <c r="BS20" s="2"/>
      <c r="BT20" s="2" t="s">
        <v>279</v>
      </c>
      <c r="BU20" s="2" t="s">
        <v>258</v>
      </c>
      <c r="BV20" s="2" t="s">
        <v>280</v>
      </c>
      <c r="BW20" s="2" t="s">
        <v>281</v>
      </c>
      <c r="BX20" s="2" t="s">
        <v>191</v>
      </c>
      <c r="BY20" s="2" t="s">
        <v>190</v>
      </c>
      <c r="BZ20" s="2" t="s">
        <v>191</v>
      </c>
      <c r="CA20" s="2" t="s">
        <v>191</v>
      </c>
      <c r="CB20" s="2" t="s">
        <v>191</v>
      </c>
      <c r="CC20" s="2" t="s">
        <v>191</v>
      </c>
      <c r="CD20" s="2" t="s">
        <v>189</v>
      </c>
      <c r="CE20" s="2" t="s">
        <v>189</v>
      </c>
      <c r="CF20" s="2" t="s">
        <v>190</v>
      </c>
      <c r="CG20" s="2" t="s">
        <v>190</v>
      </c>
      <c r="CH20" s="2" t="s">
        <v>191</v>
      </c>
      <c r="CI20" s="2" t="s">
        <v>189</v>
      </c>
      <c r="CJ20" s="2" t="s">
        <v>189</v>
      </c>
      <c r="CK20" s="2" t="s">
        <v>189</v>
      </c>
      <c r="CL20" s="2" t="s">
        <v>189</v>
      </c>
      <c r="CM20" s="2" t="s">
        <v>193</v>
      </c>
      <c r="CN20" s="2" t="s">
        <v>192</v>
      </c>
      <c r="CO20" s="2" t="s">
        <v>193</v>
      </c>
      <c r="CP20" s="2" t="s">
        <v>193</v>
      </c>
      <c r="CQ20" s="2" t="s">
        <v>193</v>
      </c>
      <c r="CR20" s="2" t="s">
        <v>200</v>
      </c>
      <c r="CS20" s="2" t="s">
        <v>200</v>
      </c>
      <c r="CT20" s="2" t="s">
        <v>200</v>
      </c>
      <c r="CU20" s="2" t="s">
        <v>192</v>
      </c>
      <c r="CV20" s="2" t="s">
        <v>192</v>
      </c>
      <c r="CW20" s="2" t="s">
        <v>192</v>
      </c>
      <c r="CX20" s="2" t="s">
        <v>200</v>
      </c>
      <c r="CY20" s="2" t="s">
        <v>193</v>
      </c>
      <c r="CZ20" s="2" t="s">
        <v>193</v>
      </c>
      <c r="DA20" s="2" t="s">
        <v>193</v>
      </c>
      <c r="DB20" s="2" t="s">
        <v>193</v>
      </c>
      <c r="DC20" s="2" t="s">
        <v>192</v>
      </c>
      <c r="DD20" s="2" t="s">
        <v>192</v>
      </c>
      <c r="DE20" s="2" t="s">
        <v>193</v>
      </c>
      <c r="DF20" s="2" t="s">
        <v>200</v>
      </c>
      <c r="DG20" s="2" t="s">
        <v>201</v>
      </c>
      <c r="DH20" s="2" t="s">
        <v>201</v>
      </c>
      <c r="DI20" s="2" t="s">
        <v>195</v>
      </c>
      <c r="DJ20" s="2" t="s">
        <v>195</v>
      </c>
      <c r="DK20" s="2" t="s">
        <v>194</v>
      </c>
      <c r="DL20" s="2" t="s">
        <v>194</v>
      </c>
      <c r="DM20" s="2" t="s">
        <v>194</v>
      </c>
      <c r="DN20" s="2" t="s">
        <v>195</v>
      </c>
      <c r="DO20" s="2" t="s">
        <v>195</v>
      </c>
      <c r="DP20" s="2" t="s">
        <v>194</v>
      </c>
      <c r="DQ20" s="2" t="s">
        <v>195</v>
      </c>
      <c r="DR20" s="2" t="s">
        <v>195</v>
      </c>
      <c r="DS20" s="2" t="s">
        <v>197</v>
      </c>
      <c r="DT20" s="2" t="s">
        <v>197</v>
      </c>
      <c r="DU20" s="2" t="s">
        <v>197</v>
      </c>
      <c r="DV20" s="2" t="s">
        <v>197</v>
      </c>
      <c r="DW20" s="2" t="s">
        <v>197</v>
      </c>
      <c r="DX20" s="2" t="s">
        <v>198</v>
      </c>
      <c r="DY20" s="2" t="s">
        <v>197</v>
      </c>
      <c r="DZ20" s="2"/>
      <c r="EA20" s="2">
        <v>0</v>
      </c>
      <c r="EB20" s="2">
        <v>1</v>
      </c>
      <c r="EC20" s="2">
        <v>1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1</v>
      </c>
      <c r="EJ20" s="2">
        <v>1</v>
      </c>
      <c r="EK20" s="2">
        <v>0</v>
      </c>
      <c r="EL20" s="2">
        <v>1</v>
      </c>
      <c r="EM20" s="2">
        <v>0</v>
      </c>
      <c r="EN20" s="2">
        <v>1</v>
      </c>
      <c r="EO20" s="2">
        <v>0</v>
      </c>
      <c r="EP20" s="2">
        <v>0</v>
      </c>
      <c r="EQ20" s="2">
        <v>1</v>
      </c>
      <c r="ER20" s="2">
        <v>0</v>
      </c>
      <c r="ES20" s="2">
        <v>1</v>
      </c>
      <c r="ET20" s="2">
        <v>0</v>
      </c>
      <c r="EU20" s="2">
        <v>1</v>
      </c>
      <c r="EV20" s="2">
        <v>0</v>
      </c>
      <c r="EW20" s="2">
        <v>1</v>
      </c>
      <c r="EX20" s="2">
        <v>0</v>
      </c>
      <c r="EY20" s="2">
        <v>1</v>
      </c>
      <c r="EZ20" s="2">
        <v>0</v>
      </c>
      <c r="FA20" s="2">
        <v>0</v>
      </c>
      <c r="FB20" s="2">
        <v>0</v>
      </c>
      <c r="FC20" s="2">
        <v>1</v>
      </c>
      <c r="FD20" s="2">
        <v>0</v>
      </c>
      <c r="FE20" s="2">
        <v>0</v>
      </c>
      <c r="FF20" s="2">
        <v>0</v>
      </c>
      <c r="FG20" s="2">
        <v>0</v>
      </c>
      <c r="FH20" s="2">
        <v>1</v>
      </c>
      <c r="FI20" s="2">
        <v>0</v>
      </c>
      <c r="FJ20" s="2">
        <v>0</v>
      </c>
      <c r="FK20" s="2">
        <v>0</v>
      </c>
      <c r="FL20" s="2">
        <v>1</v>
      </c>
      <c r="FM20" s="2">
        <v>0</v>
      </c>
      <c r="FN20" s="2">
        <v>1</v>
      </c>
      <c r="FO20" s="2">
        <v>0</v>
      </c>
      <c r="FP20" s="2">
        <v>0</v>
      </c>
      <c r="FQ20" s="2">
        <v>1</v>
      </c>
      <c r="FR20" s="2">
        <v>1</v>
      </c>
      <c r="FS20" s="2">
        <v>0</v>
      </c>
      <c r="FT20" s="2">
        <v>1</v>
      </c>
      <c r="FU20" s="2">
        <v>0</v>
      </c>
      <c r="FV20" s="2">
        <v>0</v>
      </c>
      <c r="FW20" s="2">
        <v>0</v>
      </c>
      <c r="FX20" s="2">
        <v>0</v>
      </c>
      <c r="FY20" s="2">
        <v>1</v>
      </c>
      <c r="FZ20" s="2"/>
      <c r="GA20" s="2">
        <v>3</v>
      </c>
      <c r="GB20" s="2">
        <v>3</v>
      </c>
      <c r="GC20" s="2">
        <v>3</v>
      </c>
      <c r="GD20" s="2">
        <v>3</v>
      </c>
      <c r="GE20" s="2">
        <v>3</v>
      </c>
      <c r="GG20" s="2">
        <v>3</v>
      </c>
      <c r="GH20" s="2">
        <v>4</v>
      </c>
      <c r="GI20" s="2">
        <v>3</v>
      </c>
      <c r="GJ20" s="2">
        <v>4</v>
      </c>
      <c r="GK20" s="2">
        <v>3</v>
      </c>
      <c r="GM20" s="2">
        <f t="shared" si="0"/>
        <v>15</v>
      </c>
      <c r="GN20" s="2">
        <f t="shared" si="1"/>
        <v>17</v>
      </c>
      <c r="GO20" s="2"/>
      <c r="GP20" s="2">
        <v>2</v>
      </c>
      <c r="GQ20" s="2">
        <v>1</v>
      </c>
      <c r="GR20" s="2">
        <v>1</v>
      </c>
      <c r="GS20" s="2">
        <v>2</v>
      </c>
      <c r="GU20" s="2">
        <v>2</v>
      </c>
      <c r="GV20" s="2">
        <v>2</v>
      </c>
      <c r="GW20" s="2">
        <v>0</v>
      </c>
      <c r="GY20" s="2">
        <v>2</v>
      </c>
      <c r="GZ20" s="2">
        <v>1</v>
      </c>
      <c r="HA20" s="2">
        <v>3</v>
      </c>
      <c r="HB20" s="2">
        <v>3</v>
      </c>
      <c r="HD20" s="2">
        <v>3</v>
      </c>
      <c r="HE20" s="2">
        <v>2</v>
      </c>
      <c r="HF20" s="2">
        <v>0</v>
      </c>
      <c r="HH20" s="2">
        <f t="shared" si="2"/>
        <v>10</v>
      </c>
      <c r="HI20" s="2">
        <f t="shared" si="3"/>
        <v>14</v>
      </c>
      <c r="HJ20" s="2"/>
      <c r="HK20" s="2">
        <v>7</v>
      </c>
      <c r="HL20" s="2">
        <v>7</v>
      </c>
      <c r="HM20" s="2"/>
      <c r="HN20" s="2"/>
    </row>
    <row r="21" spans="1:222" ht="15.75" customHeight="1" x14ac:dyDescent="0.2">
      <c r="A21" s="3" t="e">
        <f>VLOOKUP(B21,#REF!,1,FALSE)</f>
        <v>#REF!</v>
      </c>
      <c r="B21" s="3">
        <v>44641.638373229165</v>
      </c>
      <c r="C21" s="2">
        <v>23</v>
      </c>
      <c r="D21" s="2" t="s">
        <v>185</v>
      </c>
      <c r="E21" s="2">
        <v>0</v>
      </c>
      <c r="F21" s="2" t="s">
        <v>186</v>
      </c>
      <c r="G21" s="2">
        <v>2</v>
      </c>
      <c r="H21" s="2">
        <v>2</v>
      </c>
      <c r="I21" s="2">
        <v>1</v>
      </c>
      <c r="J21" s="2">
        <v>4</v>
      </c>
      <c r="K21" s="2">
        <v>0</v>
      </c>
      <c r="L21" s="2">
        <v>3</v>
      </c>
      <c r="M21" s="2" t="s">
        <v>187</v>
      </c>
      <c r="N21" s="2">
        <v>2</v>
      </c>
      <c r="O21" s="2">
        <v>4</v>
      </c>
      <c r="P21" s="2">
        <v>0</v>
      </c>
      <c r="Q21" s="2" t="s">
        <v>282</v>
      </c>
      <c r="R21" s="2">
        <v>2</v>
      </c>
      <c r="S21" s="2">
        <v>0</v>
      </c>
      <c r="T21" s="2">
        <v>-1</v>
      </c>
      <c r="U21" s="2">
        <v>0</v>
      </c>
      <c r="V21" s="2">
        <v>-1</v>
      </c>
      <c r="W21" s="2">
        <v>0</v>
      </c>
      <c r="X21" s="2"/>
      <c r="Y21" s="2">
        <v>0</v>
      </c>
      <c r="Z21" s="2">
        <v>0</v>
      </c>
      <c r="AA21" s="2">
        <v>0</v>
      </c>
      <c r="AB21" s="2">
        <v>2</v>
      </c>
      <c r="AC21" s="2">
        <v>2</v>
      </c>
      <c r="AD21" s="2">
        <v>2</v>
      </c>
      <c r="AE21" s="2">
        <v>4</v>
      </c>
      <c r="AF21" s="2">
        <v>2</v>
      </c>
      <c r="AG21" s="2">
        <v>2</v>
      </c>
      <c r="AH21" s="2">
        <v>2</v>
      </c>
      <c r="AI21" s="2">
        <v>2</v>
      </c>
      <c r="AJ21" s="2">
        <v>2</v>
      </c>
      <c r="AK21" s="2">
        <v>2</v>
      </c>
      <c r="AL21" s="2">
        <v>2</v>
      </c>
      <c r="AM21" s="2">
        <v>4</v>
      </c>
      <c r="AN21" s="2">
        <v>4</v>
      </c>
      <c r="AO21" s="2">
        <v>4</v>
      </c>
      <c r="AP21" s="2">
        <v>4</v>
      </c>
      <c r="AQ21" s="2">
        <v>4</v>
      </c>
      <c r="AR21" s="2">
        <v>3</v>
      </c>
      <c r="AS21" s="2">
        <v>3</v>
      </c>
      <c r="AT21" s="2">
        <v>3</v>
      </c>
      <c r="AU21" s="2">
        <v>3</v>
      </c>
      <c r="AV21" s="2"/>
      <c r="AW21" s="2">
        <v>3</v>
      </c>
      <c r="AX21" s="2">
        <v>3</v>
      </c>
      <c r="AY21" s="2">
        <v>1</v>
      </c>
      <c r="AZ21" s="2">
        <v>4</v>
      </c>
      <c r="BA21" s="2">
        <v>3</v>
      </c>
      <c r="BB21" s="2">
        <v>4</v>
      </c>
      <c r="BC21" s="2">
        <v>4</v>
      </c>
      <c r="BD21" s="2">
        <v>4</v>
      </c>
      <c r="BE21" s="2">
        <v>3</v>
      </c>
      <c r="BF21" s="2">
        <v>3</v>
      </c>
      <c r="BG21" s="2">
        <v>3</v>
      </c>
      <c r="BH21" s="2">
        <v>3</v>
      </c>
      <c r="BI21" s="2"/>
      <c r="BJ21" s="2">
        <v>3</v>
      </c>
      <c r="BK21" s="2">
        <v>3</v>
      </c>
      <c r="BL21" s="2">
        <v>2</v>
      </c>
      <c r="BM21" s="2">
        <v>8</v>
      </c>
      <c r="BN21" s="2">
        <v>8</v>
      </c>
      <c r="BO21" s="2">
        <v>7</v>
      </c>
      <c r="BP21" s="2"/>
      <c r="BQ21" s="2"/>
      <c r="BR21" s="2"/>
      <c r="BS21" s="2"/>
      <c r="BT21" s="2"/>
      <c r="BU21" s="2"/>
      <c r="BV21" s="2"/>
      <c r="BW21" s="2"/>
      <c r="BX21" s="2" t="s">
        <v>191</v>
      </c>
      <c r="BY21" s="2" t="s">
        <v>191</v>
      </c>
      <c r="BZ21" s="2" t="s">
        <v>191</v>
      </c>
      <c r="CA21" s="2" t="s">
        <v>191</v>
      </c>
      <c r="CB21" s="2" t="s">
        <v>191</v>
      </c>
      <c r="CC21" s="2" t="s">
        <v>191</v>
      </c>
      <c r="CD21" s="2" t="s">
        <v>191</v>
      </c>
      <c r="CE21" s="2" t="s">
        <v>191</v>
      </c>
      <c r="CF21" s="2" t="s">
        <v>191</v>
      </c>
      <c r="CG21" s="2" t="s">
        <v>191</v>
      </c>
      <c r="CH21" s="2" t="s">
        <v>191</v>
      </c>
      <c r="CI21" s="2" t="s">
        <v>191</v>
      </c>
      <c r="CJ21" s="2" t="s">
        <v>191</v>
      </c>
      <c r="CK21" s="2" t="s">
        <v>191</v>
      </c>
      <c r="CL21" s="2" t="s">
        <v>191</v>
      </c>
      <c r="CM21" s="2" t="s">
        <v>192</v>
      </c>
      <c r="CN21" s="2" t="s">
        <v>192</v>
      </c>
      <c r="CO21" s="2" t="s">
        <v>193</v>
      </c>
      <c r="CP21" s="2"/>
      <c r="CQ21" s="2" t="s">
        <v>193</v>
      </c>
      <c r="CR21" s="2" t="s">
        <v>192</v>
      </c>
      <c r="CS21" s="2" t="s">
        <v>193</v>
      </c>
      <c r="CT21" s="2" t="s">
        <v>193</v>
      </c>
      <c r="CU21" s="2" t="s">
        <v>192</v>
      </c>
      <c r="CV21" s="2" t="s">
        <v>192</v>
      </c>
      <c r="CW21" s="2" t="s">
        <v>192</v>
      </c>
      <c r="CX21" s="2" t="s">
        <v>192</v>
      </c>
      <c r="CY21" s="2" t="s">
        <v>193</v>
      </c>
      <c r="CZ21" s="2" t="s">
        <v>192</v>
      </c>
      <c r="DA21" s="2" t="s">
        <v>192</v>
      </c>
      <c r="DB21" s="2" t="s">
        <v>192</v>
      </c>
      <c r="DC21" s="2" t="s">
        <v>192</v>
      </c>
      <c r="DD21" s="2" t="s">
        <v>192</v>
      </c>
      <c r="DE21" s="2" t="s">
        <v>192</v>
      </c>
      <c r="DF21" s="2" t="s">
        <v>193</v>
      </c>
      <c r="DG21" s="2" t="s">
        <v>194</v>
      </c>
      <c r="DH21" s="2" t="s">
        <v>196</v>
      </c>
      <c r="DI21" s="2" t="s">
        <v>196</v>
      </c>
      <c r="DJ21" s="2" t="s">
        <v>196</v>
      </c>
      <c r="DK21" s="2" t="s">
        <v>196</v>
      </c>
      <c r="DL21" s="2" t="s">
        <v>196</v>
      </c>
      <c r="DM21" s="2" t="s">
        <v>196</v>
      </c>
      <c r="DN21" s="2" t="s">
        <v>196</v>
      </c>
      <c r="DO21" s="2" t="s">
        <v>196</v>
      </c>
      <c r="DP21" s="2"/>
      <c r="DQ21" s="2"/>
      <c r="DR21" s="2"/>
      <c r="DS21" s="2" t="s">
        <v>198</v>
      </c>
      <c r="DT21" s="2" t="s">
        <v>198</v>
      </c>
      <c r="DU21" s="2" t="s">
        <v>198</v>
      </c>
      <c r="DV21" s="2" t="s">
        <v>198</v>
      </c>
      <c r="DW21" s="2" t="s">
        <v>198</v>
      </c>
      <c r="DX21" s="2" t="s">
        <v>198</v>
      </c>
      <c r="DY21" s="2"/>
      <c r="DZ21" s="2"/>
      <c r="EA21" s="2">
        <v>0</v>
      </c>
      <c r="EB21" s="2">
        <v>0</v>
      </c>
      <c r="EC21" s="2">
        <v>1</v>
      </c>
      <c r="ED21" s="2">
        <v>0</v>
      </c>
      <c r="EE21" s="2">
        <v>0</v>
      </c>
      <c r="EF21" s="2">
        <v>1</v>
      </c>
      <c r="EG21" s="2">
        <v>0</v>
      </c>
      <c r="EH21" s="2">
        <v>0</v>
      </c>
      <c r="EI21" s="2">
        <v>1</v>
      </c>
      <c r="EJ21" s="2">
        <v>0</v>
      </c>
      <c r="EK21" s="2">
        <v>1</v>
      </c>
      <c r="EL21" s="2">
        <v>0</v>
      </c>
      <c r="EM21" s="2">
        <v>1</v>
      </c>
      <c r="EN21" s="2">
        <v>0</v>
      </c>
      <c r="EO21" s="2">
        <v>1</v>
      </c>
      <c r="EP21" s="2">
        <v>0</v>
      </c>
      <c r="EQ21" s="2">
        <v>1</v>
      </c>
      <c r="ER21" s="2">
        <v>0</v>
      </c>
      <c r="ES21" s="2">
        <v>1</v>
      </c>
      <c r="ET21" s="2">
        <v>0</v>
      </c>
      <c r="EU21" s="2">
        <v>1</v>
      </c>
      <c r="EV21" s="2">
        <v>0</v>
      </c>
      <c r="EW21" s="2">
        <v>1</v>
      </c>
      <c r="EX21" s="2">
        <v>0</v>
      </c>
      <c r="EY21" s="2">
        <v>1</v>
      </c>
      <c r="EZ21" s="2">
        <v>0</v>
      </c>
      <c r="FA21" s="2">
        <v>1</v>
      </c>
      <c r="FB21" s="2">
        <v>0</v>
      </c>
      <c r="FC21" s="2">
        <v>1</v>
      </c>
      <c r="FD21" s="2">
        <v>0</v>
      </c>
      <c r="FE21" s="2">
        <v>0</v>
      </c>
      <c r="FF21" s="2">
        <v>1</v>
      </c>
      <c r="FG21" s="2">
        <v>0</v>
      </c>
      <c r="FH21" s="2">
        <v>0</v>
      </c>
      <c r="FI21" s="2">
        <v>1</v>
      </c>
      <c r="FJ21" s="2">
        <v>0</v>
      </c>
      <c r="FK21" s="2">
        <v>1</v>
      </c>
      <c r="FL21" s="2">
        <v>0</v>
      </c>
      <c r="FM21" s="2">
        <v>1</v>
      </c>
      <c r="FN21" s="2">
        <v>0</v>
      </c>
      <c r="FO21" s="2">
        <v>1</v>
      </c>
      <c r="FP21" s="2">
        <v>0</v>
      </c>
      <c r="FQ21" s="2">
        <v>1</v>
      </c>
      <c r="FR21" s="2">
        <v>0</v>
      </c>
      <c r="FS21" s="2">
        <v>1</v>
      </c>
      <c r="FT21" s="2">
        <v>0</v>
      </c>
      <c r="FU21" s="2">
        <v>1</v>
      </c>
      <c r="FV21" s="2">
        <v>0</v>
      </c>
      <c r="FW21" s="2">
        <v>1</v>
      </c>
      <c r="FX21" s="2">
        <v>0</v>
      </c>
      <c r="FY21" s="2">
        <v>1</v>
      </c>
      <c r="FZ21" s="2"/>
      <c r="GA21" s="2">
        <v>4</v>
      </c>
      <c r="GB21" s="2">
        <v>4</v>
      </c>
      <c r="GC21" s="2">
        <v>4</v>
      </c>
      <c r="GD21" s="2">
        <v>4</v>
      </c>
      <c r="GE21" s="2">
        <v>4</v>
      </c>
      <c r="GG21" s="2">
        <v>4</v>
      </c>
      <c r="GH21" s="2">
        <v>3</v>
      </c>
      <c r="GI21" s="2">
        <v>4</v>
      </c>
      <c r="GJ21" s="2">
        <v>4</v>
      </c>
      <c r="GK21" s="2">
        <v>4</v>
      </c>
      <c r="GM21" s="2">
        <f t="shared" si="0"/>
        <v>20</v>
      </c>
      <c r="GN21" s="2">
        <f t="shared" si="1"/>
        <v>19</v>
      </c>
      <c r="GO21" s="2"/>
      <c r="GP21" s="2">
        <v>3</v>
      </c>
      <c r="GQ21" s="2">
        <v>3</v>
      </c>
      <c r="GR21" s="2">
        <v>3</v>
      </c>
      <c r="GS21" s="2">
        <v>3</v>
      </c>
      <c r="GU21" s="2">
        <v>3</v>
      </c>
      <c r="GV21" s="2">
        <v>3</v>
      </c>
      <c r="GW21" s="2">
        <v>1</v>
      </c>
      <c r="GY21" s="2">
        <v>3</v>
      </c>
      <c r="GZ21" s="2">
        <v>3</v>
      </c>
      <c r="HA21" s="2">
        <v>3</v>
      </c>
      <c r="HB21" s="2">
        <v>3</v>
      </c>
      <c r="HD21" s="2">
        <v>3</v>
      </c>
      <c r="HE21" s="2">
        <v>3</v>
      </c>
      <c r="HF21" s="2">
        <v>2</v>
      </c>
      <c r="HH21" s="2">
        <f t="shared" si="2"/>
        <v>19</v>
      </c>
      <c r="HI21" s="2">
        <f t="shared" si="3"/>
        <v>20</v>
      </c>
      <c r="HJ21" s="2"/>
      <c r="HK21" s="2">
        <v>8</v>
      </c>
      <c r="HL21" s="2">
        <v>7</v>
      </c>
      <c r="HM21" s="2"/>
      <c r="HN21" s="2"/>
    </row>
    <row r="22" spans="1:222" ht="15.75" customHeight="1" x14ac:dyDescent="0.2">
      <c r="A22" s="3" t="e">
        <f>VLOOKUP(B22,#REF!,1,FALSE)</f>
        <v>#REF!</v>
      </c>
      <c r="B22" s="3">
        <v>44641.650361215281</v>
      </c>
      <c r="C22" s="2">
        <v>24</v>
      </c>
      <c r="D22" s="2" t="s">
        <v>185</v>
      </c>
      <c r="E22" s="2">
        <v>0</v>
      </c>
      <c r="F22" s="2" t="s">
        <v>283</v>
      </c>
      <c r="G22" s="2">
        <v>2</v>
      </c>
      <c r="H22" s="2">
        <v>2</v>
      </c>
      <c r="I22" s="2">
        <v>1</v>
      </c>
      <c r="J22" s="2">
        <v>3</v>
      </c>
      <c r="K22" s="2">
        <v>0</v>
      </c>
      <c r="L22" s="2">
        <v>3</v>
      </c>
      <c r="M22" s="2" t="s">
        <v>213</v>
      </c>
      <c r="N22" s="2">
        <v>2</v>
      </c>
      <c r="O22" s="2">
        <v>4</v>
      </c>
      <c r="P22" s="2">
        <v>0</v>
      </c>
      <c r="Q22" s="2">
        <v>0</v>
      </c>
      <c r="R22" s="2">
        <v>2</v>
      </c>
      <c r="S22" s="2">
        <v>0</v>
      </c>
      <c r="T22" s="2">
        <v>-1</v>
      </c>
      <c r="U22" s="2">
        <v>-1</v>
      </c>
      <c r="V22" s="2">
        <v>-1</v>
      </c>
      <c r="W22" s="2">
        <v>-1</v>
      </c>
      <c r="X22" s="2"/>
      <c r="Y22" s="2">
        <v>-1</v>
      </c>
      <c r="Z22" s="2">
        <v>1</v>
      </c>
      <c r="AA22" s="2">
        <v>1</v>
      </c>
      <c r="AB22" s="2">
        <v>2</v>
      </c>
      <c r="AC22" s="2">
        <v>4</v>
      </c>
      <c r="AD22" s="2">
        <v>4</v>
      </c>
      <c r="AE22" s="2">
        <v>2</v>
      </c>
      <c r="AF22" s="2">
        <v>4</v>
      </c>
      <c r="AG22" s="2">
        <v>3</v>
      </c>
      <c r="AH22" s="2">
        <v>2</v>
      </c>
      <c r="AI22" s="2">
        <v>1</v>
      </c>
      <c r="AJ22" s="2">
        <v>3</v>
      </c>
      <c r="AK22" s="2">
        <v>1</v>
      </c>
      <c r="AL22" s="2">
        <v>2</v>
      </c>
      <c r="AM22" s="2">
        <v>4</v>
      </c>
      <c r="AN22" s="2">
        <v>4</v>
      </c>
      <c r="AO22" s="2">
        <v>4</v>
      </c>
      <c r="AP22" s="2">
        <v>3</v>
      </c>
      <c r="AQ22" s="2">
        <v>3</v>
      </c>
      <c r="AR22" s="2">
        <v>3</v>
      </c>
      <c r="AS22" s="2">
        <v>2</v>
      </c>
      <c r="AT22" s="2">
        <v>1</v>
      </c>
      <c r="AU22" s="2">
        <v>2</v>
      </c>
      <c r="AV22" s="2"/>
      <c r="AW22" s="2">
        <v>2</v>
      </c>
      <c r="AX22" s="2">
        <v>2</v>
      </c>
      <c r="AY22" s="2">
        <v>1</v>
      </c>
      <c r="AZ22" s="2">
        <v>5</v>
      </c>
      <c r="BA22" s="2">
        <v>4</v>
      </c>
      <c r="BB22" s="2">
        <v>3</v>
      </c>
      <c r="BC22" s="2">
        <v>3</v>
      </c>
      <c r="BD22" s="2">
        <v>3</v>
      </c>
      <c r="BE22" s="2">
        <v>3</v>
      </c>
      <c r="BF22" s="2">
        <v>2</v>
      </c>
      <c r="BG22" s="2">
        <v>3</v>
      </c>
      <c r="BH22" s="2">
        <v>1</v>
      </c>
      <c r="BI22" s="2"/>
      <c r="BJ22" s="2">
        <v>3</v>
      </c>
      <c r="BK22" s="2">
        <v>1</v>
      </c>
      <c r="BL22" s="2">
        <v>1</v>
      </c>
      <c r="BM22" s="2">
        <v>8</v>
      </c>
      <c r="BN22" s="2">
        <v>8</v>
      </c>
      <c r="BO22" s="2">
        <v>9</v>
      </c>
      <c r="BP22" s="2"/>
      <c r="BQ22" s="2"/>
      <c r="BR22" s="2"/>
      <c r="BS22" s="2"/>
      <c r="BT22" s="2"/>
      <c r="BU22" s="2"/>
      <c r="BV22" s="2"/>
      <c r="BW22" s="2"/>
      <c r="BX22" s="2" t="s">
        <v>191</v>
      </c>
      <c r="BY22" s="2" t="s">
        <v>190</v>
      </c>
      <c r="BZ22" s="2" t="s">
        <v>190</v>
      </c>
      <c r="CA22" s="2" t="s">
        <v>190</v>
      </c>
      <c r="CB22" s="2" t="s">
        <v>188</v>
      </c>
      <c r="CC22" s="2" t="s">
        <v>191</v>
      </c>
      <c r="CD22" s="2" t="s">
        <v>189</v>
      </c>
      <c r="CE22" s="2" t="s">
        <v>191</v>
      </c>
      <c r="CF22" s="2" t="s">
        <v>189</v>
      </c>
      <c r="CG22" s="2" t="s">
        <v>190</v>
      </c>
      <c r="CH22" s="2" t="s">
        <v>188</v>
      </c>
      <c r="CI22" s="2" t="s">
        <v>189</v>
      </c>
      <c r="CJ22" s="2" t="s">
        <v>189</v>
      </c>
      <c r="CK22" s="2" t="s">
        <v>189</v>
      </c>
      <c r="CL22" s="2" t="s">
        <v>190</v>
      </c>
      <c r="CM22" s="2" t="s">
        <v>192</v>
      </c>
      <c r="CN22" s="2" t="s">
        <v>192</v>
      </c>
      <c r="CO22" s="2" t="s">
        <v>193</v>
      </c>
      <c r="CP22" s="2" t="s">
        <v>192</v>
      </c>
      <c r="CQ22" s="2" t="s">
        <v>192</v>
      </c>
      <c r="CR22" s="2" t="s">
        <v>200</v>
      </c>
      <c r="CS22" s="2" t="s">
        <v>193</v>
      </c>
      <c r="CT22" s="2" t="s">
        <v>193</v>
      </c>
      <c r="CU22" s="2" t="s">
        <v>192</v>
      </c>
      <c r="CV22" s="2" t="s">
        <v>193</v>
      </c>
      <c r="CW22" s="2" t="s">
        <v>192</v>
      </c>
      <c r="CX22" s="2" t="s">
        <v>193</v>
      </c>
      <c r="CY22" s="2" t="s">
        <v>192</v>
      </c>
      <c r="CZ22" s="2" t="s">
        <v>192</v>
      </c>
      <c r="DA22" s="2" t="s">
        <v>192</v>
      </c>
      <c r="DB22" s="2" t="s">
        <v>192</v>
      </c>
      <c r="DC22" s="2" t="s">
        <v>192</v>
      </c>
      <c r="DD22" s="2" t="s">
        <v>200</v>
      </c>
      <c r="DE22" s="2" t="s">
        <v>192</v>
      </c>
      <c r="DF22" s="2" t="s">
        <v>193</v>
      </c>
      <c r="DG22" s="2" t="s">
        <v>194</v>
      </c>
      <c r="DH22" s="2" t="s">
        <v>195</v>
      </c>
      <c r="DI22" s="2" t="s">
        <v>194</v>
      </c>
      <c r="DJ22" s="2" t="s">
        <v>195</v>
      </c>
      <c r="DK22" s="2" t="s">
        <v>194</v>
      </c>
      <c r="DL22" s="2" t="s">
        <v>194</v>
      </c>
      <c r="DM22" s="2" t="s">
        <v>194</v>
      </c>
      <c r="DN22" s="2" t="s">
        <v>194</v>
      </c>
      <c r="DO22" s="2" t="s">
        <v>196</v>
      </c>
      <c r="DP22" s="2" t="s">
        <v>194</v>
      </c>
      <c r="DQ22" s="2" t="s">
        <v>195</v>
      </c>
      <c r="DR22" s="2" t="s">
        <v>196</v>
      </c>
      <c r="DS22" s="2" t="s">
        <v>197</v>
      </c>
      <c r="DT22" s="2" t="s">
        <v>197</v>
      </c>
      <c r="DU22" s="2" t="s">
        <v>199</v>
      </c>
      <c r="DV22" s="2" t="s">
        <v>197</v>
      </c>
      <c r="DW22" s="2" t="s">
        <v>197</v>
      </c>
      <c r="DX22" s="2" t="s">
        <v>197</v>
      </c>
      <c r="DY22" s="2" t="s">
        <v>197</v>
      </c>
      <c r="DZ22" s="2"/>
      <c r="EA22" s="2">
        <v>1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1</v>
      </c>
      <c r="EJ22" s="2">
        <v>0</v>
      </c>
      <c r="EK22" s="2">
        <v>1</v>
      </c>
      <c r="EL22" s="2">
        <v>0</v>
      </c>
      <c r="EM22" s="2">
        <v>1</v>
      </c>
      <c r="EN22" s="2">
        <v>1</v>
      </c>
      <c r="EO22" s="2">
        <v>0</v>
      </c>
      <c r="EP22" s="2">
        <v>1</v>
      </c>
      <c r="EQ22" s="2">
        <v>0</v>
      </c>
      <c r="ER22" s="2">
        <v>1</v>
      </c>
      <c r="ES22" s="2">
        <v>0</v>
      </c>
      <c r="ET22" s="2">
        <v>0</v>
      </c>
      <c r="EU22" s="2">
        <v>1</v>
      </c>
      <c r="EV22" s="2">
        <v>0</v>
      </c>
      <c r="EW22" s="2">
        <v>1</v>
      </c>
      <c r="EX22" s="2">
        <v>0</v>
      </c>
      <c r="EY22" s="2">
        <v>1</v>
      </c>
      <c r="EZ22" s="2">
        <v>0</v>
      </c>
      <c r="FA22" s="2">
        <v>1</v>
      </c>
      <c r="FB22" s="2">
        <v>0</v>
      </c>
      <c r="FC22" s="2">
        <v>1</v>
      </c>
      <c r="FD22" s="2">
        <v>0</v>
      </c>
      <c r="FE22" s="2">
        <v>0</v>
      </c>
      <c r="FF22" s="2">
        <v>0</v>
      </c>
      <c r="FG22" s="2">
        <v>1</v>
      </c>
      <c r="FH22" s="2">
        <v>1</v>
      </c>
      <c r="FI22" s="2">
        <v>0</v>
      </c>
      <c r="FJ22" s="2">
        <v>1</v>
      </c>
      <c r="FK22" s="2">
        <v>0</v>
      </c>
      <c r="FL22" s="2">
        <v>1</v>
      </c>
      <c r="FM22" s="2">
        <v>0</v>
      </c>
      <c r="FN22" s="2">
        <v>1</v>
      </c>
      <c r="FO22" s="2">
        <v>1</v>
      </c>
      <c r="FP22" s="2">
        <v>0</v>
      </c>
      <c r="FQ22" s="2">
        <v>1</v>
      </c>
      <c r="FR22" s="2">
        <v>0</v>
      </c>
      <c r="FS22" s="2">
        <v>1</v>
      </c>
      <c r="FT22" s="2">
        <v>0</v>
      </c>
      <c r="FU22" s="2">
        <v>1</v>
      </c>
      <c r="FV22" s="2">
        <v>0</v>
      </c>
      <c r="FW22" s="2">
        <v>1</v>
      </c>
      <c r="FX22" s="2">
        <v>0</v>
      </c>
      <c r="FY22" s="2">
        <v>1</v>
      </c>
      <c r="FZ22" s="2"/>
      <c r="GA22" s="2">
        <v>4</v>
      </c>
      <c r="GB22" s="2">
        <v>4</v>
      </c>
      <c r="GC22" s="2">
        <v>4</v>
      </c>
      <c r="GD22" s="2">
        <v>3</v>
      </c>
      <c r="GE22" s="2">
        <v>3</v>
      </c>
      <c r="GG22" s="2">
        <v>5</v>
      </c>
      <c r="GH22" s="2">
        <v>4</v>
      </c>
      <c r="GI22" s="2">
        <v>3</v>
      </c>
      <c r="GJ22" s="2">
        <v>3</v>
      </c>
      <c r="GK22" s="2">
        <v>3</v>
      </c>
      <c r="GM22" s="2">
        <f t="shared" si="0"/>
        <v>18</v>
      </c>
      <c r="GN22" s="2">
        <f t="shared" si="1"/>
        <v>18</v>
      </c>
      <c r="GO22" s="2"/>
      <c r="GP22" s="2">
        <v>3</v>
      </c>
      <c r="GQ22" s="2">
        <v>2</v>
      </c>
      <c r="GR22" s="2">
        <v>1</v>
      </c>
      <c r="GS22" s="2">
        <v>2</v>
      </c>
      <c r="GU22" s="2">
        <v>2</v>
      </c>
      <c r="GV22" s="2">
        <v>2</v>
      </c>
      <c r="GW22" s="2">
        <v>1</v>
      </c>
      <c r="GY22" s="2">
        <v>3</v>
      </c>
      <c r="GZ22" s="2">
        <v>2</v>
      </c>
      <c r="HA22" s="2">
        <v>3</v>
      </c>
      <c r="HB22" s="2">
        <v>1</v>
      </c>
      <c r="HD22" s="2">
        <v>3</v>
      </c>
      <c r="HE22" s="2">
        <v>1</v>
      </c>
      <c r="HF22" s="2">
        <v>1</v>
      </c>
      <c r="HH22" s="2">
        <f t="shared" si="2"/>
        <v>13</v>
      </c>
      <c r="HI22" s="2">
        <f t="shared" si="3"/>
        <v>14</v>
      </c>
      <c r="HJ22" s="2"/>
      <c r="HK22" s="2">
        <v>8</v>
      </c>
      <c r="HL22" s="2">
        <v>9</v>
      </c>
      <c r="HM22" s="2"/>
      <c r="HN22" s="2"/>
    </row>
    <row r="23" spans="1:222" ht="15.75" customHeight="1" x14ac:dyDescent="0.2">
      <c r="A23" s="3" t="e">
        <f>VLOOKUP(B23,#REF!,1,FALSE)</f>
        <v>#REF!</v>
      </c>
      <c r="B23" s="3">
        <v>44641.651738761575</v>
      </c>
      <c r="C23" s="2">
        <v>25</v>
      </c>
      <c r="D23" s="2" t="s">
        <v>185</v>
      </c>
      <c r="E23" s="2">
        <v>0</v>
      </c>
      <c r="F23" s="2" t="s">
        <v>186</v>
      </c>
      <c r="G23" s="2">
        <v>15</v>
      </c>
      <c r="H23" s="2">
        <v>2</v>
      </c>
      <c r="I23" s="2">
        <v>1</v>
      </c>
      <c r="J23" s="2">
        <v>4</v>
      </c>
      <c r="K23" s="2">
        <v>1</v>
      </c>
      <c r="L23" s="2">
        <v>4</v>
      </c>
      <c r="M23" s="2" t="s">
        <v>213</v>
      </c>
      <c r="N23" s="2">
        <v>2</v>
      </c>
      <c r="O23" s="2">
        <v>3</v>
      </c>
      <c r="P23" s="2">
        <v>0</v>
      </c>
      <c r="Q23" s="2">
        <v>0</v>
      </c>
      <c r="R23" s="2">
        <v>3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/>
      <c r="Y23" s="2">
        <v>-1</v>
      </c>
      <c r="Z23" s="2">
        <v>0</v>
      </c>
      <c r="AA23" s="2">
        <v>0</v>
      </c>
      <c r="AB23" s="2">
        <v>1</v>
      </c>
      <c r="AC23" s="2">
        <v>1</v>
      </c>
      <c r="AD23" s="2">
        <v>1</v>
      </c>
      <c r="AE23" s="2">
        <v>1</v>
      </c>
      <c r="AF23" s="2">
        <v>0</v>
      </c>
      <c r="AG23" s="2">
        <v>-1</v>
      </c>
      <c r="AH23" s="2">
        <v>2</v>
      </c>
      <c r="AI23" s="2">
        <v>3</v>
      </c>
      <c r="AJ23" s="2">
        <v>2</v>
      </c>
      <c r="AK23" s="2">
        <v>1</v>
      </c>
      <c r="AL23" s="2">
        <v>1</v>
      </c>
      <c r="AM23" s="2">
        <v>3</v>
      </c>
      <c r="AN23" s="2">
        <v>3</v>
      </c>
      <c r="AO23" s="2">
        <v>3</v>
      </c>
      <c r="AP23" s="2">
        <v>1</v>
      </c>
      <c r="AQ23" s="2">
        <v>3</v>
      </c>
      <c r="AR23" s="2">
        <v>2</v>
      </c>
      <c r="AS23" s="2">
        <v>2</v>
      </c>
      <c r="AT23" s="2">
        <v>0</v>
      </c>
      <c r="AU23" s="2">
        <v>2</v>
      </c>
      <c r="AV23" s="2"/>
      <c r="AW23" s="2">
        <v>0</v>
      </c>
      <c r="AX23" s="2">
        <v>0</v>
      </c>
      <c r="AY23" s="2">
        <v>1</v>
      </c>
      <c r="AZ23" s="2">
        <v>3</v>
      </c>
      <c r="BA23" s="2">
        <v>3</v>
      </c>
      <c r="BB23" s="2">
        <v>3</v>
      </c>
      <c r="BC23" s="2">
        <v>5</v>
      </c>
      <c r="BD23" s="2">
        <v>3</v>
      </c>
      <c r="BE23" s="2">
        <v>2</v>
      </c>
      <c r="BF23" s="2">
        <v>2</v>
      </c>
      <c r="BG23" s="2">
        <v>0</v>
      </c>
      <c r="BH23" s="2">
        <v>2</v>
      </c>
      <c r="BI23" s="2"/>
      <c r="BJ23" s="2">
        <v>3</v>
      </c>
      <c r="BK23" s="2">
        <v>0</v>
      </c>
      <c r="BL23" s="2">
        <v>1</v>
      </c>
      <c r="BM23" s="2">
        <v>7</v>
      </c>
      <c r="BN23" s="2">
        <v>7</v>
      </c>
      <c r="BO23" s="2">
        <v>7</v>
      </c>
      <c r="BP23" s="2" t="s">
        <v>284</v>
      </c>
      <c r="BQ23" s="2"/>
      <c r="BR23" s="2"/>
      <c r="BS23" s="6" t="s">
        <v>285</v>
      </c>
      <c r="BT23" s="2" t="s">
        <v>286</v>
      </c>
      <c r="BU23" s="2" t="s">
        <v>287</v>
      </c>
      <c r="BV23" s="2" t="s">
        <v>288</v>
      </c>
      <c r="BW23" s="2" t="s">
        <v>289</v>
      </c>
      <c r="BX23" s="2" t="s">
        <v>188</v>
      </c>
      <c r="BY23" s="2" t="s">
        <v>189</v>
      </c>
      <c r="BZ23" s="2" t="s">
        <v>189</v>
      </c>
      <c r="CA23" s="2" t="s">
        <v>190</v>
      </c>
      <c r="CB23" s="2" t="s">
        <v>190</v>
      </c>
      <c r="CC23" s="2" t="s">
        <v>191</v>
      </c>
      <c r="CD23" s="2" t="s">
        <v>189</v>
      </c>
      <c r="CE23" s="2" t="s">
        <v>189</v>
      </c>
      <c r="CF23" s="2" t="s">
        <v>188</v>
      </c>
      <c r="CG23" s="2" t="s">
        <v>191</v>
      </c>
      <c r="CH23" s="2" t="s">
        <v>191</v>
      </c>
      <c r="CI23" s="2" t="s">
        <v>189</v>
      </c>
      <c r="CJ23" s="2" t="s">
        <v>189</v>
      </c>
      <c r="CK23" s="2" t="s">
        <v>189</v>
      </c>
      <c r="CL23" s="2" t="s">
        <v>189</v>
      </c>
      <c r="CM23" s="2" t="s">
        <v>193</v>
      </c>
      <c r="CN23" s="2" t="s">
        <v>193</v>
      </c>
      <c r="CO23" s="2" t="s">
        <v>193</v>
      </c>
      <c r="CP23" s="2" t="s">
        <v>193</v>
      </c>
      <c r="CQ23" s="2" t="s">
        <v>192</v>
      </c>
      <c r="CR23" s="2" t="s">
        <v>192</v>
      </c>
      <c r="CS23" s="2" t="s">
        <v>192</v>
      </c>
      <c r="CT23" s="2" t="s">
        <v>192</v>
      </c>
      <c r="CU23" s="2" t="s">
        <v>192</v>
      </c>
      <c r="CV23" s="2" t="s">
        <v>193</v>
      </c>
      <c r="CW23" s="2" t="s">
        <v>192</v>
      </c>
      <c r="CX23" s="2" t="s">
        <v>192</v>
      </c>
      <c r="CY23" s="2" t="s">
        <v>193</v>
      </c>
      <c r="CZ23" s="2" t="s">
        <v>192</v>
      </c>
      <c r="DA23" s="2" t="s">
        <v>192</v>
      </c>
      <c r="DB23" s="2" t="s">
        <v>192</v>
      </c>
      <c r="DC23" s="2" t="s">
        <v>192</v>
      </c>
      <c r="DD23" s="2" t="s">
        <v>192</v>
      </c>
      <c r="DE23" s="2" t="s">
        <v>192</v>
      </c>
      <c r="DF23" s="2" t="s">
        <v>192</v>
      </c>
      <c r="DG23" s="2" t="s">
        <v>220</v>
      </c>
      <c r="DH23" s="2" t="s">
        <v>194</v>
      </c>
      <c r="DI23" s="2" t="s">
        <v>194</v>
      </c>
      <c r="DJ23" s="2" t="s">
        <v>194</v>
      </c>
      <c r="DK23" s="2" t="s">
        <v>196</v>
      </c>
      <c r="DL23" s="2" t="s">
        <v>196</v>
      </c>
      <c r="DM23" s="2" t="s">
        <v>196</v>
      </c>
      <c r="DN23" s="2" t="s">
        <v>196</v>
      </c>
      <c r="DO23" s="2" t="s">
        <v>220</v>
      </c>
      <c r="DP23" s="2" t="s">
        <v>196</v>
      </c>
      <c r="DQ23" s="2" t="s">
        <v>196</v>
      </c>
      <c r="DR23" s="2" t="s">
        <v>194</v>
      </c>
      <c r="DS23" s="2" t="s">
        <v>197</v>
      </c>
      <c r="DT23" s="2" t="s">
        <v>199</v>
      </c>
      <c r="DU23" s="2" t="s">
        <v>197</v>
      </c>
      <c r="DV23" s="2" t="s">
        <v>197</v>
      </c>
      <c r="DW23" s="2" t="s">
        <v>197</v>
      </c>
      <c r="DX23" s="2" t="s">
        <v>197</v>
      </c>
      <c r="DY23" s="2" t="s">
        <v>197</v>
      </c>
      <c r="DZ23" s="2"/>
      <c r="EA23" s="2">
        <v>1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1</v>
      </c>
      <c r="EJ23" s="2">
        <v>1</v>
      </c>
      <c r="EK23" s="2">
        <v>0</v>
      </c>
      <c r="EL23" s="2">
        <v>1</v>
      </c>
      <c r="EM23" s="2">
        <v>0</v>
      </c>
      <c r="EN23" s="2">
        <v>1</v>
      </c>
      <c r="EO23" s="2">
        <v>0</v>
      </c>
      <c r="EP23" s="2">
        <v>0</v>
      </c>
      <c r="EQ23" s="2">
        <v>1</v>
      </c>
      <c r="ER23" s="2">
        <v>0</v>
      </c>
      <c r="ES23" s="2">
        <v>1</v>
      </c>
      <c r="ET23" s="2">
        <v>0</v>
      </c>
      <c r="EU23" s="2">
        <v>1</v>
      </c>
      <c r="EV23" s="2">
        <v>1</v>
      </c>
      <c r="EW23" s="2">
        <v>0</v>
      </c>
      <c r="EX23" s="2">
        <v>0</v>
      </c>
      <c r="EY23" s="2">
        <v>1</v>
      </c>
      <c r="EZ23" s="2">
        <v>1</v>
      </c>
      <c r="FA23" s="2">
        <v>0</v>
      </c>
      <c r="FB23" s="2">
        <v>1</v>
      </c>
      <c r="FC23" s="2">
        <v>0</v>
      </c>
      <c r="FD23" s="2">
        <v>0</v>
      </c>
      <c r="FE23" s="2">
        <v>0</v>
      </c>
      <c r="FF23" s="2">
        <v>1</v>
      </c>
      <c r="FG23" s="2">
        <v>0</v>
      </c>
      <c r="FH23" s="2">
        <v>1</v>
      </c>
      <c r="FI23" s="2">
        <v>0</v>
      </c>
      <c r="FJ23" s="2">
        <v>1</v>
      </c>
      <c r="FK23" s="2">
        <v>0</v>
      </c>
      <c r="FL23" s="2">
        <v>1</v>
      </c>
      <c r="FM23" s="2">
        <v>0</v>
      </c>
      <c r="FN23" s="2">
        <v>1</v>
      </c>
      <c r="FO23" s="2">
        <v>0</v>
      </c>
      <c r="FP23" s="2">
        <v>0</v>
      </c>
      <c r="FQ23" s="2">
        <v>1</v>
      </c>
      <c r="FR23" s="2">
        <v>1</v>
      </c>
      <c r="FS23" s="2">
        <v>0</v>
      </c>
      <c r="FT23" s="2">
        <v>1</v>
      </c>
      <c r="FU23" s="2">
        <v>0</v>
      </c>
      <c r="FV23" s="2">
        <v>1</v>
      </c>
      <c r="FW23" s="2">
        <v>0</v>
      </c>
      <c r="FX23" s="2">
        <v>0</v>
      </c>
      <c r="FY23" s="2">
        <v>1</v>
      </c>
      <c r="FZ23" s="2"/>
      <c r="GA23" s="2">
        <v>3</v>
      </c>
      <c r="GB23" s="2">
        <v>3</v>
      </c>
      <c r="GC23" s="2">
        <v>3</v>
      </c>
      <c r="GD23" s="2">
        <v>1</v>
      </c>
      <c r="GE23" s="2">
        <v>3</v>
      </c>
      <c r="GG23" s="2">
        <v>3</v>
      </c>
      <c r="GH23" s="2">
        <v>3</v>
      </c>
      <c r="GI23" s="2">
        <v>3</v>
      </c>
      <c r="GJ23" s="2">
        <v>5</v>
      </c>
      <c r="GK23" s="2">
        <v>3</v>
      </c>
      <c r="GM23" s="2">
        <f t="shared" si="0"/>
        <v>13</v>
      </c>
      <c r="GN23" s="2">
        <f t="shared" si="1"/>
        <v>17</v>
      </c>
      <c r="GO23" s="2"/>
      <c r="GP23" s="2">
        <v>2</v>
      </c>
      <c r="GQ23" s="2">
        <v>2</v>
      </c>
      <c r="GR23" s="2">
        <v>0</v>
      </c>
      <c r="GS23" s="2">
        <v>2</v>
      </c>
      <c r="GU23" s="2">
        <v>0</v>
      </c>
      <c r="GV23" s="2">
        <v>0</v>
      </c>
      <c r="GW23" s="2">
        <v>1</v>
      </c>
      <c r="GY23" s="2">
        <v>2</v>
      </c>
      <c r="GZ23" s="2">
        <v>2</v>
      </c>
      <c r="HA23" s="2">
        <v>0</v>
      </c>
      <c r="HB23" s="2">
        <v>2</v>
      </c>
      <c r="HD23" s="2">
        <v>3</v>
      </c>
      <c r="HE23" s="2">
        <v>0</v>
      </c>
      <c r="HF23" s="2">
        <v>1</v>
      </c>
      <c r="HH23" s="2">
        <f t="shared" si="2"/>
        <v>7</v>
      </c>
      <c r="HI23" s="2">
        <f t="shared" si="3"/>
        <v>10</v>
      </c>
      <c r="HJ23" s="2"/>
      <c r="HK23" s="2">
        <v>7</v>
      </c>
      <c r="HL23" s="2">
        <v>7</v>
      </c>
      <c r="HM23" s="2"/>
      <c r="HN23" s="2"/>
    </row>
    <row r="24" spans="1:222" ht="15.75" customHeight="1" x14ac:dyDescent="0.2">
      <c r="A24" s="3" t="e">
        <f>VLOOKUP(B24,#REF!,1,FALSE)</f>
        <v>#REF!</v>
      </c>
      <c r="B24" s="3">
        <v>44641.690637395834</v>
      </c>
      <c r="C24" s="2">
        <v>26</v>
      </c>
      <c r="D24" s="2" t="s">
        <v>185</v>
      </c>
      <c r="E24" s="2">
        <v>0</v>
      </c>
      <c r="F24" s="2" t="s">
        <v>186</v>
      </c>
      <c r="G24" s="2">
        <v>15</v>
      </c>
      <c r="H24" s="2">
        <v>2</v>
      </c>
      <c r="I24" s="2">
        <v>1</v>
      </c>
      <c r="J24" s="2">
        <v>6</v>
      </c>
      <c r="K24" s="2">
        <v>1</v>
      </c>
      <c r="L24" s="2">
        <v>5</v>
      </c>
      <c r="M24" s="2" t="s">
        <v>187</v>
      </c>
      <c r="N24" s="2">
        <v>3</v>
      </c>
      <c r="O24" s="2">
        <v>3</v>
      </c>
      <c r="P24" s="2">
        <v>0</v>
      </c>
      <c r="Q24" s="2">
        <v>0</v>
      </c>
      <c r="R24" s="2">
        <v>3</v>
      </c>
      <c r="S24" s="2">
        <v>1</v>
      </c>
      <c r="T24" s="2">
        <v>-1</v>
      </c>
      <c r="U24" s="2">
        <v>0</v>
      </c>
      <c r="V24" s="2">
        <v>0</v>
      </c>
      <c r="W24" s="2">
        <v>0</v>
      </c>
      <c r="X24" s="2"/>
      <c r="Y24" s="2">
        <v>1</v>
      </c>
      <c r="Z24" s="2">
        <v>1</v>
      </c>
      <c r="AA24" s="2">
        <v>0</v>
      </c>
      <c r="AB24" s="2">
        <v>2</v>
      </c>
      <c r="AC24" s="2">
        <v>0</v>
      </c>
      <c r="AD24" s="2">
        <v>1</v>
      </c>
      <c r="AE24" s="2">
        <v>2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-1</v>
      </c>
      <c r="AM24" s="2">
        <v>4</v>
      </c>
      <c r="AN24" s="2">
        <v>4</v>
      </c>
      <c r="AO24" s="2">
        <v>4</v>
      </c>
      <c r="AP24" s="2">
        <v>4</v>
      </c>
      <c r="AQ24" s="2">
        <v>4</v>
      </c>
      <c r="AR24" s="2">
        <v>2</v>
      </c>
      <c r="AS24" s="2">
        <v>2</v>
      </c>
      <c r="AT24" s="2">
        <v>1</v>
      </c>
      <c r="AU24" s="2">
        <v>1</v>
      </c>
      <c r="AV24" s="2"/>
      <c r="AW24" s="2">
        <v>2</v>
      </c>
      <c r="AX24" s="2">
        <v>2</v>
      </c>
      <c r="AY24" s="2">
        <v>0</v>
      </c>
      <c r="AZ24" s="2">
        <v>4</v>
      </c>
      <c r="BA24" s="2">
        <v>4</v>
      </c>
      <c r="BB24" s="2">
        <v>3</v>
      </c>
      <c r="BC24" s="2">
        <v>4</v>
      </c>
      <c r="BD24" s="2">
        <v>3</v>
      </c>
      <c r="BE24" s="2">
        <v>2</v>
      </c>
      <c r="BF24" s="2">
        <v>2</v>
      </c>
      <c r="BG24" s="2">
        <v>2</v>
      </c>
      <c r="BH24" s="2">
        <v>1</v>
      </c>
      <c r="BI24" s="2"/>
      <c r="BJ24" s="2">
        <v>2</v>
      </c>
      <c r="BK24" s="2">
        <v>1</v>
      </c>
      <c r="BL24" s="2">
        <v>0</v>
      </c>
      <c r="BM24" s="2">
        <v>6</v>
      </c>
      <c r="BN24" s="2">
        <v>8</v>
      </c>
      <c r="BO24" s="2">
        <v>7</v>
      </c>
      <c r="BP24" s="2"/>
      <c r="BQ24" s="2"/>
      <c r="BR24" s="2"/>
      <c r="BS24" s="2"/>
      <c r="BT24" s="2"/>
      <c r="BU24" s="2"/>
      <c r="BV24" s="2" t="s">
        <v>290</v>
      </c>
      <c r="BW24" s="2" t="s">
        <v>291</v>
      </c>
      <c r="BX24" s="2" t="s">
        <v>190</v>
      </c>
      <c r="BY24" s="2" t="s">
        <v>190</v>
      </c>
      <c r="BZ24" s="2" t="s">
        <v>190</v>
      </c>
      <c r="CA24" s="2" t="s">
        <v>190</v>
      </c>
      <c r="CB24" s="2" t="s">
        <v>190</v>
      </c>
      <c r="CC24" s="2" t="s">
        <v>191</v>
      </c>
      <c r="CD24" s="2" t="s">
        <v>190</v>
      </c>
      <c r="CE24" s="2" t="s">
        <v>190</v>
      </c>
      <c r="CF24" s="2" t="s">
        <v>191</v>
      </c>
      <c r="CG24" s="2" t="s">
        <v>190</v>
      </c>
      <c r="CH24" s="2" t="s">
        <v>190</v>
      </c>
      <c r="CI24" s="2" t="s">
        <v>190</v>
      </c>
      <c r="CJ24" s="2" t="s">
        <v>188</v>
      </c>
      <c r="CK24" s="2" t="s">
        <v>188</v>
      </c>
      <c r="CL24" s="2" t="s">
        <v>190</v>
      </c>
      <c r="CM24" s="2" t="s">
        <v>193</v>
      </c>
      <c r="CN24" s="2" t="s">
        <v>200</v>
      </c>
      <c r="CO24" s="2" t="s">
        <v>193</v>
      </c>
      <c r="CP24" s="2" t="s">
        <v>193</v>
      </c>
      <c r="CQ24" s="2" t="s">
        <v>192</v>
      </c>
      <c r="CR24" s="2" t="s">
        <v>192</v>
      </c>
      <c r="CS24" s="2" t="s">
        <v>192</v>
      </c>
      <c r="CT24" s="2" t="s">
        <v>192</v>
      </c>
      <c r="CU24" s="2" t="s">
        <v>192</v>
      </c>
      <c r="CV24" s="2" t="s">
        <v>192</v>
      </c>
      <c r="CW24" s="2" t="s">
        <v>192</v>
      </c>
      <c r="CX24" s="2" t="s">
        <v>200</v>
      </c>
      <c r="CY24" s="2" t="s">
        <v>193</v>
      </c>
      <c r="CZ24" s="2" t="s">
        <v>193</v>
      </c>
      <c r="DA24" s="2" t="s">
        <v>193</v>
      </c>
      <c r="DB24" s="2" t="s">
        <v>193</v>
      </c>
      <c r="DC24" s="2" t="s">
        <v>193</v>
      </c>
      <c r="DD24" s="2" t="s">
        <v>192</v>
      </c>
      <c r="DE24" s="2" t="s">
        <v>200</v>
      </c>
      <c r="DF24" s="2" t="s">
        <v>200</v>
      </c>
      <c r="DG24" s="2" t="s">
        <v>196</v>
      </c>
      <c r="DH24" s="2" t="s">
        <v>194</v>
      </c>
      <c r="DI24" s="2" t="s">
        <v>196</v>
      </c>
      <c r="DJ24" s="2" t="s">
        <v>194</v>
      </c>
      <c r="DK24" s="2" t="s">
        <v>194</v>
      </c>
      <c r="DL24" s="2" t="s">
        <v>194</v>
      </c>
      <c r="DM24" s="2" t="s">
        <v>195</v>
      </c>
      <c r="DN24" s="2" t="s">
        <v>194</v>
      </c>
      <c r="DO24" s="2" t="s">
        <v>195</v>
      </c>
      <c r="DP24" s="2" t="s">
        <v>194</v>
      </c>
      <c r="DQ24" s="2" t="s">
        <v>195</v>
      </c>
      <c r="DR24" s="2" t="s">
        <v>194</v>
      </c>
      <c r="DS24" s="2" t="s">
        <v>197</v>
      </c>
      <c r="DT24" s="2" t="s">
        <v>198</v>
      </c>
      <c r="DU24" s="2" t="s">
        <v>198</v>
      </c>
      <c r="DV24" s="2" t="s">
        <v>197</v>
      </c>
      <c r="DW24" s="2" t="s">
        <v>197</v>
      </c>
      <c r="DX24" s="2" t="s">
        <v>198</v>
      </c>
      <c r="DY24" s="2" t="s">
        <v>197</v>
      </c>
      <c r="DZ24" s="2"/>
      <c r="EA24" s="2">
        <v>1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1</v>
      </c>
      <c r="EJ24" s="2">
        <v>0</v>
      </c>
      <c r="EK24" s="2">
        <v>0</v>
      </c>
      <c r="EL24" s="2">
        <v>0</v>
      </c>
      <c r="EM24" s="2">
        <v>1</v>
      </c>
      <c r="EN24" s="2">
        <v>0</v>
      </c>
      <c r="EO24" s="2">
        <v>1</v>
      </c>
      <c r="EP24" s="2">
        <v>0</v>
      </c>
      <c r="EQ24" s="2">
        <v>0</v>
      </c>
      <c r="ER24" s="2">
        <v>0</v>
      </c>
      <c r="ES24" s="2">
        <v>1</v>
      </c>
      <c r="ET24" s="2">
        <v>0</v>
      </c>
      <c r="EU24" s="2">
        <v>1</v>
      </c>
      <c r="EV24" s="2">
        <v>0</v>
      </c>
      <c r="EW24" s="2">
        <v>0</v>
      </c>
      <c r="EX24" s="2">
        <v>0</v>
      </c>
      <c r="EY24" s="2">
        <v>1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1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1</v>
      </c>
      <c r="FP24" s="2">
        <v>0</v>
      </c>
      <c r="FQ24" s="2">
        <v>1</v>
      </c>
      <c r="FR24" s="2">
        <v>0</v>
      </c>
      <c r="FS24" s="2">
        <v>1</v>
      </c>
      <c r="FT24" s="2">
        <v>0</v>
      </c>
      <c r="FU24" s="2">
        <v>1</v>
      </c>
      <c r="FV24" s="2">
        <v>0</v>
      </c>
      <c r="FW24" s="2">
        <v>1</v>
      </c>
      <c r="FX24" s="2">
        <v>0</v>
      </c>
      <c r="FY24" s="2">
        <v>1</v>
      </c>
      <c r="FZ24" s="2"/>
      <c r="GA24" s="2">
        <v>4</v>
      </c>
      <c r="GB24" s="2">
        <v>4</v>
      </c>
      <c r="GC24" s="2">
        <v>4</v>
      </c>
      <c r="GD24" s="2">
        <v>4</v>
      </c>
      <c r="GE24" s="2">
        <v>4</v>
      </c>
      <c r="GG24" s="2">
        <v>4</v>
      </c>
      <c r="GH24" s="2">
        <v>4</v>
      </c>
      <c r="GI24" s="2">
        <v>3</v>
      </c>
      <c r="GJ24" s="2">
        <v>4</v>
      </c>
      <c r="GK24" s="2">
        <v>3</v>
      </c>
      <c r="GM24" s="2">
        <f t="shared" si="0"/>
        <v>20</v>
      </c>
      <c r="GN24" s="2">
        <f t="shared" si="1"/>
        <v>18</v>
      </c>
      <c r="GO24" s="2"/>
      <c r="GP24" s="2">
        <v>2</v>
      </c>
      <c r="GQ24" s="2">
        <v>2</v>
      </c>
      <c r="GR24" s="2">
        <v>1</v>
      </c>
      <c r="GS24" s="2">
        <v>1</v>
      </c>
      <c r="GU24" s="2">
        <v>2</v>
      </c>
      <c r="GV24" s="2">
        <v>2</v>
      </c>
      <c r="GW24" s="2">
        <v>0</v>
      </c>
      <c r="GY24" s="2">
        <v>2</v>
      </c>
      <c r="GZ24" s="2">
        <v>2</v>
      </c>
      <c r="HA24" s="2">
        <v>2</v>
      </c>
      <c r="HB24" s="2">
        <v>1</v>
      </c>
      <c r="HD24" s="2">
        <v>2</v>
      </c>
      <c r="HE24" s="2">
        <v>1</v>
      </c>
      <c r="HF24" s="2">
        <v>0</v>
      </c>
      <c r="HH24" s="2">
        <f t="shared" si="2"/>
        <v>10</v>
      </c>
      <c r="HI24" s="2">
        <f t="shared" si="3"/>
        <v>10</v>
      </c>
      <c r="HJ24" s="2"/>
      <c r="HK24" s="2">
        <v>8</v>
      </c>
      <c r="HL24" s="2">
        <v>7</v>
      </c>
      <c r="HM24" s="2"/>
      <c r="HN24" s="2"/>
    </row>
    <row r="25" spans="1:222" ht="15.75" customHeight="1" x14ac:dyDescent="0.2">
      <c r="A25" s="3" t="e">
        <f>VLOOKUP(B25,#REF!,1,FALSE)</f>
        <v>#REF!</v>
      </c>
      <c r="B25" s="3">
        <v>44641.696936469911</v>
      </c>
      <c r="C25" s="2">
        <v>27</v>
      </c>
      <c r="D25" s="2" t="s">
        <v>185</v>
      </c>
      <c r="E25" s="2">
        <v>0</v>
      </c>
      <c r="F25" s="2" t="s">
        <v>292</v>
      </c>
      <c r="G25" s="2">
        <v>15</v>
      </c>
      <c r="H25" s="2">
        <v>2</v>
      </c>
      <c r="I25" s="2">
        <v>1</v>
      </c>
      <c r="J25" s="2">
        <v>4</v>
      </c>
      <c r="K25" s="2">
        <v>1</v>
      </c>
      <c r="L25" s="2">
        <v>4</v>
      </c>
      <c r="M25" s="2" t="s">
        <v>213</v>
      </c>
      <c r="N25" s="2">
        <v>3</v>
      </c>
      <c r="O25" s="2">
        <v>3</v>
      </c>
      <c r="P25" s="2">
        <v>0</v>
      </c>
      <c r="Q25" s="2">
        <v>0</v>
      </c>
      <c r="R25" s="2">
        <v>3</v>
      </c>
      <c r="S25" s="2">
        <v>0</v>
      </c>
      <c r="T25" s="2">
        <v>-1</v>
      </c>
      <c r="U25" s="2">
        <v>0</v>
      </c>
      <c r="V25" s="2">
        <v>-1</v>
      </c>
      <c r="W25" s="2">
        <v>-1</v>
      </c>
      <c r="X25" s="2"/>
      <c r="Y25" s="2">
        <v>0</v>
      </c>
      <c r="Z25" s="2">
        <v>1</v>
      </c>
      <c r="AA25" s="2">
        <v>1</v>
      </c>
      <c r="AB25" s="2">
        <v>4</v>
      </c>
      <c r="AC25" s="2">
        <v>0</v>
      </c>
      <c r="AD25" s="2">
        <v>0</v>
      </c>
      <c r="AE25" s="2">
        <v>2</v>
      </c>
      <c r="AF25" s="2">
        <v>1</v>
      </c>
      <c r="AG25" s="2">
        <v>1</v>
      </c>
      <c r="AH25" s="2">
        <v>2</v>
      </c>
      <c r="AI25" s="2">
        <v>3</v>
      </c>
      <c r="AJ25" s="2">
        <v>3</v>
      </c>
      <c r="AK25" s="2">
        <v>-1</v>
      </c>
      <c r="AL25" s="2">
        <v>-1</v>
      </c>
      <c r="AM25" s="2">
        <v>1</v>
      </c>
      <c r="AN25" s="2">
        <v>0</v>
      </c>
      <c r="AO25" s="2">
        <v>0</v>
      </c>
      <c r="AP25" s="2">
        <v>0</v>
      </c>
      <c r="AQ25" s="2">
        <v>4</v>
      </c>
      <c r="AR25" s="2">
        <v>3</v>
      </c>
      <c r="AS25" s="2">
        <v>0</v>
      </c>
      <c r="AT25" s="2">
        <v>1</v>
      </c>
      <c r="AU25" s="2">
        <v>1</v>
      </c>
      <c r="AV25" s="2"/>
      <c r="AW25" s="2">
        <v>3</v>
      </c>
      <c r="AX25" s="2">
        <v>2</v>
      </c>
      <c r="AY25" s="2">
        <v>3</v>
      </c>
      <c r="AZ25" s="2">
        <v>5</v>
      </c>
      <c r="BA25" s="2">
        <v>5</v>
      </c>
      <c r="BB25" s="2">
        <v>5</v>
      </c>
      <c r="BC25" s="2">
        <v>5</v>
      </c>
      <c r="BD25" s="2">
        <v>2</v>
      </c>
      <c r="BE25" s="2">
        <v>4</v>
      </c>
      <c r="BF25" s="2">
        <v>0</v>
      </c>
      <c r="BG25" s="2">
        <v>1</v>
      </c>
      <c r="BH25" s="2">
        <v>0</v>
      </c>
      <c r="BI25" s="2"/>
      <c r="BJ25" s="2">
        <v>2</v>
      </c>
      <c r="BK25" s="2">
        <v>2</v>
      </c>
      <c r="BL25" s="2">
        <v>3</v>
      </c>
      <c r="BM25" s="2">
        <v>7</v>
      </c>
      <c r="BN25" s="2">
        <v>10</v>
      </c>
      <c r="BO25" s="2">
        <v>10</v>
      </c>
      <c r="BP25" s="2"/>
      <c r="BQ25" s="2"/>
      <c r="BR25" s="2"/>
      <c r="BS25" s="2"/>
      <c r="BT25" s="2"/>
      <c r="BU25" s="2"/>
      <c r="BV25" s="2"/>
      <c r="BW25" s="2"/>
      <c r="BX25" s="2" t="s">
        <v>191</v>
      </c>
      <c r="BY25" s="2" t="s">
        <v>189</v>
      </c>
      <c r="BZ25" s="2" t="s">
        <v>189</v>
      </c>
      <c r="CA25" s="2" t="s">
        <v>189</v>
      </c>
      <c r="CB25" s="2" t="s">
        <v>189</v>
      </c>
      <c r="CC25" s="2" t="s">
        <v>189</v>
      </c>
      <c r="CD25" s="2" t="s">
        <v>189</v>
      </c>
      <c r="CE25" s="2" t="s">
        <v>189</v>
      </c>
      <c r="CF25" s="2" t="s">
        <v>191</v>
      </c>
      <c r="CG25" s="2" t="s">
        <v>189</v>
      </c>
      <c r="CH25" s="2" t="s">
        <v>191</v>
      </c>
      <c r="CI25" s="2" t="s">
        <v>189</v>
      </c>
      <c r="CJ25" s="2" t="s">
        <v>191</v>
      </c>
      <c r="CK25" s="2" t="s">
        <v>191</v>
      </c>
      <c r="CL25" s="2" t="s">
        <v>191</v>
      </c>
      <c r="CM25" s="2" t="s">
        <v>192</v>
      </c>
      <c r="CN25" s="2" t="s">
        <v>192</v>
      </c>
      <c r="CO25" s="2" t="s">
        <v>192</v>
      </c>
      <c r="CP25" s="2" t="s">
        <v>192</v>
      </c>
      <c r="CQ25" s="2" t="s">
        <v>193</v>
      </c>
      <c r="CR25" s="2" t="s">
        <v>193</v>
      </c>
      <c r="CS25" s="2" t="s">
        <v>193</v>
      </c>
      <c r="CT25" s="2" t="s">
        <v>192</v>
      </c>
      <c r="CU25" s="2" t="s">
        <v>193</v>
      </c>
      <c r="CV25" s="2" t="s">
        <v>193</v>
      </c>
      <c r="CW25" s="2" t="s">
        <v>193</v>
      </c>
      <c r="CX25" s="2" t="s">
        <v>200</v>
      </c>
      <c r="CY25" s="2" t="s">
        <v>193</v>
      </c>
      <c r="CZ25" s="2" t="s">
        <v>193</v>
      </c>
      <c r="DA25" s="2" t="s">
        <v>192</v>
      </c>
      <c r="DB25" s="2" t="s">
        <v>192</v>
      </c>
      <c r="DC25" s="2" t="s">
        <v>200</v>
      </c>
      <c r="DD25" s="2" t="s">
        <v>192</v>
      </c>
      <c r="DE25" s="2" t="s">
        <v>192</v>
      </c>
      <c r="DF25" s="2" t="s">
        <v>192</v>
      </c>
      <c r="DG25" s="2" t="s">
        <v>201</v>
      </c>
      <c r="DH25" s="2" t="s">
        <v>201</v>
      </c>
      <c r="DI25" s="2" t="s">
        <v>201</v>
      </c>
      <c r="DJ25" s="2" t="s">
        <v>201</v>
      </c>
      <c r="DK25" s="2" t="s">
        <v>196</v>
      </c>
      <c r="DL25" s="2" t="s">
        <v>196</v>
      </c>
      <c r="DM25" s="2" t="s">
        <v>196</v>
      </c>
      <c r="DN25" s="2" t="s">
        <v>220</v>
      </c>
      <c r="DO25" s="2" t="s">
        <v>196</v>
      </c>
      <c r="DP25" s="2" t="s">
        <v>220</v>
      </c>
      <c r="DQ25" s="2" t="s">
        <v>201</v>
      </c>
      <c r="DR25" s="2" t="s">
        <v>196</v>
      </c>
      <c r="DS25" s="2" t="s">
        <v>197</v>
      </c>
      <c r="DT25" s="2" t="s">
        <v>222</v>
      </c>
      <c r="DU25" s="2" t="s">
        <v>222</v>
      </c>
      <c r="DV25" s="2" t="s">
        <v>197</v>
      </c>
      <c r="DW25" s="2" t="s">
        <v>197</v>
      </c>
      <c r="DX25" s="2" t="s">
        <v>221</v>
      </c>
      <c r="DY25" s="2" t="s">
        <v>197</v>
      </c>
      <c r="DZ25" s="2"/>
      <c r="EA25" s="2">
        <v>1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1</v>
      </c>
      <c r="EI25" s="2">
        <v>0</v>
      </c>
      <c r="EJ25" s="2">
        <v>1</v>
      </c>
      <c r="EK25" s="2">
        <v>0</v>
      </c>
      <c r="EL25" s="2">
        <v>1</v>
      </c>
      <c r="EM25" s="2">
        <v>0</v>
      </c>
      <c r="EN25" s="2">
        <v>0</v>
      </c>
      <c r="EO25" s="2">
        <v>1</v>
      </c>
      <c r="EP25" s="2">
        <v>1</v>
      </c>
      <c r="EQ25" s="2">
        <v>0</v>
      </c>
      <c r="ER25" s="2">
        <v>0</v>
      </c>
      <c r="ES25" s="2">
        <v>1</v>
      </c>
      <c r="ET25" s="2">
        <v>0</v>
      </c>
      <c r="EU25" s="2">
        <v>1</v>
      </c>
      <c r="EV25" s="2">
        <v>1</v>
      </c>
      <c r="EW25" s="2">
        <v>0</v>
      </c>
      <c r="EX25" s="2">
        <v>0</v>
      </c>
      <c r="EY25" s="2">
        <v>1</v>
      </c>
      <c r="EZ25" s="2">
        <v>1</v>
      </c>
      <c r="FA25" s="2">
        <v>0</v>
      </c>
      <c r="FB25" s="2">
        <v>1</v>
      </c>
      <c r="FC25" s="2">
        <v>0</v>
      </c>
      <c r="FD25" s="2">
        <v>0</v>
      </c>
      <c r="FE25" s="2">
        <v>0</v>
      </c>
      <c r="FF25" s="2">
        <v>1</v>
      </c>
      <c r="FG25" s="2">
        <v>0</v>
      </c>
      <c r="FH25" s="2">
        <v>1</v>
      </c>
      <c r="FI25" s="2">
        <v>0</v>
      </c>
      <c r="FJ25" s="2">
        <v>1</v>
      </c>
      <c r="FK25" s="2">
        <v>0</v>
      </c>
      <c r="FL25" s="2">
        <v>0</v>
      </c>
      <c r="FM25" s="2">
        <v>1</v>
      </c>
      <c r="FN25" s="2">
        <v>0</v>
      </c>
      <c r="FO25" s="2">
        <v>1</v>
      </c>
      <c r="FP25" s="2">
        <v>0</v>
      </c>
      <c r="FQ25" s="2">
        <v>1</v>
      </c>
      <c r="FR25" s="2">
        <v>1</v>
      </c>
      <c r="FS25" s="2">
        <v>0</v>
      </c>
      <c r="FT25" s="2">
        <v>1</v>
      </c>
      <c r="FU25" s="2">
        <v>0</v>
      </c>
      <c r="FV25" s="2">
        <v>1</v>
      </c>
      <c r="FW25" s="2">
        <v>0</v>
      </c>
      <c r="FX25" s="2">
        <v>0</v>
      </c>
      <c r="FY25" s="2">
        <v>1</v>
      </c>
      <c r="FZ25" s="2"/>
      <c r="GA25" s="2">
        <v>1</v>
      </c>
      <c r="GB25" s="2">
        <v>0</v>
      </c>
      <c r="GC25" s="2">
        <v>0</v>
      </c>
      <c r="GD25" s="2">
        <v>0</v>
      </c>
      <c r="GE25" s="2">
        <v>4</v>
      </c>
      <c r="GG25" s="2">
        <v>5</v>
      </c>
      <c r="GH25" s="2">
        <v>5</v>
      </c>
      <c r="GI25" s="2">
        <v>5</v>
      </c>
      <c r="GJ25" s="2">
        <v>5</v>
      </c>
      <c r="GK25" s="2">
        <v>2</v>
      </c>
      <c r="GM25" s="2">
        <f t="shared" si="0"/>
        <v>5</v>
      </c>
      <c r="GN25" s="2">
        <f t="shared" si="1"/>
        <v>22</v>
      </c>
      <c r="GO25" s="2"/>
      <c r="GP25" s="2">
        <v>3</v>
      </c>
      <c r="GQ25" s="2">
        <v>0</v>
      </c>
      <c r="GR25" s="2">
        <v>1</v>
      </c>
      <c r="GS25" s="2">
        <v>1</v>
      </c>
      <c r="GU25" s="2">
        <v>3</v>
      </c>
      <c r="GV25" s="2">
        <v>2</v>
      </c>
      <c r="GW25" s="2">
        <v>3</v>
      </c>
      <c r="GY25" s="2">
        <v>4</v>
      </c>
      <c r="GZ25" s="2">
        <v>0</v>
      </c>
      <c r="HA25" s="2">
        <v>1</v>
      </c>
      <c r="HB25" s="2">
        <v>0</v>
      </c>
      <c r="HD25" s="2">
        <v>2</v>
      </c>
      <c r="HE25" s="2">
        <v>2</v>
      </c>
      <c r="HF25" s="2">
        <v>3</v>
      </c>
      <c r="HH25" s="2">
        <f t="shared" si="2"/>
        <v>13</v>
      </c>
      <c r="HI25" s="2">
        <f t="shared" si="3"/>
        <v>12</v>
      </c>
      <c r="HJ25" s="2"/>
      <c r="HK25" s="2">
        <v>10</v>
      </c>
      <c r="HL25" s="2">
        <v>10</v>
      </c>
      <c r="HM25" s="2"/>
      <c r="HN25" s="2"/>
    </row>
    <row r="26" spans="1:222" ht="15.75" customHeight="1" x14ac:dyDescent="0.2">
      <c r="A26" s="3" t="e">
        <f>VLOOKUP(B26,#REF!,1,FALSE)</f>
        <v>#REF!</v>
      </c>
      <c r="B26" s="3">
        <v>44641.709468078705</v>
      </c>
      <c r="C26" s="2">
        <v>28</v>
      </c>
      <c r="D26" s="2" t="s">
        <v>185</v>
      </c>
      <c r="E26" s="2">
        <v>0</v>
      </c>
      <c r="F26" s="2" t="s">
        <v>232</v>
      </c>
      <c r="G26" s="2">
        <v>2</v>
      </c>
      <c r="H26" s="2">
        <v>2</v>
      </c>
      <c r="I26" s="2">
        <v>1</v>
      </c>
      <c r="J26" s="2">
        <v>3</v>
      </c>
      <c r="K26" s="2">
        <v>0</v>
      </c>
      <c r="L26" s="2">
        <v>4</v>
      </c>
      <c r="M26" s="2" t="s">
        <v>213</v>
      </c>
      <c r="N26" s="2">
        <v>3</v>
      </c>
      <c r="O26" s="2">
        <v>4</v>
      </c>
      <c r="P26" s="2">
        <v>0</v>
      </c>
      <c r="Q26" s="2">
        <v>3</v>
      </c>
      <c r="R26" s="2">
        <v>2</v>
      </c>
      <c r="S26" s="2">
        <v>1</v>
      </c>
      <c r="T26" s="2">
        <v>1</v>
      </c>
      <c r="U26" s="2">
        <v>1</v>
      </c>
      <c r="V26" s="2">
        <v>0</v>
      </c>
      <c r="W26" s="2">
        <v>-1</v>
      </c>
      <c r="X26" s="2"/>
      <c r="Y26" s="2">
        <v>-1</v>
      </c>
      <c r="Z26" s="2">
        <v>0</v>
      </c>
      <c r="AA26" s="2">
        <v>1</v>
      </c>
      <c r="AB26" s="2">
        <v>2</v>
      </c>
      <c r="AC26" s="2">
        <v>1</v>
      </c>
      <c r="AD26" s="2">
        <v>2</v>
      </c>
      <c r="AE26" s="2">
        <v>1</v>
      </c>
      <c r="AF26" s="2">
        <v>4</v>
      </c>
      <c r="AG26" s="2">
        <v>2</v>
      </c>
      <c r="AH26" s="2">
        <v>2</v>
      </c>
      <c r="AI26" s="2">
        <v>2</v>
      </c>
      <c r="AJ26" s="2">
        <v>2</v>
      </c>
      <c r="AK26" s="2">
        <v>2</v>
      </c>
      <c r="AL26" s="2">
        <v>1</v>
      </c>
      <c r="AM26" s="2">
        <v>4</v>
      </c>
      <c r="AN26" s="2">
        <v>3</v>
      </c>
      <c r="AO26" s="2">
        <v>4</v>
      </c>
      <c r="AP26" s="2">
        <v>2</v>
      </c>
      <c r="AQ26" s="2">
        <v>3</v>
      </c>
      <c r="AR26" s="2">
        <v>2</v>
      </c>
      <c r="AS26" s="2">
        <v>2</v>
      </c>
      <c r="AT26" s="2">
        <v>1</v>
      </c>
      <c r="AU26" s="2">
        <v>1</v>
      </c>
      <c r="AV26" s="2"/>
      <c r="AW26" s="2">
        <v>2</v>
      </c>
      <c r="AX26" s="2">
        <v>1</v>
      </c>
      <c r="AY26" s="2">
        <v>0</v>
      </c>
      <c r="AZ26" s="2">
        <v>2</v>
      </c>
      <c r="BA26" s="2">
        <v>2</v>
      </c>
      <c r="BB26" s="2">
        <v>2</v>
      </c>
      <c r="BC26" s="2">
        <v>3</v>
      </c>
      <c r="BD26" s="2">
        <v>2</v>
      </c>
      <c r="BE26" s="2">
        <v>1</v>
      </c>
      <c r="BF26" s="2">
        <v>2</v>
      </c>
      <c r="BG26" s="2">
        <v>2</v>
      </c>
      <c r="BH26" s="2">
        <v>2</v>
      </c>
      <c r="BI26" s="2"/>
      <c r="BJ26" s="2">
        <v>1</v>
      </c>
      <c r="BK26" s="2">
        <v>0</v>
      </c>
      <c r="BL26" s="2">
        <v>0</v>
      </c>
      <c r="BM26" s="2">
        <v>7</v>
      </c>
      <c r="BN26" s="2">
        <v>8</v>
      </c>
      <c r="BO26" s="2">
        <v>7</v>
      </c>
      <c r="BP26" s="2"/>
      <c r="BQ26" s="2"/>
      <c r="BR26" s="2"/>
      <c r="BS26" s="2"/>
      <c r="BT26" s="2"/>
      <c r="BU26" s="2"/>
      <c r="BV26" s="2" t="s">
        <v>293</v>
      </c>
      <c r="BW26" s="2" t="s">
        <v>294</v>
      </c>
      <c r="BX26" s="2" t="s">
        <v>191</v>
      </c>
      <c r="BY26" s="2" t="s">
        <v>190</v>
      </c>
      <c r="BZ26" s="2" t="s">
        <v>190</v>
      </c>
      <c r="CA26" s="2" t="s">
        <v>190</v>
      </c>
      <c r="CB26" s="2" t="s">
        <v>190</v>
      </c>
      <c r="CC26" s="2" t="s">
        <v>188</v>
      </c>
      <c r="CD26" s="2" t="s">
        <v>189</v>
      </c>
      <c r="CE26" s="2" t="s">
        <v>190</v>
      </c>
      <c r="CF26" s="2" t="s">
        <v>191</v>
      </c>
      <c r="CG26" s="2" t="s">
        <v>190</v>
      </c>
      <c r="CH26" s="2" t="s">
        <v>188</v>
      </c>
      <c r="CI26" s="2" t="s">
        <v>188</v>
      </c>
      <c r="CJ26" s="2" t="s">
        <v>188</v>
      </c>
      <c r="CK26" s="2" t="s">
        <v>191</v>
      </c>
      <c r="CL26" s="2" t="s">
        <v>190</v>
      </c>
      <c r="CM26" s="2" t="s">
        <v>193</v>
      </c>
      <c r="CN26" s="2" t="s">
        <v>193</v>
      </c>
      <c r="CO26" s="2" t="s">
        <v>193</v>
      </c>
      <c r="CP26" s="2" t="s">
        <v>193</v>
      </c>
      <c r="CQ26" s="2" t="s">
        <v>193</v>
      </c>
      <c r="CR26" s="2" t="s">
        <v>200</v>
      </c>
      <c r="CS26" s="2" t="s">
        <v>200</v>
      </c>
      <c r="CT26" s="2" t="s">
        <v>193</v>
      </c>
      <c r="CU26" s="2" t="s">
        <v>193</v>
      </c>
      <c r="CV26" s="2" t="s">
        <v>193</v>
      </c>
      <c r="CW26" s="2" t="s">
        <v>193</v>
      </c>
      <c r="CX26" s="2" t="s">
        <v>200</v>
      </c>
      <c r="CY26" s="2" t="s">
        <v>193</v>
      </c>
      <c r="CZ26" s="2" t="s">
        <v>193</v>
      </c>
      <c r="DA26" s="2" t="s">
        <v>193</v>
      </c>
      <c r="DB26" s="2" t="s">
        <v>192</v>
      </c>
      <c r="DC26" s="2" t="s">
        <v>192</v>
      </c>
      <c r="DD26" s="2" t="s">
        <v>193</v>
      </c>
      <c r="DE26" s="2" t="s">
        <v>193</v>
      </c>
      <c r="DF26" s="2" t="s">
        <v>200</v>
      </c>
      <c r="DG26" s="2" t="s">
        <v>194</v>
      </c>
      <c r="DH26" s="2" t="s">
        <v>195</v>
      </c>
      <c r="DI26" s="2" t="s">
        <v>195</v>
      </c>
      <c r="DJ26" s="2" t="s">
        <v>195</v>
      </c>
      <c r="DK26" s="2" t="s">
        <v>196</v>
      </c>
      <c r="DL26" s="2" t="s">
        <v>194</v>
      </c>
      <c r="DM26" s="2" t="s">
        <v>196</v>
      </c>
      <c r="DN26" s="2" t="s">
        <v>196</v>
      </c>
      <c r="DO26" s="2" t="s">
        <v>196</v>
      </c>
      <c r="DP26" s="2" t="s">
        <v>194</v>
      </c>
      <c r="DQ26" s="2" t="s">
        <v>195</v>
      </c>
      <c r="DR26" s="2" t="s">
        <v>194</v>
      </c>
      <c r="DS26" s="2" t="s">
        <v>197</v>
      </c>
      <c r="DT26" s="2" t="s">
        <v>198</v>
      </c>
      <c r="DU26" s="2" t="s">
        <v>199</v>
      </c>
      <c r="DV26" s="2" t="s">
        <v>197</v>
      </c>
      <c r="DW26" s="2" t="s">
        <v>198</v>
      </c>
      <c r="DX26" s="2" t="s">
        <v>198</v>
      </c>
      <c r="DY26" s="2" t="s">
        <v>197</v>
      </c>
      <c r="DZ26" s="2"/>
      <c r="EA26" s="2">
        <v>0</v>
      </c>
      <c r="EB26" s="2">
        <v>0</v>
      </c>
      <c r="EC26" s="2">
        <v>1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1</v>
      </c>
      <c r="EJ26" s="2">
        <v>1</v>
      </c>
      <c r="EK26" s="2">
        <v>0</v>
      </c>
      <c r="EL26" s="2">
        <v>0</v>
      </c>
      <c r="EM26" s="2">
        <v>1</v>
      </c>
      <c r="EN26" s="2">
        <v>1</v>
      </c>
      <c r="EO26" s="2">
        <v>0</v>
      </c>
      <c r="EP26" s="2">
        <v>1</v>
      </c>
      <c r="EQ26" s="2">
        <v>0</v>
      </c>
      <c r="ER26" s="2">
        <v>1</v>
      </c>
      <c r="ES26" s="2">
        <v>0</v>
      </c>
      <c r="ET26" s="2">
        <v>0</v>
      </c>
      <c r="EU26" s="2">
        <v>1</v>
      </c>
      <c r="EV26" s="2">
        <v>0</v>
      </c>
      <c r="EW26" s="2">
        <v>0</v>
      </c>
      <c r="EX26" s="2">
        <v>0</v>
      </c>
      <c r="EY26" s="2">
        <v>1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1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1</v>
      </c>
      <c r="FO26" s="2">
        <v>0</v>
      </c>
      <c r="FP26" s="2">
        <v>0</v>
      </c>
      <c r="FQ26" s="2">
        <v>1</v>
      </c>
      <c r="FR26" s="2">
        <v>1</v>
      </c>
      <c r="FS26" s="2">
        <v>0</v>
      </c>
      <c r="FT26" s="2">
        <v>1</v>
      </c>
      <c r="FU26" s="2">
        <v>0</v>
      </c>
      <c r="FV26" s="2">
        <v>0</v>
      </c>
      <c r="FW26" s="2">
        <v>1</v>
      </c>
      <c r="FX26" s="2">
        <v>1</v>
      </c>
      <c r="FY26" s="2">
        <v>0</v>
      </c>
      <c r="FZ26" s="2"/>
      <c r="GA26" s="2">
        <v>4</v>
      </c>
      <c r="GB26" s="2">
        <v>3</v>
      </c>
      <c r="GC26" s="2">
        <v>4</v>
      </c>
      <c r="GD26" s="2">
        <v>2</v>
      </c>
      <c r="GE26" s="2">
        <v>3</v>
      </c>
      <c r="GG26" s="2">
        <v>2</v>
      </c>
      <c r="GH26" s="2">
        <v>2</v>
      </c>
      <c r="GI26" s="2">
        <v>2</v>
      </c>
      <c r="GJ26" s="2">
        <v>3</v>
      </c>
      <c r="GK26" s="2">
        <v>2</v>
      </c>
      <c r="GM26" s="2">
        <f t="shared" si="0"/>
        <v>16</v>
      </c>
      <c r="GN26" s="2">
        <f t="shared" si="1"/>
        <v>11</v>
      </c>
      <c r="GO26" s="2"/>
      <c r="GP26" s="2">
        <v>2</v>
      </c>
      <c r="GQ26" s="2">
        <v>2</v>
      </c>
      <c r="GR26" s="2">
        <v>1</v>
      </c>
      <c r="GS26" s="2">
        <v>1</v>
      </c>
      <c r="GU26" s="2">
        <v>2</v>
      </c>
      <c r="GV26" s="2">
        <v>1</v>
      </c>
      <c r="GW26" s="2">
        <v>0</v>
      </c>
      <c r="GY26" s="2">
        <v>1</v>
      </c>
      <c r="GZ26" s="2">
        <v>2</v>
      </c>
      <c r="HA26" s="2">
        <v>2</v>
      </c>
      <c r="HB26" s="2">
        <v>2</v>
      </c>
      <c r="HD26" s="2">
        <v>1</v>
      </c>
      <c r="HE26" s="2">
        <v>0</v>
      </c>
      <c r="HF26" s="2">
        <v>0</v>
      </c>
      <c r="HH26" s="2">
        <f t="shared" si="2"/>
        <v>9</v>
      </c>
      <c r="HI26" s="2">
        <f t="shared" si="3"/>
        <v>8</v>
      </c>
      <c r="HJ26" s="2"/>
      <c r="HK26" s="2">
        <v>8</v>
      </c>
      <c r="HL26" s="2">
        <v>7</v>
      </c>
      <c r="HM26" s="2"/>
      <c r="HN26" s="2"/>
    </row>
    <row r="27" spans="1:222" ht="15.75" customHeight="1" x14ac:dyDescent="0.2">
      <c r="A27" s="3" t="e">
        <f>VLOOKUP(B27,#REF!,1,FALSE)</f>
        <v>#REF!</v>
      </c>
      <c r="B27" s="3">
        <v>44641.785579849537</v>
      </c>
      <c r="C27" s="2">
        <v>29</v>
      </c>
      <c r="D27" s="2" t="s">
        <v>185</v>
      </c>
      <c r="E27" s="2">
        <v>0</v>
      </c>
      <c r="F27" s="2" t="s">
        <v>232</v>
      </c>
      <c r="G27" s="2">
        <v>0.5</v>
      </c>
      <c r="H27" s="2">
        <v>2</v>
      </c>
      <c r="I27" s="2">
        <v>1</v>
      </c>
      <c r="J27" s="2">
        <v>4</v>
      </c>
      <c r="K27" s="2">
        <v>0</v>
      </c>
      <c r="L27" s="2">
        <v>3</v>
      </c>
      <c r="M27" s="2" t="s">
        <v>213</v>
      </c>
      <c r="N27" s="2">
        <v>2</v>
      </c>
      <c r="O27" s="2">
        <v>5</v>
      </c>
      <c r="P27" s="2">
        <v>0</v>
      </c>
      <c r="Q27" s="2">
        <v>0</v>
      </c>
      <c r="R27" s="2">
        <v>2</v>
      </c>
      <c r="S27" s="2">
        <v>1</v>
      </c>
      <c r="T27" s="2">
        <v>-1</v>
      </c>
      <c r="U27" s="2">
        <v>0</v>
      </c>
      <c r="V27" s="2">
        <v>0</v>
      </c>
      <c r="W27" s="2">
        <v>0</v>
      </c>
      <c r="X27" s="2"/>
      <c r="Y27" s="2">
        <v>0</v>
      </c>
      <c r="Z27" s="2">
        <v>0</v>
      </c>
      <c r="AA27" s="2">
        <v>1</v>
      </c>
      <c r="AB27" s="2">
        <v>1</v>
      </c>
      <c r="AC27" s="2">
        <v>2</v>
      </c>
      <c r="AD27" s="2">
        <v>2</v>
      </c>
      <c r="AE27" s="2">
        <v>2</v>
      </c>
      <c r="AF27" s="2">
        <v>2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/>
      <c r="AN27" s="2">
        <v>4</v>
      </c>
      <c r="AO27" s="2">
        <v>4</v>
      </c>
      <c r="AP27" s="2">
        <v>4</v>
      </c>
      <c r="AQ27" s="2">
        <v>4</v>
      </c>
      <c r="AR27" s="2">
        <v>3</v>
      </c>
      <c r="AS27" s="2">
        <v>1</v>
      </c>
      <c r="AT27" s="2">
        <v>1</v>
      </c>
      <c r="AU27" s="2">
        <v>1</v>
      </c>
      <c r="AV27" s="2"/>
      <c r="AW27" s="2">
        <v>1</v>
      </c>
      <c r="AX27" s="2">
        <v>1</v>
      </c>
      <c r="AY27" s="2">
        <v>2</v>
      </c>
      <c r="AZ27" s="2">
        <v>4</v>
      </c>
      <c r="BA27" s="2">
        <v>4</v>
      </c>
      <c r="BB27" s="2">
        <v>4</v>
      </c>
      <c r="BC27" s="2">
        <v>4</v>
      </c>
      <c r="BD27" s="2">
        <v>4</v>
      </c>
      <c r="BE27" s="2">
        <v>3</v>
      </c>
      <c r="BF27" s="2">
        <v>1</v>
      </c>
      <c r="BG27" s="2">
        <v>1</v>
      </c>
      <c r="BH27" s="2">
        <v>1</v>
      </c>
      <c r="BI27" s="2"/>
      <c r="BJ27" s="2">
        <v>2</v>
      </c>
      <c r="BK27" s="2">
        <v>1</v>
      </c>
      <c r="BL27" s="2">
        <v>2</v>
      </c>
      <c r="BM27" s="2">
        <v>8</v>
      </c>
      <c r="BN27" s="2">
        <v>8</v>
      </c>
      <c r="BO27" s="2">
        <v>9</v>
      </c>
      <c r="BP27" s="2" t="s">
        <v>295</v>
      </c>
      <c r="BQ27" s="2" t="s">
        <v>258</v>
      </c>
      <c r="BR27" s="2" t="s">
        <v>258</v>
      </c>
      <c r="BS27" s="2" t="s">
        <v>258</v>
      </c>
      <c r="BT27" s="2" t="s">
        <v>258</v>
      </c>
      <c r="BU27" s="2" t="s">
        <v>296</v>
      </c>
      <c r="BV27" s="2" t="s">
        <v>297</v>
      </c>
      <c r="BW27" s="2" t="s">
        <v>298</v>
      </c>
      <c r="BX27" s="2" t="s">
        <v>191</v>
      </c>
      <c r="BY27" s="2" t="s">
        <v>190</v>
      </c>
      <c r="BZ27" s="2" t="s">
        <v>190</v>
      </c>
      <c r="CA27" s="2" t="s">
        <v>190</v>
      </c>
      <c r="CB27" s="2" t="s">
        <v>191</v>
      </c>
      <c r="CC27" s="2" t="s">
        <v>191</v>
      </c>
      <c r="CD27" s="2" t="s">
        <v>189</v>
      </c>
      <c r="CE27" s="2" t="s">
        <v>189</v>
      </c>
      <c r="CF27" s="2" t="s">
        <v>191</v>
      </c>
      <c r="CG27" s="2" t="s">
        <v>191</v>
      </c>
      <c r="CH27" s="2" t="s">
        <v>191</v>
      </c>
      <c r="CI27" s="2" t="s">
        <v>189</v>
      </c>
      <c r="CJ27" s="2" t="s">
        <v>189</v>
      </c>
      <c r="CK27" s="2" t="s">
        <v>189</v>
      </c>
      <c r="CL27" s="2" t="s">
        <v>189</v>
      </c>
      <c r="CM27" s="2" t="s">
        <v>193</v>
      </c>
      <c r="CN27" s="2" t="s">
        <v>193</v>
      </c>
      <c r="CO27" s="2" t="s">
        <v>193</v>
      </c>
      <c r="CP27" s="2" t="s">
        <v>193</v>
      </c>
      <c r="CQ27" s="2" t="s">
        <v>193</v>
      </c>
      <c r="CR27" s="2" t="s">
        <v>192</v>
      </c>
      <c r="CS27" s="2" t="s">
        <v>192</v>
      </c>
      <c r="CT27" s="2" t="s">
        <v>193</v>
      </c>
      <c r="CU27" s="2" t="s">
        <v>193</v>
      </c>
      <c r="CV27" s="2" t="s">
        <v>193</v>
      </c>
      <c r="CW27" s="2" t="s">
        <v>193</v>
      </c>
      <c r="CX27" s="2" t="s">
        <v>200</v>
      </c>
      <c r="CY27" s="2" t="s">
        <v>200</v>
      </c>
      <c r="CZ27" s="2" t="s">
        <v>193</v>
      </c>
      <c r="DA27" s="2" t="s">
        <v>193</v>
      </c>
      <c r="DB27" s="2" t="s">
        <v>193</v>
      </c>
      <c r="DC27" s="2" t="s">
        <v>192</v>
      </c>
      <c r="DD27" s="2" t="s">
        <v>192</v>
      </c>
      <c r="DE27" s="2" t="s">
        <v>193</v>
      </c>
      <c r="DF27" s="2" t="s">
        <v>193</v>
      </c>
      <c r="DG27" s="2" t="s">
        <v>194</v>
      </c>
      <c r="DH27" s="2" t="s">
        <v>194</v>
      </c>
      <c r="DI27" s="2" t="s">
        <v>194</v>
      </c>
      <c r="DJ27" s="2" t="s">
        <v>194</v>
      </c>
      <c r="DK27" s="2" t="s">
        <v>194</v>
      </c>
      <c r="DL27" s="2" t="s">
        <v>195</v>
      </c>
      <c r="DM27" s="2" t="s">
        <v>195</v>
      </c>
      <c r="DN27" s="2" t="s">
        <v>196</v>
      </c>
      <c r="DO27" s="2" t="s">
        <v>196</v>
      </c>
      <c r="DP27" s="2" t="s">
        <v>194</v>
      </c>
      <c r="DQ27" s="2" t="s">
        <v>195</v>
      </c>
      <c r="DR27" s="2" t="s">
        <v>195</v>
      </c>
      <c r="DS27" s="2" t="s">
        <v>197</v>
      </c>
      <c r="DT27" s="2" t="s">
        <v>198</v>
      </c>
      <c r="DU27" s="2" t="s">
        <v>198</v>
      </c>
      <c r="DV27" s="2" t="s">
        <v>198</v>
      </c>
      <c r="DW27" s="2" t="s">
        <v>198</v>
      </c>
      <c r="DX27" s="2" t="s">
        <v>198</v>
      </c>
      <c r="DY27" s="2" t="s">
        <v>198</v>
      </c>
      <c r="DZ27" s="2"/>
      <c r="EA27" s="2">
        <v>1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1</v>
      </c>
      <c r="EI27" s="2">
        <v>0</v>
      </c>
      <c r="EJ27" s="2">
        <v>1</v>
      </c>
      <c r="EK27" s="2">
        <v>0</v>
      </c>
      <c r="EL27" s="2">
        <v>1</v>
      </c>
      <c r="EM27" s="2">
        <v>0</v>
      </c>
      <c r="EN27" s="2">
        <v>0</v>
      </c>
      <c r="EO27" s="2">
        <v>1</v>
      </c>
      <c r="EP27" s="2">
        <v>0</v>
      </c>
      <c r="EQ27" s="2">
        <v>1</v>
      </c>
      <c r="ER27" s="2">
        <v>0</v>
      </c>
      <c r="ES27" s="2">
        <v>1</v>
      </c>
      <c r="ET27" s="2">
        <v>0</v>
      </c>
      <c r="EU27" s="2">
        <v>1</v>
      </c>
      <c r="EV27" s="2">
        <v>0</v>
      </c>
      <c r="EW27" s="2">
        <v>1</v>
      </c>
      <c r="EX27" s="2">
        <v>0</v>
      </c>
      <c r="EY27" s="2">
        <v>1</v>
      </c>
      <c r="EZ27" s="2">
        <v>0</v>
      </c>
      <c r="FA27" s="2">
        <v>1</v>
      </c>
      <c r="FB27" s="2">
        <v>0</v>
      </c>
      <c r="FC27" s="2">
        <v>1</v>
      </c>
      <c r="FD27" s="2">
        <v>0</v>
      </c>
      <c r="FE27" s="2">
        <v>0</v>
      </c>
      <c r="FF27" s="2">
        <v>1</v>
      </c>
      <c r="FG27" s="2">
        <v>0</v>
      </c>
      <c r="FH27" s="2">
        <v>1</v>
      </c>
      <c r="FI27" s="2">
        <v>0</v>
      </c>
      <c r="FJ27" s="2">
        <v>1</v>
      </c>
      <c r="FK27" s="2">
        <v>0</v>
      </c>
      <c r="FL27" s="2">
        <v>1</v>
      </c>
      <c r="FM27" s="2">
        <v>0</v>
      </c>
      <c r="FN27" s="2">
        <v>1</v>
      </c>
      <c r="FO27" s="2">
        <v>0</v>
      </c>
      <c r="FP27" s="2">
        <v>1</v>
      </c>
      <c r="FQ27" s="2">
        <v>1</v>
      </c>
      <c r="FR27" s="2">
        <v>0</v>
      </c>
      <c r="FS27" s="2">
        <v>1</v>
      </c>
      <c r="FT27" s="2">
        <v>0</v>
      </c>
      <c r="FU27" s="2">
        <v>1</v>
      </c>
      <c r="FV27" s="2">
        <v>0</v>
      </c>
      <c r="FW27" s="2">
        <v>1</v>
      </c>
      <c r="FX27" s="2">
        <v>0</v>
      </c>
      <c r="FY27" s="2">
        <v>1</v>
      </c>
      <c r="FZ27" s="2"/>
      <c r="GA27" s="7"/>
      <c r="GB27" s="7">
        <v>4</v>
      </c>
      <c r="GC27" s="7">
        <v>4</v>
      </c>
      <c r="GD27" s="7">
        <v>4</v>
      </c>
      <c r="GE27" s="7">
        <v>4</v>
      </c>
      <c r="GF27" s="7"/>
      <c r="GG27" s="7">
        <v>4</v>
      </c>
      <c r="GH27" s="7">
        <v>4</v>
      </c>
      <c r="GI27" s="7">
        <v>4</v>
      </c>
      <c r="GJ27" s="7">
        <v>4</v>
      </c>
      <c r="GK27" s="7">
        <v>4</v>
      </c>
      <c r="GL27" s="7"/>
      <c r="GM27" s="7">
        <f t="shared" si="0"/>
        <v>16</v>
      </c>
      <c r="GN27" s="7">
        <f t="shared" si="1"/>
        <v>20</v>
      </c>
      <c r="GO27" s="7"/>
      <c r="GP27" s="2">
        <v>3</v>
      </c>
      <c r="GQ27" s="2">
        <v>1</v>
      </c>
      <c r="GR27" s="2">
        <v>1</v>
      </c>
      <c r="GS27" s="2">
        <v>1</v>
      </c>
      <c r="GU27" s="2">
        <v>1</v>
      </c>
      <c r="GV27" s="2">
        <v>1</v>
      </c>
      <c r="GW27" s="2">
        <v>2</v>
      </c>
      <c r="GY27" s="2">
        <v>3</v>
      </c>
      <c r="GZ27" s="2">
        <v>1</v>
      </c>
      <c r="HA27" s="2">
        <v>1</v>
      </c>
      <c r="HB27" s="2">
        <v>1</v>
      </c>
      <c r="HD27" s="2">
        <v>2</v>
      </c>
      <c r="HE27" s="2">
        <v>1</v>
      </c>
      <c r="HF27" s="2">
        <v>2</v>
      </c>
      <c r="HH27" s="2">
        <f t="shared" si="2"/>
        <v>10</v>
      </c>
      <c r="HI27" s="2">
        <f t="shared" si="3"/>
        <v>11</v>
      </c>
      <c r="HJ27" s="2"/>
      <c r="HK27" s="2">
        <v>8</v>
      </c>
      <c r="HL27" s="2">
        <v>9</v>
      </c>
      <c r="HM27" s="2"/>
      <c r="HN27" s="2"/>
    </row>
    <row r="28" spans="1:222" ht="15.75" customHeight="1" x14ac:dyDescent="0.2">
      <c r="A28" s="3" t="e">
        <f>VLOOKUP(B28,#REF!,1,FALSE)</f>
        <v>#REF!</v>
      </c>
      <c r="B28" s="3">
        <v>44641.803966354164</v>
      </c>
      <c r="C28" s="2">
        <v>30</v>
      </c>
      <c r="D28" s="2" t="s">
        <v>185</v>
      </c>
      <c r="E28" s="2">
        <v>0</v>
      </c>
      <c r="F28" s="2" t="s">
        <v>186</v>
      </c>
      <c r="G28" s="2">
        <v>15</v>
      </c>
      <c r="H28" s="2">
        <v>2</v>
      </c>
      <c r="I28" s="2">
        <v>0</v>
      </c>
      <c r="J28" s="2">
        <v>3</v>
      </c>
      <c r="K28" s="2">
        <v>0</v>
      </c>
      <c r="L28" s="2">
        <v>4</v>
      </c>
      <c r="M28" s="2" t="s">
        <v>187</v>
      </c>
      <c r="N28" s="2">
        <v>2</v>
      </c>
      <c r="O28" s="2">
        <v>1</v>
      </c>
      <c r="P28" s="2">
        <v>0</v>
      </c>
      <c r="Q28" s="2">
        <v>0</v>
      </c>
      <c r="R28" s="2">
        <v>2</v>
      </c>
      <c r="S28" s="2">
        <v>-1</v>
      </c>
      <c r="T28" s="2">
        <v>-1</v>
      </c>
      <c r="U28" s="2">
        <v>-1</v>
      </c>
      <c r="V28" s="2">
        <v>-1</v>
      </c>
      <c r="W28" s="2">
        <v>1</v>
      </c>
      <c r="X28" s="2"/>
      <c r="Y28" s="2">
        <v>-1</v>
      </c>
      <c r="Z28" s="2">
        <v>1</v>
      </c>
      <c r="AA28" s="2">
        <v>1</v>
      </c>
      <c r="AB28" s="2">
        <v>0</v>
      </c>
      <c r="AC28" s="2">
        <v>0</v>
      </c>
      <c r="AD28" s="2">
        <v>2</v>
      </c>
      <c r="AE28" s="2">
        <v>4</v>
      </c>
      <c r="AF28" s="2">
        <v>2</v>
      </c>
      <c r="AG28" s="2">
        <v>-3</v>
      </c>
      <c r="AH28" s="2">
        <v>2</v>
      </c>
      <c r="AI28" s="2">
        <v>-3</v>
      </c>
      <c r="AJ28" s="2">
        <v>-3</v>
      </c>
      <c r="AK28" s="2">
        <v>-3</v>
      </c>
      <c r="AL28" s="2">
        <v>-1</v>
      </c>
      <c r="AM28" s="2">
        <v>4</v>
      </c>
      <c r="AN28" s="2">
        <v>5</v>
      </c>
      <c r="AO28" s="2">
        <v>5</v>
      </c>
      <c r="AP28" s="2">
        <v>3</v>
      </c>
      <c r="AQ28" s="2">
        <v>5</v>
      </c>
      <c r="AR28" s="2">
        <v>4</v>
      </c>
      <c r="AS28" s="2">
        <v>2</v>
      </c>
      <c r="AT28" s="2">
        <v>2</v>
      </c>
      <c r="AU28" s="2">
        <v>1</v>
      </c>
      <c r="AV28" s="2"/>
      <c r="AW28" s="2">
        <v>3</v>
      </c>
      <c r="AX28" s="2">
        <v>0</v>
      </c>
      <c r="AY28" s="2">
        <v>1</v>
      </c>
      <c r="AZ28" s="2">
        <v>4</v>
      </c>
      <c r="BA28" s="2">
        <v>4</v>
      </c>
      <c r="BB28" s="2">
        <v>5</v>
      </c>
      <c r="BC28" s="2">
        <v>3</v>
      </c>
      <c r="BD28" s="2">
        <v>5</v>
      </c>
      <c r="BE28" s="2">
        <v>1</v>
      </c>
      <c r="BF28" s="2">
        <v>3</v>
      </c>
      <c r="BG28" s="2">
        <v>4</v>
      </c>
      <c r="BH28" s="2">
        <v>3</v>
      </c>
      <c r="BI28" s="2"/>
      <c r="BJ28" s="2">
        <v>4</v>
      </c>
      <c r="BK28" s="2">
        <v>0</v>
      </c>
      <c r="BL28" s="2">
        <v>1</v>
      </c>
      <c r="BM28" s="2">
        <v>5</v>
      </c>
      <c r="BN28" s="2">
        <v>8</v>
      </c>
      <c r="BO28" s="2">
        <v>6</v>
      </c>
      <c r="BP28" s="2"/>
      <c r="BQ28" s="2"/>
      <c r="BR28" s="2"/>
      <c r="BS28" s="2"/>
      <c r="BT28" s="2"/>
      <c r="BU28" s="2"/>
      <c r="BV28" s="2"/>
      <c r="BW28" s="2"/>
      <c r="BX28" s="2" t="s">
        <v>191</v>
      </c>
      <c r="BY28" s="2" t="s">
        <v>190</v>
      </c>
      <c r="BZ28" s="2" t="s">
        <v>190</v>
      </c>
      <c r="CA28" s="2" t="s">
        <v>191</v>
      </c>
      <c r="CB28" s="2" t="s">
        <v>189</v>
      </c>
      <c r="CC28" s="2" t="s">
        <v>189</v>
      </c>
      <c r="CD28" s="2" t="s">
        <v>191</v>
      </c>
      <c r="CE28" s="2" t="s">
        <v>188</v>
      </c>
      <c r="CF28" s="2" t="s">
        <v>189</v>
      </c>
      <c r="CG28" s="2" t="s">
        <v>191</v>
      </c>
      <c r="CH28" s="2" t="s">
        <v>189</v>
      </c>
      <c r="CI28" s="2" t="s">
        <v>189</v>
      </c>
      <c r="CJ28" s="2" t="s">
        <v>189</v>
      </c>
      <c r="CK28" s="2" t="s">
        <v>189</v>
      </c>
      <c r="CL28" s="2" t="s">
        <v>189</v>
      </c>
      <c r="CM28" s="2" t="s">
        <v>200</v>
      </c>
      <c r="CN28" s="2" t="s">
        <v>192</v>
      </c>
      <c r="CO28" s="2" t="s">
        <v>193</v>
      </c>
      <c r="CP28" s="2" t="s">
        <v>200</v>
      </c>
      <c r="CQ28" s="2" t="s">
        <v>192</v>
      </c>
      <c r="CR28" s="2" t="s">
        <v>193</v>
      </c>
      <c r="CS28" s="2" t="s">
        <v>192</v>
      </c>
      <c r="CT28" s="2" t="s">
        <v>192</v>
      </c>
      <c r="CU28" s="2" t="s">
        <v>192</v>
      </c>
      <c r="CV28" s="2" t="s">
        <v>192</v>
      </c>
      <c r="CW28" s="2" t="s">
        <v>200</v>
      </c>
      <c r="CX28" s="2" t="s">
        <v>192</v>
      </c>
      <c r="CY28" s="2" t="s">
        <v>192</v>
      </c>
      <c r="CZ28" s="2" t="s">
        <v>200</v>
      </c>
      <c r="DA28" s="2" t="s">
        <v>193</v>
      </c>
      <c r="DB28" s="2" t="s">
        <v>192</v>
      </c>
      <c r="DC28" s="2" t="s">
        <v>192</v>
      </c>
      <c r="DD28" s="2" t="s">
        <v>200</v>
      </c>
      <c r="DE28" s="2" t="s">
        <v>193</v>
      </c>
      <c r="DF28" s="2" t="s">
        <v>200</v>
      </c>
      <c r="DG28" s="2" t="s">
        <v>194</v>
      </c>
      <c r="DH28" s="2" t="s">
        <v>194</v>
      </c>
      <c r="DI28" s="2" t="s">
        <v>195</v>
      </c>
      <c r="DJ28" s="2" t="s">
        <v>194</v>
      </c>
      <c r="DK28" s="2" t="s">
        <v>194</v>
      </c>
      <c r="DL28" s="2" t="s">
        <v>194</v>
      </c>
      <c r="DM28" s="2" t="s">
        <v>194</v>
      </c>
      <c r="DN28" s="2" t="s">
        <v>195</v>
      </c>
      <c r="DO28" s="2" t="s">
        <v>195</v>
      </c>
      <c r="DP28" s="2" t="s">
        <v>194</v>
      </c>
      <c r="DQ28" s="2" t="s">
        <v>195</v>
      </c>
      <c r="DR28" s="2" t="s">
        <v>195</v>
      </c>
      <c r="DS28" s="2" t="s">
        <v>197</v>
      </c>
      <c r="DT28" s="2" t="s">
        <v>197</v>
      </c>
      <c r="DU28" s="2" t="s">
        <v>197</v>
      </c>
      <c r="DV28" s="2" t="s">
        <v>197</v>
      </c>
      <c r="DW28" s="2" t="s">
        <v>197</v>
      </c>
      <c r="DX28" s="2" t="s">
        <v>197</v>
      </c>
      <c r="DY28" s="2" t="s">
        <v>197</v>
      </c>
      <c r="DZ28" s="2"/>
      <c r="EA28" s="2">
        <v>1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1</v>
      </c>
      <c r="EI28" s="2">
        <v>1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1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1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/>
      <c r="GA28" s="2">
        <v>4</v>
      </c>
      <c r="GB28" s="2">
        <v>5</v>
      </c>
      <c r="GC28" s="2">
        <v>5</v>
      </c>
      <c r="GD28" s="2">
        <v>3</v>
      </c>
      <c r="GE28" s="2">
        <v>5</v>
      </c>
      <c r="GG28" s="2">
        <v>4</v>
      </c>
      <c r="GH28" s="2">
        <v>4</v>
      </c>
      <c r="GI28" s="2">
        <v>5</v>
      </c>
      <c r="GJ28" s="2">
        <v>3</v>
      </c>
      <c r="GK28" s="2">
        <v>5</v>
      </c>
      <c r="GM28" s="2">
        <f t="shared" si="0"/>
        <v>22</v>
      </c>
      <c r="GN28" s="2">
        <f t="shared" si="1"/>
        <v>21</v>
      </c>
      <c r="GO28" s="2"/>
      <c r="GP28" s="2">
        <v>4</v>
      </c>
      <c r="GQ28" s="2">
        <v>2</v>
      </c>
      <c r="GR28" s="2">
        <v>2</v>
      </c>
      <c r="GS28" s="2">
        <v>1</v>
      </c>
      <c r="GU28" s="2">
        <v>3</v>
      </c>
      <c r="GV28" s="2">
        <v>0</v>
      </c>
      <c r="GW28" s="2">
        <v>1</v>
      </c>
      <c r="GY28" s="2">
        <v>1</v>
      </c>
      <c r="GZ28" s="2">
        <v>3</v>
      </c>
      <c r="HA28" s="2">
        <v>4</v>
      </c>
      <c r="HB28" s="2">
        <v>3</v>
      </c>
      <c r="HD28" s="2">
        <v>4</v>
      </c>
      <c r="HE28" s="2">
        <v>0</v>
      </c>
      <c r="HF28" s="2">
        <v>1</v>
      </c>
      <c r="HH28" s="2">
        <f t="shared" si="2"/>
        <v>13</v>
      </c>
      <c r="HI28" s="2">
        <f t="shared" si="3"/>
        <v>16</v>
      </c>
      <c r="HJ28" s="2"/>
      <c r="HK28" s="2">
        <v>8</v>
      </c>
      <c r="HL28" s="2">
        <v>6</v>
      </c>
      <c r="HM28" s="2"/>
      <c r="HN28" s="2"/>
    </row>
    <row r="29" spans="1:222" ht="15.75" customHeight="1" x14ac:dyDescent="0.2">
      <c r="A29" s="3" t="e">
        <f>VLOOKUP(B29,#REF!,1,FALSE)</f>
        <v>#REF!</v>
      </c>
      <c r="B29" s="3">
        <v>44641.815545671299</v>
      </c>
      <c r="C29" s="2">
        <v>31</v>
      </c>
      <c r="D29" s="2" t="s">
        <v>185</v>
      </c>
      <c r="E29" s="2">
        <v>0</v>
      </c>
      <c r="F29" s="2" t="s">
        <v>232</v>
      </c>
      <c r="G29" s="2">
        <v>8</v>
      </c>
      <c r="H29" s="2">
        <v>2</v>
      </c>
      <c r="I29" s="2">
        <v>1</v>
      </c>
      <c r="J29" s="2">
        <v>2</v>
      </c>
      <c r="K29" s="2">
        <v>0</v>
      </c>
      <c r="L29" s="2">
        <v>4</v>
      </c>
      <c r="M29" s="2" t="s">
        <v>187</v>
      </c>
      <c r="N29" s="2">
        <v>2</v>
      </c>
      <c r="O29" s="2">
        <v>3</v>
      </c>
      <c r="P29" s="2">
        <v>0</v>
      </c>
      <c r="Q29" s="2">
        <v>2</v>
      </c>
      <c r="R29" s="2">
        <v>2</v>
      </c>
      <c r="S29" s="2">
        <v>-1</v>
      </c>
      <c r="T29" s="2">
        <v>-1</v>
      </c>
      <c r="U29" s="2">
        <v>1</v>
      </c>
      <c r="V29" s="2">
        <v>-1</v>
      </c>
      <c r="W29" s="2">
        <v>-1</v>
      </c>
      <c r="X29" s="2"/>
      <c r="Y29" s="2">
        <v>-1</v>
      </c>
      <c r="Z29" s="2">
        <v>0</v>
      </c>
      <c r="AA29" s="2">
        <v>1</v>
      </c>
      <c r="AB29" s="2">
        <v>1</v>
      </c>
      <c r="AC29" s="2">
        <v>0</v>
      </c>
      <c r="AD29" s="2">
        <v>1</v>
      </c>
      <c r="AE29" s="2">
        <v>1</v>
      </c>
      <c r="AF29" s="2">
        <v>4</v>
      </c>
      <c r="AG29" s="2">
        <v>2</v>
      </c>
      <c r="AH29" s="2">
        <v>2</v>
      </c>
      <c r="AI29" s="2">
        <v>1</v>
      </c>
      <c r="AJ29" s="2">
        <v>2</v>
      </c>
      <c r="AK29" s="2">
        <v>1</v>
      </c>
      <c r="AL29" s="2">
        <v>2</v>
      </c>
      <c r="AM29" s="2">
        <v>4</v>
      </c>
      <c r="AN29" s="2">
        <v>4</v>
      </c>
      <c r="AO29" s="2">
        <v>3</v>
      </c>
      <c r="AP29" s="2">
        <v>2</v>
      </c>
      <c r="AQ29" s="2">
        <v>5</v>
      </c>
      <c r="AR29" s="2">
        <v>3</v>
      </c>
      <c r="AS29" s="2">
        <v>1</v>
      </c>
      <c r="AT29" s="2">
        <v>2</v>
      </c>
      <c r="AU29" s="2">
        <v>2</v>
      </c>
      <c r="AV29" s="2"/>
      <c r="AW29" s="2">
        <v>3</v>
      </c>
      <c r="AX29" s="2">
        <v>1</v>
      </c>
      <c r="AY29" s="2">
        <v>0</v>
      </c>
      <c r="AZ29" s="2">
        <v>4</v>
      </c>
      <c r="BA29" s="2">
        <v>4</v>
      </c>
      <c r="BB29" s="2">
        <v>2</v>
      </c>
      <c r="BC29" s="2">
        <v>3</v>
      </c>
      <c r="BD29" s="2">
        <v>2</v>
      </c>
      <c r="BE29" s="2">
        <v>3</v>
      </c>
      <c r="BF29" s="2">
        <v>1</v>
      </c>
      <c r="BG29" s="2">
        <v>2</v>
      </c>
      <c r="BH29" s="2">
        <v>2</v>
      </c>
      <c r="BI29" s="2"/>
      <c r="BJ29" s="2">
        <v>3</v>
      </c>
      <c r="BK29" s="2">
        <v>0</v>
      </c>
      <c r="BL29" s="2">
        <v>0</v>
      </c>
      <c r="BM29" s="2">
        <v>6</v>
      </c>
      <c r="BN29" s="2">
        <v>6</v>
      </c>
      <c r="BO29" s="2">
        <v>6</v>
      </c>
      <c r="BP29" s="2"/>
      <c r="BQ29" s="2"/>
      <c r="BR29" s="2"/>
      <c r="BS29" s="2"/>
      <c r="BT29" s="2"/>
      <c r="BU29" s="2"/>
      <c r="BV29" s="2" t="s">
        <v>299</v>
      </c>
      <c r="BW29" s="2" t="s">
        <v>300</v>
      </c>
      <c r="BX29" s="2" t="s">
        <v>190</v>
      </c>
      <c r="BY29" s="2" t="s">
        <v>188</v>
      </c>
      <c r="BZ29" s="2" t="s">
        <v>188</v>
      </c>
      <c r="CA29" s="2" t="s">
        <v>188</v>
      </c>
      <c r="CB29" s="2" t="s">
        <v>188</v>
      </c>
      <c r="CC29" s="2" t="s">
        <v>190</v>
      </c>
      <c r="CD29" s="2" t="s">
        <v>189</v>
      </c>
      <c r="CE29" s="2" t="s">
        <v>191</v>
      </c>
      <c r="CF29" s="2" t="s">
        <v>188</v>
      </c>
      <c r="CG29" s="2" t="s">
        <v>189</v>
      </c>
      <c r="CH29" s="2" t="s">
        <v>191</v>
      </c>
      <c r="CI29" s="2" t="s">
        <v>191</v>
      </c>
      <c r="CJ29" s="2" t="s">
        <v>191</v>
      </c>
      <c r="CK29" s="2" t="s">
        <v>189</v>
      </c>
      <c r="CL29" s="2" t="s">
        <v>188</v>
      </c>
      <c r="CM29" s="2" t="s">
        <v>192</v>
      </c>
      <c r="CN29" s="2" t="s">
        <v>193</v>
      </c>
      <c r="CO29" s="2" t="s">
        <v>200</v>
      </c>
      <c r="CP29" s="2" t="s">
        <v>193</v>
      </c>
      <c r="CQ29" s="2" t="s">
        <v>192</v>
      </c>
      <c r="CR29" s="2" t="s">
        <v>200</v>
      </c>
      <c r="CS29" s="2" t="s">
        <v>200</v>
      </c>
      <c r="CT29" s="2" t="s">
        <v>192</v>
      </c>
      <c r="CU29" s="2" t="s">
        <v>192</v>
      </c>
      <c r="CV29" s="2" t="s">
        <v>200</v>
      </c>
      <c r="CW29" s="2" t="s">
        <v>200</v>
      </c>
      <c r="CX29" s="2" t="s">
        <v>200</v>
      </c>
      <c r="CY29" s="2" t="s">
        <v>192</v>
      </c>
      <c r="CZ29" s="2" t="s">
        <v>200</v>
      </c>
      <c r="DA29" s="2" t="s">
        <v>200</v>
      </c>
      <c r="DB29" s="2" t="s">
        <v>200</v>
      </c>
      <c r="DC29" s="2" t="s">
        <v>192</v>
      </c>
      <c r="DD29" s="2" t="s">
        <v>193</v>
      </c>
      <c r="DE29" s="2" t="s">
        <v>192</v>
      </c>
      <c r="DF29" s="2" t="s">
        <v>193</v>
      </c>
      <c r="DG29" s="2" t="s">
        <v>195</v>
      </c>
      <c r="DH29" s="2" t="s">
        <v>195</v>
      </c>
      <c r="DI29" s="2" t="s">
        <v>195</v>
      </c>
      <c r="DJ29" s="2" t="s">
        <v>194</v>
      </c>
      <c r="DK29" s="2" t="s">
        <v>194</v>
      </c>
      <c r="DL29" s="2" t="s">
        <v>194</v>
      </c>
      <c r="DM29" s="2" t="s">
        <v>194</v>
      </c>
      <c r="DN29" s="2" t="s">
        <v>220</v>
      </c>
      <c r="DO29" s="2" t="s">
        <v>220</v>
      </c>
      <c r="DP29" s="2" t="s">
        <v>196</v>
      </c>
      <c r="DQ29" s="2" t="s">
        <v>195</v>
      </c>
      <c r="DR29" s="2" t="s">
        <v>195</v>
      </c>
      <c r="DS29" s="2" t="s">
        <v>198</v>
      </c>
      <c r="DT29" s="2" t="s">
        <v>199</v>
      </c>
      <c r="DU29" s="2" t="s">
        <v>222</v>
      </c>
      <c r="DV29" s="2" t="s">
        <v>197</v>
      </c>
      <c r="DW29" s="2" t="s">
        <v>197</v>
      </c>
      <c r="DX29" s="2" t="s">
        <v>222</v>
      </c>
      <c r="DY29" s="2" t="s">
        <v>197</v>
      </c>
      <c r="DZ29" s="2"/>
      <c r="EA29" s="2">
        <v>0</v>
      </c>
      <c r="EB29" s="2">
        <v>1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1</v>
      </c>
      <c r="EI29" s="2">
        <v>0</v>
      </c>
      <c r="EJ29" s="2">
        <v>1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1</v>
      </c>
      <c r="EQ29" s="2">
        <v>0</v>
      </c>
      <c r="ER29" s="2">
        <v>1</v>
      </c>
      <c r="ES29" s="2">
        <v>0</v>
      </c>
      <c r="ET29" s="2">
        <v>1</v>
      </c>
      <c r="EU29" s="2">
        <v>0</v>
      </c>
      <c r="EV29" s="2">
        <v>0</v>
      </c>
      <c r="EW29" s="2">
        <v>0</v>
      </c>
      <c r="EX29" s="2">
        <v>0</v>
      </c>
      <c r="EY29" s="2">
        <v>1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1</v>
      </c>
      <c r="FH29" s="2">
        <v>1</v>
      </c>
      <c r="FI29" s="2">
        <v>1</v>
      </c>
      <c r="FJ29" s="2">
        <v>0</v>
      </c>
      <c r="FK29" s="2">
        <v>0</v>
      </c>
      <c r="FL29" s="2">
        <v>1</v>
      </c>
      <c r="FM29" s="2">
        <v>1</v>
      </c>
      <c r="FN29" s="2">
        <v>0</v>
      </c>
      <c r="FO29" s="2">
        <v>0</v>
      </c>
      <c r="FP29" s="2">
        <v>0</v>
      </c>
      <c r="FQ29" s="2">
        <v>0</v>
      </c>
      <c r="FR29" s="2">
        <v>1</v>
      </c>
      <c r="FS29" s="2">
        <v>1</v>
      </c>
      <c r="FT29" s="2">
        <v>1</v>
      </c>
      <c r="FU29" s="2">
        <v>1</v>
      </c>
      <c r="FV29" s="2">
        <v>0</v>
      </c>
      <c r="FW29" s="2">
        <v>0</v>
      </c>
      <c r="FX29" s="2">
        <v>0</v>
      </c>
      <c r="FY29" s="2">
        <v>0</v>
      </c>
      <c r="FZ29" s="2"/>
      <c r="GA29" s="2">
        <v>4</v>
      </c>
      <c r="GB29" s="2">
        <v>4</v>
      </c>
      <c r="GC29" s="2">
        <v>3</v>
      </c>
      <c r="GD29" s="2">
        <v>2</v>
      </c>
      <c r="GE29" s="2">
        <v>5</v>
      </c>
      <c r="GG29" s="2">
        <v>4</v>
      </c>
      <c r="GH29" s="2">
        <v>4</v>
      </c>
      <c r="GI29" s="2">
        <v>2</v>
      </c>
      <c r="GJ29" s="2">
        <v>3</v>
      </c>
      <c r="GK29" s="2">
        <v>2</v>
      </c>
      <c r="GM29" s="2">
        <f t="shared" si="0"/>
        <v>18</v>
      </c>
      <c r="GN29" s="2">
        <f t="shared" si="1"/>
        <v>15</v>
      </c>
      <c r="GO29" s="2"/>
      <c r="GP29" s="2">
        <v>3</v>
      </c>
      <c r="GQ29" s="2">
        <v>1</v>
      </c>
      <c r="GR29" s="2">
        <v>2</v>
      </c>
      <c r="GS29" s="2">
        <v>2</v>
      </c>
      <c r="GU29" s="2">
        <v>3</v>
      </c>
      <c r="GV29" s="2">
        <v>1</v>
      </c>
      <c r="GW29" s="2">
        <v>0</v>
      </c>
      <c r="GY29" s="2">
        <v>3</v>
      </c>
      <c r="GZ29" s="2">
        <v>1</v>
      </c>
      <c r="HA29" s="2">
        <v>2</v>
      </c>
      <c r="HB29" s="2">
        <v>2</v>
      </c>
      <c r="HD29" s="2">
        <v>3</v>
      </c>
      <c r="HE29" s="2">
        <v>0</v>
      </c>
      <c r="HF29" s="2">
        <v>0</v>
      </c>
      <c r="HH29" s="2">
        <f t="shared" si="2"/>
        <v>12</v>
      </c>
      <c r="HI29" s="2">
        <f t="shared" si="3"/>
        <v>11</v>
      </c>
      <c r="HJ29" s="2"/>
      <c r="HK29" s="2">
        <v>6</v>
      </c>
      <c r="HL29" s="2">
        <v>6</v>
      </c>
      <c r="HM29" s="2"/>
      <c r="HN29" s="2"/>
    </row>
    <row r="30" spans="1:222" ht="15.75" customHeight="1" x14ac:dyDescent="0.2">
      <c r="A30" s="3" t="e">
        <f>VLOOKUP(B30,#REF!,1,FALSE)</f>
        <v>#REF!</v>
      </c>
      <c r="B30" s="3">
        <v>44641.856554143516</v>
      </c>
      <c r="C30" s="2">
        <v>32</v>
      </c>
      <c r="D30" s="2" t="s">
        <v>185</v>
      </c>
      <c r="E30" s="2">
        <v>0</v>
      </c>
      <c r="F30" s="2" t="s">
        <v>237</v>
      </c>
      <c r="G30" s="2">
        <v>2</v>
      </c>
      <c r="H30" s="2">
        <v>2</v>
      </c>
      <c r="I30" s="2">
        <v>1</v>
      </c>
      <c r="J30" s="2">
        <v>5</v>
      </c>
      <c r="K30" s="2">
        <v>0</v>
      </c>
      <c r="L30" s="2">
        <v>3</v>
      </c>
      <c r="M30" s="2" t="s">
        <v>187</v>
      </c>
      <c r="N30" s="2">
        <v>2</v>
      </c>
      <c r="O30" s="2">
        <v>3</v>
      </c>
      <c r="P30" s="2">
        <v>0</v>
      </c>
      <c r="Q30" s="2">
        <v>0</v>
      </c>
      <c r="R30" s="2">
        <v>3</v>
      </c>
      <c r="S30" s="2">
        <v>0</v>
      </c>
      <c r="T30" s="2">
        <v>-1</v>
      </c>
      <c r="U30" s="2">
        <v>1</v>
      </c>
      <c r="V30" s="2">
        <v>-1</v>
      </c>
      <c r="W30" s="2">
        <v>1</v>
      </c>
      <c r="X30" s="2"/>
      <c r="Y30" s="2">
        <v>-1</v>
      </c>
      <c r="Z30" s="2">
        <v>1</v>
      </c>
      <c r="AA30" s="2">
        <v>1</v>
      </c>
      <c r="AB30" s="2">
        <v>2</v>
      </c>
      <c r="AC30" s="2">
        <v>4</v>
      </c>
      <c r="AD30" s="2">
        <v>1</v>
      </c>
      <c r="AE30" s="2">
        <v>2</v>
      </c>
      <c r="AF30" s="2">
        <v>4</v>
      </c>
      <c r="AG30" s="2">
        <v>3</v>
      </c>
      <c r="AH30" s="2">
        <v>3</v>
      </c>
      <c r="AI30" s="2">
        <v>3</v>
      </c>
      <c r="AJ30" s="2">
        <v>2</v>
      </c>
      <c r="AK30" s="2">
        <v>-1</v>
      </c>
      <c r="AL30" s="2">
        <v>1</v>
      </c>
      <c r="AM30" s="2">
        <v>4</v>
      </c>
      <c r="AN30" s="2">
        <v>4</v>
      </c>
      <c r="AO30" s="2">
        <v>4</v>
      </c>
      <c r="AP30" s="2">
        <v>3</v>
      </c>
      <c r="AQ30" s="2">
        <v>2</v>
      </c>
      <c r="AR30" s="2">
        <v>3</v>
      </c>
      <c r="AS30" s="2">
        <v>2</v>
      </c>
      <c r="AT30" s="2">
        <v>0</v>
      </c>
      <c r="AU30" s="2">
        <v>0</v>
      </c>
      <c r="AV30" s="2"/>
      <c r="AW30" s="2">
        <v>2</v>
      </c>
      <c r="AX30" s="2">
        <v>1</v>
      </c>
      <c r="AY30" s="2">
        <v>2</v>
      </c>
      <c r="AZ30" s="2">
        <v>4</v>
      </c>
      <c r="BA30" s="2">
        <v>4</v>
      </c>
      <c r="BB30" s="2">
        <v>3</v>
      </c>
      <c r="BC30" s="2">
        <v>4</v>
      </c>
      <c r="BD30" s="2">
        <v>1</v>
      </c>
      <c r="BE30" s="2">
        <v>2</v>
      </c>
      <c r="BF30" s="2">
        <v>1</v>
      </c>
      <c r="BG30" s="2">
        <v>1</v>
      </c>
      <c r="BH30" s="2">
        <v>1</v>
      </c>
      <c r="BI30" s="2"/>
      <c r="BJ30" s="2">
        <v>2</v>
      </c>
      <c r="BK30" s="2">
        <v>0</v>
      </c>
      <c r="BL30" s="2">
        <v>1</v>
      </c>
      <c r="BM30" s="2">
        <v>8</v>
      </c>
      <c r="BN30" s="2">
        <v>8</v>
      </c>
      <c r="BO30" s="2">
        <v>7</v>
      </c>
      <c r="BP30" s="2"/>
      <c r="BQ30" s="2"/>
      <c r="BR30" s="2"/>
      <c r="BS30" s="2"/>
      <c r="BT30" s="2" t="e">
        <f>- มีภาวะความเสี่ยงต่อออฟฟิศซินโดรมมากขึ้น</f>
        <v>#NAME?</v>
      </c>
      <c r="BU30" s="2" t="e">
        <f>- มีเวลานอนพักผ่อนมากขึ้น เนื่องจากไม่ต้องเดินทางทำให้สามารถตื่นสายได้กว่าเดิมในขณะที่ยังสามารถเข้างานตรงเวลาได้</f>
        <v>#NAME?</v>
      </c>
      <c r="BV30" s="2" t="e">
        <f>- การทำงานและสภาพแวดล้อมถูกปรับให้อยู่ในรูปแบบออนไลน์ทำให้สะดวกมากขึ้น
- ลดเวลาในการเดินทาง ประหยัดเวลาและค่าใช้จ่าย
- มีเวลาในการพักผ่อน relax สั้น ๆ ระหว่างการทำงานมากขึ้น</f>
        <v>#NAME?</v>
      </c>
      <c r="BW30" s="2" t="e">
        <f>- เวลาและปริมาณในการทำงานและการประชุมเยอะขึ่นกว่าการทำที่ออฟฟิศ
- คุยงานได้ไม่สะดวกเท่าที่ออฟฟิศ
- การทำงานอยู่ในพื้นที่ที่จำกัดกว่าที่ออฟฟิศ
- มีภาวะความเสี่ยงต่อออฟฟิศซินโดรม โดยมีอาการปวดเมื่อยมากขึ้นเนื่องจากใช้เวลาทำงานและประชุมอยู่หน้าคอมพิวเตอร์นานกว่าอยู่ที่ออฟฟิศที่ปกติจะต้องมีการเดินทางไปพบปะลูกค้าอยู่บ่อย ๆ หรือมีการเคลื่อนไหวอยู่ตลอด</f>
        <v>#NAME?</v>
      </c>
      <c r="BX30" s="2" t="s">
        <v>190</v>
      </c>
      <c r="BY30" s="2" t="s">
        <v>188</v>
      </c>
      <c r="BZ30" s="2" t="s">
        <v>188</v>
      </c>
      <c r="CA30" s="2" t="s">
        <v>188</v>
      </c>
      <c r="CB30" s="2" t="s">
        <v>188</v>
      </c>
      <c r="CC30" s="2" t="s">
        <v>191</v>
      </c>
      <c r="CD30" s="2" t="s">
        <v>189</v>
      </c>
      <c r="CE30" s="2" t="s">
        <v>188</v>
      </c>
      <c r="CF30" s="2" t="s">
        <v>188</v>
      </c>
      <c r="CG30" s="2" t="s">
        <v>189</v>
      </c>
      <c r="CH30" s="2" t="s">
        <v>188</v>
      </c>
      <c r="CI30" s="2" t="s">
        <v>189</v>
      </c>
      <c r="CJ30" s="2" t="s">
        <v>189</v>
      </c>
      <c r="CK30" s="2" t="s">
        <v>189</v>
      </c>
      <c r="CL30" s="2" t="s">
        <v>190</v>
      </c>
      <c r="CM30" s="2" t="s">
        <v>192</v>
      </c>
      <c r="CN30" s="2" t="s">
        <v>192</v>
      </c>
      <c r="CO30" s="2" t="s">
        <v>193</v>
      </c>
      <c r="CP30" s="2" t="s">
        <v>193</v>
      </c>
      <c r="CQ30" s="2" t="s">
        <v>192</v>
      </c>
      <c r="CR30" s="2" t="s">
        <v>200</v>
      </c>
      <c r="CS30" s="2" t="s">
        <v>193</v>
      </c>
      <c r="CT30" s="2" t="s">
        <v>192</v>
      </c>
      <c r="CU30" s="2" t="s">
        <v>192</v>
      </c>
      <c r="CV30" s="2" t="s">
        <v>193</v>
      </c>
      <c r="CW30" s="2" t="s">
        <v>193</v>
      </c>
      <c r="CX30" s="2" t="s">
        <v>193</v>
      </c>
      <c r="CY30" s="2" t="s">
        <v>192</v>
      </c>
      <c r="CZ30" s="2" t="s">
        <v>192</v>
      </c>
      <c r="DA30" s="2" t="s">
        <v>193</v>
      </c>
      <c r="DB30" s="2" t="s">
        <v>192</v>
      </c>
      <c r="DC30" s="2" t="s">
        <v>192</v>
      </c>
      <c r="DD30" s="2" t="s">
        <v>192</v>
      </c>
      <c r="DE30" s="2" t="s">
        <v>192</v>
      </c>
      <c r="DF30" s="2" t="s">
        <v>200</v>
      </c>
      <c r="DG30" s="2" t="s">
        <v>195</v>
      </c>
      <c r="DH30" s="2" t="s">
        <v>201</v>
      </c>
      <c r="DI30" s="2" t="s">
        <v>195</v>
      </c>
      <c r="DJ30" s="2" t="s">
        <v>195</v>
      </c>
      <c r="DK30" s="2" t="s">
        <v>194</v>
      </c>
      <c r="DL30" s="2" t="s">
        <v>194</v>
      </c>
      <c r="DM30" s="2" t="s">
        <v>194</v>
      </c>
      <c r="DN30" s="2" t="s">
        <v>194</v>
      </c>
      <c r="DO30" s="2" t="s">
        <v>220</v>
      </c>
      <c r="DP30" s="2" t="s">
        <v>196</v>
      </c>
      <c r="DQ30" s="2" t="s">
        <v>194</v>
      </c>
      <c r="DR30" s="2" t="s">
        <v>194</v>
      </c>
      <c r="DS30" s="2" t="s">
        <v>197</v>
      </c>
      <c r="DT30" s="2" t="s">
        <v>197</v>
      </c>
      <c r="DU30" s="2" t="s">
        <v>198</v>
      </c>
      <c r="DV30" s="2" t="s">
        <v>197</v>
      </c>
      <c r="DW30" s="2" t="s">
        <v>197</v>
      </c>
      <c r="DX30" s="2" t="s">
        <v>222</v>
      </c>
      <c r="DY30" s="2" t="s">
        <v>197</v>
      </c>
      <c r="DZ30" s="2"/>
      <c r="EA30" s="2">
        <v>1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1</v>
      </c>
      <c r="EN30" s="2">
        <v>1</v>
      </c>
      <c r="EO30" s="2">
        <v>0</v>
      </c>
      <c r="EP30" s="2">
        <v>0</v>
      </c>
      <c r="EQ30" s="2">
        <v>1</v>
      </c>
      <c r="ER30" s="2">
        <v>0</v>
      </c>
      <c r="ES30" s="2">
        <v>1</v>
      </c>
      <c r="ET30" s="2">
        <v>0</v>
      </c>
      <c r="EU30" s="2">
        <v>1</v>
      </c>
      <c r="EV30" s="2">
        <v>1</v>
      </c>
      <c r="EW30" s="2">
        <v>0</v>
      </c>
      <c r="EX30" s="2">
        <v>0</v>
      </c>
      <c r="EY30" s="2">
        <v>1</v>
      </c>
      <c r="EZ30" s="2">
        <v>1</v>
      </c>
      <c r="FA30" s="2">
        <v>0</v>
      </c>
      <c r="FB30" s="2">
        <v>0</v>
      </c>
      <c r="FC30" s="2">
        <v>1</v>
      </c>
      <c r="FD30" s="2">
        <v>0</v>
      </c>
      <c r="FE30" s="2">
        <v>0</v>
      </c>
      <c r="FF30" s="2">
        <v>0</v>
      </c>
      <c r="FG30" s="2">
        <v>0</v>
      </c>
      <c r="FH30" s="2">
        <v>1</v>
      </c>
      <c r="FI30" s="2">
        <v>0</v>
      </c>
      <c r="FJ30" s="2">
        <v>0</v>
      </c>
      <c r="FK30" s="2">
        <v>0</v>
      </c>
      <c r="FL30" s="2">
        <v>0</v>
      </c>
      <c r="FM30" s="2">
        <v>1</v>
      </c>
      <c r="FN30" s="2">
        <v>0</v>
      </c>
      <c r="FO30" s="2">
        <v>1</v>
      </c>
      <c r="FP30" s="2">
        <v>0</v>
      </c>
      <c r="FQ30" s="2">
        <v>1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1</v>
      </c>
      <c r="FZ30" s="2"/>
      <c r="GA30" s="2">
        <v>4</v>
      </c>
      <c r="GB30" s="2">
        <v>4</v>
      </c>
      <c r="GC30" s="2">
        <v>4</v>
      </c>
      <c r="GD30" s="2">
        <v>3</v>
      </c>
      <c r="GE30" s="2">
        <v>2</v>
      </c>
      <c r="GG30" s="2">
        <v>4</v>
      </c>
      <c r="GH30" s="2">
        <v>4</v>
      </c>
      <c r="GI30" s="2">
        <v>3</v>
      </c>
      <c r="GJ30" s="2">
        <v>4</v>
      </c>
      <c r="GK30" s="2">
        <v>1</v>
      </c>
      <c r="GM30" s="2">
        <f t="shared" si="0"/>
        <v>17</v>
      </c>
      <c r="GN30" s="2">
        <f t="shared" si="1"/>
        <v>16</v>
      </c>
      <c r="GO30" s="2"/>
      <c r="GP30" s="2">
        <v>3</v>
      </c>
      <c r="GQ30" s="2">
        <v>2</v>
      </c>
      <c r="GR30" s="2">
        <v>0</v>
      </c>
      <c r="GS30" s="2">
        <v>0</v>
      </c>
      <c r="GU30" s="2">
        <v>2</v>
      </c>
      <c r="GV30" s="2">
        <v>1</v>
      </c>
      <c r="GW30" s="2">
        <v>2</v>
      </c>
      <c r="GY30" s="2">
        <v>2</v>
      </c>
      <c r="GZ30" s="2">
        <v>1</v>
      </c>
      <c r="HA30" s="2">
        <v>1</v>
      </c>
      <c r="HB30" s="2">
        <v>1</v>
      </c>
      <c r="HD30" s="2">
        <v>2</v>
      </c>
      <c r="HE30" s="2">
        <v>0</v>
      </c>
      <c r="HF30" s="2">
        <v>1</v>
      </c>
      <c r="HH30" s="2">
        <f t="shared" si="2"/>
        <v>10</v>
      </c>
      <c r="HI30" s="2">
        <f t="shared" si="3"/>
        <v>8</v>
      </c>
      <c r="HJ30" s="2"/>
      <c r="HK30" s="2">
        <v>8</v>
      </c>
      <c r="HL30" s="2">
        <v>7</v>
      </c>
      <c r="HM30" s="2"/>
      <c r="HN30" s="2"/>
    </row>
    <row r="31" spans="1:222" ht="15.75" customHeight="1" x14ac:dyDescent="0.2">
      <c r="A31" s="3" t="e">
        <f>VLOOKUP(B31,#REF!,1,FALSE)</f>
        <v>#REF!</v>
      </c>
      <c r="B31" s="3">
        <v>44641.92699417824</v>
      </c>
      <c r="C31" s="2">
        <v>33</v>
      </c>
      <c r="D31" s="2" t="s">
        <v>185</v>
      </c>
      <c r="E31" s="2">
        <v>0</v>
      </c>
      <c r="F31" s="2" t="s">
        <v>232</v>
      </c>
      <c r="G31" s="2">
        <v>15</v>
      </c>
      <c r="H31" s="2">
        <v>0.5</v>
      </c>
      <c r="I31" s="2">
        <v>1</v>
      </c>
      <c r="J31" s="2">
        <v>5</v>
      </c>
      <c r="K31" s="2">
        <v>2</v>
      </c>
      <c r="L31" s="2">
        <v>4</v>
      </c>
      <c r="M31" s="2" t="s">
        <v>187</v>
      </c>
      <c r="N31" s="2">
        <v>2</v>
      </c>
      <c r="O31" s="2">
        <v>1</v>
      </c>
      <c r="P31" s="2">
        <v>0</v>
      </c>
      <c r="Q31" s="2">
        <v>0</v>
      </c>
      <c r="R31" s="2">
        <v>2</v>
      </c>
      <c r="S31" s="2">
        <v>-1</v>
      </c>
      <c r="T31" s="2">
        <v>-1</v>
      </c>
      <c r="U31" s="2">
        <v>-1</v>
      </c>
      <c r="V31" s="2">
        <v>-1</v>
      </c>
      <c r="W31" s="2">
        <v>-1</v>
      </c>
      <c r="X31" s="2"/>
      <c r="Y31" s="2">
        <v>-1</v>
      </c>
      <c r="Z31" s="2">
        <v>1</v>
      </c>
      <c r="AA31" s="2">
        <v>1</v>
      </c>
      <c r="AB31" s="2">
        <v>4</v>
      </c>
      <c r="AC31" s="2">
        <v>4</v>
      </c>
      <c r="AD31" s="2">
        <v>4</v>
      </c>
      <c r="AE31" s="2">
        <v>4</v>
      </c>
      <c r="AF31" s="2">
        <v>4</v>
      </c>
      <c r="AG31" s="2">
        <v>-3</v>
      </c>
      <c r="AH31" s="2">
        <v>-3</v>
      </c>
      <c r="AI31" s="2">
        <v>-3</v>
      </c>
      <c r="AJ31" s="2">
        <v>2</v>
      </c>
      <c r="AK31" s="2">
        <v>-3</v>
      </c>
      <c r="AL31" s="2">
        <v>-3</v>
      </c>
      <c r="AM31" s="2">
        <v>5</v>
      </c>
      <c r="AN31" s="2">
        <v>4</v>
      </c>
      <c r="AO31" s="2">
        <v>5</v>
      </c>
      <c r="AP31" s="2">
        <v>5</v>
      </c>
      <c r="AQ31" s="2">
        <v>5</v>
      </c>
      <c r="AR31" s="2">
        <v>3</v>
      </c>
      <c r="AS31" s="2">
        <v>1</v>
      </c>
      <c r="AT31" s="2">
        <v>1</v>
      </c>
      <c r="AU31" s="2">
        <v>1</v>
      </c>
      <c r="AV31" s="2"/>
      <c r="AW31" s="2">
        <v>1</v>
      </c>
      <c r="AX31" s="2">
        <v>1</v>
      </c>
      <c r="AY31" s="2">
        <v>2</v>
      </c>
      <c r="AZ31" s="2">
        <v>2</v>
      </c>
      <c r="BA31" s="2">
        <v>2</v>
      </c>
      <c r="BB31" s="2">
        <v>2</v>
      </c>
      <c r="BC31" s="2">
        <v>2</v>
      </c>
      <c r="BD31" s="2">
        <v>2</v>
      </c>
      <c r="BE31" s="2">
        <v>2</v>
      </c>
      <c r="BF31" s="2">
        <v>2</v>
      </c>
      <c r="BG31" s="2">
        <v>2</v>
      </c>
      <c r="BH31" s="2">
        <v>2</v>
      </c>
      <c r="BI31" s="2"/>
      <c r="BJ31" s="2">
        <v>3</v>
      </c>
      <c r="BK31" s="2">
        <v>1</v>
      </c>
      <c r="BL31" s="2">
        <v>0</v>
      </c>
      <c r="BM31" s="2">
        <v>6</v>
      </c>
      <c r="BN31" s="2">
        <v>8</v>
      </c>
      <c r="BO31" s="2">
        <v>7</v>
      </c>
      <c r="BP31" s="2"/>
      <c r="BQ31" s="6" t="s">
        <v>301</v>
      </c>
      <c r="BR31" s="2" t="s">
        <v>302</v>
      </c>
      <c r="BS31" s="2"/>
      <c r="BT31" s="2"/>
      <c r="BU31" s="2"/>
      <c r="BV31" s="2" t="s">
        <v>303</v>
      </c>
      <c r="BW31" s="2" t="s">
        <v>304</v>
      </c>
      <c r="BX31" s="2" t="s">
        <v>188</v>
      </c>
      <c r="BY31" s="2" t="s">
        <v>188</v>
      </c>
      <c r="BZ31" s="2" t="s">
        <v>188</v>
      </c>
      <c r="CA31" s="2" t="s">
        <v>188</v>
      </c>
      <c r="CB31" s="2" t="s">
        <v>188</v>
      </c>
      <c r="CC31" s="2" t="s">
        <v>188</v>
      </c>
      <c r="CD31" s="2" t="s">
        <v>189</v>
      </c>
      <c r="CE31" s="2" t="s">
        <v>191</v>
      </c>
      <c r="CF31" s="2" t="s">
        <v>188</v>
      </c>
      <c r="CG31" s="2" t="s">
        <v>190</v>
      </c>
      <c r="CH31" s="2" t="s">
        <v>188</v>
      </c>
      <c r="CI31" s="2" t="s">
        <v>190</v>
      </c>
      <c r="CJ31" s="2" t="s">
        <v>191</v>
      </c>
      <c r="CK31" s="2" t="s">
        <v>189</v>
      </c>
      <c r="CL31" s="2" t="s">
        <v>188</v>
      </c>
      <c r="CM31" s="2" t="s">
        <v>200</v>
      </c>
      <c r="CN31" s="2" t="s">
        <v>192</v>
      </c>
      <c r="CO31" s="2" t="s">
        <v>200</v>
      </c>
      <c r="CP31" s="2" t="s">
        <v>200</v>
      </c>
      <c r="CQ31" s="2" t="s">
        <v>192</v>
      </c>
      <c r="CR31" s="2" t="s">
        <v>193</v>
      </c>
      <c r="CS31" s="2" t="s">
        <v>192</v>
      </c>
      <c r="CT31" s="2" t="s">
        <v>192</v>
      </c>
      <c r="CU31" s="2" t="s">
        <v>192</v>
      </c>
      <c r="CV31" s="2" t="s">
        <v>200</v>
      </c>
      <c r="CW31" s="2" t="s">
        <v>200</v>
      </c>
      <c r="CX31" s="2" t="s">
        <v>200</v>
      </c>
      <c r="CY31" s="2" t="s">
        <v>193</v>
      </c>
      <c r="CZ31" s="2" t="s">
        <v>200</v>
      </c>
      <c r="DA31" s="2" t="s">
        <v>200</v>
      </c>
      <c r="DB31" s="2" t="s">
        <v>200</v>
      </c>
      <c r="DC31" s="2" t="s">
        <v>192</v>
      </c>
      <c r="DD31" s="2" t="s">
        <v>200</v>
      </c>
      <c r="DE31" s="2" t="s">
        <v>192</v>
      </c>
      <c r="DF31" s="2" t="s">
        <v>200</v>
      </c>
      <c r="DG31" s="2" t="s">
        <v>195</v>
      </c>
      <c r="DH31" s="2" t="s">
        <v>195</v>
      </c>
      <c r="DI31" s="2" t="s">
        <v>195</v>
      </c>
      <c r="DJ31" s="2" t="s">
        <v>195</v>
      </c>
      <c r="DK31" s="2" t="s">
        <v>194</v>
      </c>
      <c r="DL31" s="2" t="s">
        <v>195</v>
      </c>
      <c r="DM31" s="2"/>
      <c r="DN31" s="2" t="s">
        <v>196</v>
      </c>
      <c r="DO31" s="2" t="s">
        <v>196</v>
      </c>
      <c r="DP31" s="2" t="s">
        <v>195</v>
      </c>
      <c r="DQ31" s="2" t="s">
        <v>195</v>
      </c>
      <c r="DR31" s="2" t="s">
        <v>201</v>
      </c>
      <c r="DS31" s="2" t="s">
        <v>197</v>
      </c>
      <c r="DT31" s="2" t="s">
        <v>197</v>
      </c>
      <c r="DU31" s="2" t="s">
        <v>198</v>
      </c>
      <c r="DV31" s="2" t="s">
        <v>197</v>
      </c>
      <c r="DW31" s="2" t="s">
        <v>197</v>
      </c>
      <c r="DX31" s="2" t="s">
        <v>197</v>
      </c>
      <c r="DY31" s="2" t="s">
        <v>197</v>
      </c>
      <c r="DZ31" s="2"/>
      <c r="EA31" s="2">
        <v>1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1</v>
      </c>
      <c r="EJ31" s="2">
        <v>0</v>
      </c>
      <c r="EK31" s="2">
        <v>1</v>
      </c>
      <c r="EL31" s="2">
        <v>0</v>
      </c>
      <c r="EM31" s="2">
        <v>1</v>
      </c>
      <c r="EN31" s="2">
        <v>1</v>
      </c>
      <c r="EO31" s="2">
        <v>0</v>
      </c>
      <c r="EP31" s="2">
        <v>0</v>
      </c>
      <c r="EQ31" s="2">
        <v>1</v>
      </c>
      <c r="ER31" s="2">
        <v>0</v>
      </c>
      <c r="ES31" s="2">
        <v>1</v>
      </c>
      <c r="ET31" s="2">
        <v>0</v>
      </c>
      <c r="EU31" s="2">
        <v>1</v>
      </c>
      <c r="EV31" s="2">
        <v>1</v>
      </c>
      <c r="EW31" s="2">
        <v>0</v>
      </c>
      <c r="EX31" s="2">
        <v>0</v>
      </c>
      <c r="EY31" s="2">
        <v>1</v>
      </c>
      <c r="EZ31" s="2">
        <v>1</v>
      </c>
      <c r="FA31" s="2">
        <v>0</v>
      </c>
      <c r="FB31" s="2">
        <v>1</v>
      </c>
      <c r="FC31" s="2">
        <v>0</v>
      </c>
      <c r="FD31" s="2">
        <v>0</v>
      </c>
      <c r="FE31" s="2">
        <v>0</v>
      </c>
      <c r="FF31" s="2">
        <v>1</v>
      </c>
      <c r="FG31" s="2">
        <v>0</v>
      </c>
      <c r="FH31" s="2">
        <v>1</v>
      </c>
      <c r="FI31" s="2">
        <v>0</v>
      </c>
      <c r="FJ31" s="2">
        <v>1</v>
      </c>
      <c r="FK31" s="2">
        <v>0</v>
      </c>
      <c r="FL31" s="2">
        <v>1</v>
      </c>
      <c r="FM31" s="2">
        <v>0</v>
      </c>
      <c r="FN31" s="2">
        <v>0</v>
      </c>
      <c r="FO31" s="2">
        <v>1</v>
      </c>
      <c r="FP31" s="2">
        <v>0</v>
      </c>
      <c r="FQ31" s="2">
        <v>1</v>
      </c>
      <c r="FR31" s="2">
        <v>0</v>
      </c>
      <c r="FS31" s="2">
        <v>1</v>
      </c>
      <c r="FT31" s="2">
        <v>0</v>
      </c>
      <c r="FU31" s="2">
        <v>1</v>
      </c>
      <c r="FV31" s="2">
        <v>0</v>
      </c>
      <c r="FW31" s="2">
        <v>1</v>
      </c>
      <c r="FX31" s="2">
        <v>0</v>
      </c>
      <c r="FY31" s="2">
        <v>1</v>
      </c>
      <c r="FZ31" s="2"/>
      <c r="GA31" s="2">
        <v>5</v>
      </c>
      <c r="GB31" s="2">
        <v>4</v>
      </c>
      <c r="GC31" s="2">
        <v>5</v>
      </c>
      <c r="GD31" s="2">
        <v>5</v>
      </c>
      <c r="GE31" s="2">
        <v>5</v>
      </c>
      <c r="GG31" s="2">
        <v>2</v>
      </c>
      <c r="GH31" s="2">
        <v>2</v>
      </c>
      <c r="GI31" s="2">
        <v>2</v>
      </c>
      <c r="GJ31" s="2">
        <v>2</v>
      </c>
      <c r="GK31" s="2">
        <v>2</v>
      </c>
      <c r="GM31" s="2">
        <f t="shared" si="0"/>
        <v>24</v>
      </c>
      <c r="GN31" s="2">
        <f t="shared" si="1"/>
        <v>10</v>
      </c>
      <c r="GO31" s="2"/>
      <c r="GP31" s="2">
        <v>3</v>
      </c>
      <c r="GQ31" s="2">
        <v>1</v>
      </c>
      <c r="GR31" s="2">
        <v>1</v>
      </c>
      <c r="GS31" s="2">
        <v>1</v>
      </c>
      <c r="GU31" s="2">
        <v>1</v>
      </c>
      <c r="GV31" s="2">
        <v>1</v>
      </c>
      <c r="GW31" s="2">
        <v>2</v>
      </c>
      <c r="GY31" s="2">
        <v>2</v>
      </c>
      <c r="GZ31" s="2">
        <v>2</v>
      </c>
      <c r="HA31" s="2">
        <v>2</v>
      </c>
      <c r="HB31" s="2">
        <v>2</v>
      </c>
      <c r="HD31" s="2">
        <v>3</v>
      </c>
      <c r="HE31" s="2">
        <v>1</v>
      </c>
      <c r="HF31" s="2">
        <v>0</v>
      </c>
      <c r="HH31" s="2">
        <f t="shared" si="2"/>
        <v>10</v>
      </c>
      <c r="HI31" s="2">
        <f t="shared" si="3"/>
        <v>12</v>
      </c>
      <c r="HJ31" s="2"/>
      <c r="HK31" s="2">
        <v>8</v>
      </c>
      <c r="HL31" s="2">
        <v>7</v>
      </c>
      <c r="HM31" s="2"/>
      <c r="HN31" s="2"/>
    </row>
    <row r="32" spans="1:222" ht="15.75" customHeight="1" x14ac:dyDescent="0.2">
      <c r="A32" s="3" t="e">
        <f>VLOOKUP(B32,#REF!,1,FALSE)</f>
        <v>#REF!</v>
      </c>
      <c r="B32" s="3">
        <v>44641.930145740742</v>
      </c>
      <c r="C32" s="2">
        <v>34</v>
      </c>
      <c r="D32" s="2" t="s">
        <v>185</v>
      </c>
      <c r="E32" s="2">
        <v>0</v>
      </c>
      <c r="F32" s="2" t="s">
        <v>232</v>
      </c>
      <c r="G32" s="2">
        <v>15</v>
      </c>
      <c r="H32" s="2">
        <v>2</v>
      </c>
      <c r="I32" s="2">
        <v>1</v>
      </c>
      <c r="J32" s="2">
        <v>2</v>
      </c>
      <c r="K32" s="2">
        <v>0</v>
      </c>
      <c r="L32" s="2">
        <v>4</v>
      </c>
      <c r="M32" s="2" t="s">
        <v>213</v>
      </c>
      <c r="N32" s="2">
        <v>2</v>
      </c>
      <c r="O32" s="2">
        <v>4</v>
      </c>
      <c r="P32" s="2">
        <v>0</v>
      </c>
      <c r="Q32" s="2">
        <v>0</v>
      </c>
      <c r="R32" s="2">
        <v>2</v>
      </c>
      <c r="S32" s="2">
        <v>0</v>
      </c>
      <c r="T32" s="2">
        <v>-1</v>
      </c>
      <c r="U32" s="2">
        <v>-1</v>
      </c>
      <c r="V32" s="2">
        <v>0</v>
      </c>
      <c r="W32" s="2">
        <v>1</v>
      </c>
      <c r="X32" s="2"/>
      <c r="Y32" s="2">
        <v>1</v>
      </c>
      <c r="Z32" s="2">
        <v>1</v>
      </c>
      <c r="AA32" s="2">
        <v>1</v>
      </c>
      <c r="AB32" s="2">
        <v>2</v>
      </c>
      <c r="AC32" s="2">
        <v>2</v>
      </c>
      <c r="AD32" s="2">
        <v>2</v>
      </c>
      <c r="AE32" s="2">
        <v>1</v>
      </c>
      <c r="AF32" s="2">
        <v>4</v>
      </c>
      <c r="AG32" s="2">
        <v>2</v>
      </c>
      <c r="AH32" s="2">
        <v>2</v>
      </c>
      <c r="AI32" s="2">
        <v>2</v>
      </c>
      <c r="AJ32" s="2">
        <v>2</v>
      </c>
      <c r="AK32" s="2">
        <v>2</v>
      </c>
      <c r="AL32" s="2">
        <v>2</v>
      </c>
      <c r="AM32" s="2">
        <v>4</v>
      </c>
      <c r="AN32" s="2">
        <v>4</v>
      </c>
      <c r="AO32" s="2">
        <v>4</v>
      </c>
      <c r="AP32" s="2">
        <v>4</v>
      </c>
      <c r="AQ32" s="2">
        <v>4</v>
      </c>
      <c r="AR32" s="2">
        <v>3</v>
      </c>
      <c r="AS32" s="2">
        <v>1</v>
      </c>
      <c r="AT32" s="2">
        <v>1</v>
      </c>
      <c r="AU32" s="2">
        <v>1</v>
      </c>
      <c r="AV32" s="2"/>
      <c r="AW32" s="2">
        <v>2</v>
      </c>
      <c r="AX32" s="2">
        <v>1</v>
      </c>
      <c r="AY32" s="2">
        <v>2</v>
      </c>
      <c r="AZ32" s="2">
        <v>1</v>
      </c>
      <c r="BA32" s="2">
        <v>3</v>
      </c>
      <c r="BB32" s="2">
        <v>1</v>
      </c>
      <c r="BC32" s="2">
        <v>1</v>
      </c>
      <c r="BD32" s="2">
        <v>1</v>
      </c>
      <c r="BE32" s="2">
        <v>3</v>
      </c>
      <c r="BF32" s="2">
        <v>1</v>
      </c>
      <c r="BG32" s="2">
        <v>1</v>
      </c>
      <c r="BH32" s="2">
        <v>1</v>
      </c>
      <c r="BI32" s="2"/>
      <c r="BJ32" s="2">
        <v>1</v>
      </c>
      <c r="BK32" s="2">
        <v>1</v>
      </c>
      <c r="BL32" s="2">
        <v>2</v>
      </c>
      <c r="BM32" s="2">
        <v>5</v>
      </c>
      <c r="BN32" s="2">
        <v>8</v>
      </c>
      <c r="BO32" s="2">
        <v>5</v>
      </c>
      <c r="BP32" s="2" t="s">
        <v>305</v>
      </c>
      <c r="BQ32" s="2" t="s">
        <v>258</v>
      </c>
      <c r="BR32" s="2" t="s">
        <v>306</v>
      </c>
      <c r="BS32" s="2" t="s">
        <v>307</v>
      </c>
      <c r="BT32" s="2" t="s">
        <v>224</v>
      </c>
      <c r="BU32" s="2"/>
      <c r="BV32" s="2" t="s">
        <v>224</v>
      </c>
      <c r="BW32" s="2" t="s">
        <v>308</v>
      </c>
      <c r="BX32" s="2" t="s">
        <v>191</v>
      </c>
      <c r="BY32" s="2" t="s">
        <v>188</v>
      </c>
      <c r="BZ32" s="2" t="s">
        <v>191</v>
      </c>
      <c r="CA32" s="2" t="s">
        <v>188</v>
      </c>
      <c r="CB32" s="2" t="s">
        <v>188</v>
      </c>
      <c r="CC32" s="2" t="s">
        <v>188</v>
      </c>
      <c r="CD32" s="2" t="s">
        <v>188</v>
      </c>
      <c r="CE32" s="2" t="s">
        <v>191</v>
      </c>
      <c r="CF32" s="2" t="s">
        <v>188</v>
      </c>
      <c r="CG32" s="2" t="s">
        <v>188</v>
      </c>
      <c r="CH32" s="2" t="s">
        <v>188</v>
      </c>
      <c r="CI32" s="2" t="s">
        <v>188</v>
      </c>
      <c r="CJ32" s="2" t="s">
        <v>188</v>
      </c>
      <c r="CK32" s="2" t="s">
        <v>191</v>
      </c>
      <c r="CL32" s="2" t="s">
        <v>188</v>
      </c>
      <c r="CM32" s="2" t="s">
        <v>192</v>
      </c>
      <c r="CN32" s="2" t="s">
        <v>192</v>
      </c>
      <c r="CO32" s="2" t="s">
        <v>200</v>
      </c>
      <c r="CP32" s="2" t="s">
        <v>192</v>
      </c>
      <c r="CQ32" s="2" t="s">
        <v>192</v>
      </c>
      <c r="CR32" s="2" t="s">
        <v>200</v>
      </c>
      <c r="CS32" s="2" t="s">
        <v>200</v>
      </c>
      <c r="CT32" s="2" t="s">
        <v>193</v>
      </c>
      <c r="CU32" s="2" t="s">
        <v>193</v>
      </c>
      <c r="CV32" s="2" t="s">
        <v>200</v>
      </c>
      <c r="CW32" s="2" t="s">
        <v>200</v>
      </c>
      <c r="CX32" s="2" t="s">
        <v>193</v>
      </c>
      <c r="CY32" s="2" t="s">
        <v>200</v>
      </c>
      <c r="CZ32" s="2" t="s">
        <v>200</v>
      </c>
      <c r="DA32" s="2" t="s">
        <v>200</v>
      </c>
      <c r="DB32" s="2" t="s">
        <v>200</v>
      </c>
      <c r="DC32" s="2" t="s">
        <v>192</v>
      </c>
      <c r="DD32" s="2" t="s">
        <v>200</v>
      </c>
      <c r="DE32" s="2" t="s">
        <v>193</v>
      </c>
      <c r="DF32" s="2" t="s">
        <v>193</v>
      </c>
      <c r="DG32" s="2" t="s">
        <v>195</v>
      </c>
      <c r="DH32" s="2" t="s">
        <v>195</v>
      </c>
      <c r="DI32" s="2" t="s">
        <v>194</v>
      </c>
      <c r="DJ32" s="2" t="s">
        <v>201</v>
      </c>
      <c r="DK32" s="2" t="s">
        <v>220</v>
      </c>
      <c r="DL32" s="2" t="s">
        <v>195</v>
      </c>
      <c r="DM32" s="2" t="s">
        <v>194</v>
      </c>
      <c r="DN32" s="2" t="s">
        <v>196</v>
      </c>
      <c r="DO32" s="2" t="s">
        <v>196</v>
      </c>
      <c r="DP32" s="2" t="s">
        <v>196</v>
      </c>
      <c r="DQ32" s="2" t="s">
        <v>196</v>
      </c>
      <c r="DR32" s="2" t="s">
        <v>195</v>
      </c>
      <c r="DS32" s="2" t="s">
        <v>197</v>
      </c>
      <c r="DT32" s="2" t="s">
        <v>198</v>
      </c>
      <c r="DU32" s="2" t="s">
        <v>198</v>
      </c>
      <c r="DV32" s="2" t="s">
        <v>197</v>
      </c>
      <c r="DW32" s="2" t="s">
        <v>197</v>
      </c>
      <c r="DX32" s="2" t="s">
        <v>198</v>
      </c>
      <c r="DY32" s="2" t="s">
        <v>197</v>
      </c>
      <c r="DZ32" s="2"/>
      <c r="EA32" s="2">
        <v>1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1</v>
      </c>
      <c r="EJ32" s="2">
        <v>0</v>
      </c>
      <c r="EK32" s="2">
        <v>1</v>
      </c>
      <c r="EL32" s="2">
        <v>0</v>
      </c>
      <c r="EM32" s="2">
        <v>1</v>
      </c>
      <c r="EN32" s="2">
        <v>1</v>
      </c>
      <c r="EO32" s="2">
        <v>0</v>
      </c>
      <c r="EP32" s="2">
        <v>0</v>
      </c>
      <c r="EQ32" s="2">
        <v>1</v>
      </c>
      <c r="ER32" s="2">
        <v>0</v>
      </c>
      <c r="ES32" s="2">
        <v>1</v>
      </c>
      <c r="ET32" s="2">
        <v>0</v>
      </c>
      <c r="EU32" s="2">
        <v>1</v>
      </c>
      <c r="EV32" s="2">
        <v>0</v>
      </c>
      <c r="EW32" s="2">
        <v>1</v>
      </c>
      <c r="EX32" s="2">
        <v>0</v>
      </c>
      <c r="EY32" s="2">
        <v>1</v>
      </c>
      <c r="EZ32" s="2">
        <v>1</v>
      </c>
      <c r="FA32" s="2">
        <v>0</v>
      </c>
      <c r="FB32" s="2">
        <v>0</v>
      </c>
      <c r="FC32" s="2">
        <v>1</v>
      </c>
      <c r="FD32" s="2">
        <v>0</v>
      </c>
      <c r="FE32" s="2">
        <v>0</v>
      </c>
      <c r="FF32" s="2">
        <v>0</v>
      </c>
      <c r="FG32" s="2">
        <v>1</v>
      </c>
      <c r="FH32" s="2">
        <v>0</v>
      </c>
      <c r="FI32" s="2">
        <v>1</v>
      </c>
      <c r="FJ32" s="2">
        <v>1</v>
      </c>
      <c r="FK32" s="2">
        <v>0</v>
      </c>
      <c r="FL32" s="2">
        <v>1</v>
      </c>
      <c r="FM32" s="2">
        <v>0</v>
      </c>
      <c r="FN32" s="2">
        <v>1</v>
      </c>
      <c r="FO32" s="2">
        <v>0</v>
      </c>
      <c r="FP32" s="2">
        <v>0</v>
      </c>
      <c r="FQ32" s="2">
        <v>1</v>
      </c>
      <c r="FR32" s="2">
        <v>1</v>
      </c>
      <c r="FS32" s="2">
        <v>0</v>
      </c>
      <c r="FT32" s="2">
        <v>0</v>
      </c>
      <c r="FU32" s="2">
        <v>1</v>
      </c>
      <c r="FV32" s="2">
        <v>0</v>
      </c>
      <c r="FW32" s="2">
        <v>1</v>
      </c>
      <c r="FX32" s="2">
        <v>0</v>
      </c>
      <c r="FY32" s="2">
        <v>1</v>
      </c>
      <c r="FZ32" s="2"/>
      <c r="GA32" s="2">
        <v>4</v>
      </c>
      <c r="GB32" s="2">
        <v>4</v>
      </c>
      <c r="GC32" s="2">
        <v>4</v>
      </c>
      <c r="GD32" s="2">
        <v>4</v>
      </c>
      <c r="GE32" s="2">
        <v>4</v>
      </c>
      <c r="GG32" s="2">
        <v>1</v>
      </c>
      <c r="GH32" s="2">
        <v>3</v>
      </c>
      <c r="GI32" s="2">
        <v>1</v>
      </c>
      <c r="GJ32" s="2">
        <v>1</v>
      </c>
      <c r="GK32" s="2">
        <v>1</v>
      </c>
      <c r="GM32" s="2">
        <f t="shared" si="0"/>
        <v>20</v>
      </c>
      <c r="GN32" s="2">
        <f t="shared" si="1"/>
        <v>7</v>
      </c>
      <c r="GO32" s="2"/>
      <c r="GP32" s="2">
        <v>3</v>
      </c>
      <c r="GQ32" s="2">
        <v>1</v>
      </c>
      <c r="GR32" s="2">
        <v>1</v>
      </c>
      <c r="GS32" s="2">
        <v>1</v>
      </c>
      <c r="GU32" s="2">
        <v>2</v>
      </c>
      <c r="GV32" s="2">
        <v>1</v>
      </c>
      <c r="GW32" s="2">
        <v>2</v>
      </c>
      <c r="GY32" s="2">
        <v>3</v>
      </c>
      <c r="GZ32" s="2">
        <v>1</v>
      </c>
      <c r="HA32" s="2">
        <v>1</v>
      </c>
      <c r="HB32" s="2">
        <v>1</v>
      </c>
      <c r="HD32" s="2">
        <v>1</v>
      </c>
      <c r="HE32" s="2">
        <v>1</v>
      </c>
      <c r="HF32" s="2">
        <v>2</v>
      </c>
      <c r="HH32" s="2">
        <f t="shared" si="2"/>
        <v>11</v>
      </c>
      <c r="HI32" s="2">
        <f t="shared" si="3"/>
        <v>10</v>
      </c>
      <c r="HJ32" s="2"/>
      <c r="HK32" s="2">
        <v>8</v>
      </c>
      <c r="HL32" s="2">
        <v>5</v>
      </c>
      <c r="HM32" s="2"/>
      <c r="HN32" s="2"/>
    </row>
    <row r="33" spans="1:222" ht="15.75" customHeight="1" x14ac:dyDescent="0.2">
      <c r="A33" s="3" t="e">
        <f>VLOOKUP(B33,#REF!,1,FALSE)</f>
        <v>#REF!</v>
      </c>
      <c r="B33" s="3">
        <v>44641.931393611114</v>
      </c>
      <c r="C33" s="2">
        <v>35</v>
      </c>
      <c r="D33" s="2" t="s">
        <v>185</v>
      </c>
      <c r="E33" s="2">
        <v>0</v>
      </c>
      <c r="F33" s="2" t="s">
        <v>237</v>
      </c>
      <c r="G33" s="2">
        <v>2</v>
      </c>
      <c r="H33" s="2">
        <v>0.5</v>
      </c>
      <c r="I33" s="2">
        <v>1</v>
      </c>
      <c r="J33" s="2">
        <v>3</v>
      </c>
      <c r="K33" s="2">
        <v>0</v>
      </c>
      <c r="L33" s="2">
        <v>4</v>
      </c>
      <c r="M33" s="2" t="s">
        <v>213</v>
      </c>
      <c r="N33" s="2">
        <v>3</v>
      </c>
      <c r="O33" s="2">
        <v>4</v>
      </c>
      <c r="P33" s="2">
        <v>1</v>
      </c>
      <c r="Q33" s="2">
        <v>2</v>
      </c>
      <c r="R33" s="2">
        <v>2</v>
      </c>
      <c r="S33" s="2">
        <v>-1</v>
      </c>
      <c r="T33" s="2">
        <v>1</v>
      </c>
      <c r="U33" s="2">
        <v>1</v>
      </c>
      <c r="V33" s="2">
        <v>-1</v>
      </c>
      <c r="W33" s="2">
        <v>1</v>
      </c>
      <c r="X33" s="2"/>
      <c r="Y33" s="2">
        <v>-1</v>
      </c>
      <c r="Z33" s="2">
        <v>1</v>
      </c>
      <c r="AA33" s="2"/>
      <c r="AB33" s="2">
        <v>4</v>
      </c>
      <c r="AC33" s="2">
        <v>1</v>
      </c>
      <c r="AD33" s="2">
        <v>1</v>
      </c>
      <c r="AE33" s="2">
        <v>2</v>
      </c>
      <c r="AF33" s="2">
        <v>4</v>
      </c>
      <c r="AG33" s="2">
        <v>-2</v>
      </c>
      <c r="AH33" s="2">
        <v>-2</v>
      </c>
      <c r="AI33" s="2">
        <v>-2</v>
      </c>
      <c r="AJ33" s="2">
        <v>-2</v>
      </c>
      <c r="AK33" s="2">
        <v>-2</v>
      </c>
      <c r="AL33" s="2">
        <v>-2</v>
      </c>
      <c r="AM33" s="2">
        <v>4</v>
      </c>
      <c r="AN33" s="2">
        <v>4</v>
      </c>
      <c r="AO33" s="2">
        <v>4</v>
      </c>
      <c r="AP33" s="2">
        <v>4</v>
      </c>
      <c r="AQ33" s="2">
        <v>3</v>
      </c>
      <c r="AR33" s="2">
        <v>3</v>
      </c>
      <c r="AS33" s="2">
        <v>1</v>
      </c>
      <c r="AT33" s="2">
        <v>1</v>
      </c>
      <c r="AU33" s="2">
        <v>2</v>
      </c>
      <c r="AV33" s="2"/>
      <c r="AW33" s="2">
        <v>1</v>
      </c>
      <c r="AX33" s="2">
        <v>1</v>
      </c>
      <c r="AY33" s="2">
        <v>0</v>
      </c>
      <c r="AZ33" s="2">
        <v>1</v>
      </c>
      <c r="BA33" s="2">
        <v>1</v>
      </c>
      <c r="BB33" s="2">
        <v>1</v>
      </c>
      <c r="BC33" s="2">
        <v>1</v>
      </c>
      <c r="BD33" s="2">
        <v>1</v>
      </c>
      <c r="BE33" s="2">
        <v>2</v>
      </c>
      <c r="BF33" s="2">
        <v>2</v>
      </c>
      <c r="BG33" s="2">
        <v>2</v>
      </c>
      <c r="BH33" s="2">
        <v>2</v>
      </c>
      <c r="BI33" s="2"/>
      <c r="BJ33" s="2">
        <v>1</v>
      </c>
      <c r="BK33" s="2">
        <v>3</v>
      </c>
      <c r="BL33" s="2">
        <v>0</v>
      </c>
      <c r="BM33" s="2">
        <v>5</v>
      </c>
      <c r="BN33" s="2">
        <v>5</v>
      </c>
      <c r="BO33" s="2">
        <v>7</v>
      </c>
      <c r="BP33" s="2" t="s">
        <v>309</v>
      </c>
      <c r="BQ33" s="2"/>
      <c r="BR33" s="2" t="s">
        <v>310</v>
      </c>
      <c r="BS33" s="2" t="s">
        <v>311</v>
      </c>
      <c r="BT33" s="2"/>
      <c r="BU33" s="2"/>
      <c r="BV33" s="2" t="s">
        <v>312</v>
      </c>
      <c r="BW33" s="2" t="s">
        <v>313</v>
      </c>
      <c r="BX33" s="2" t="s">
        <v>191</v>
      </c>
      <c r="BY33" s="2" t="s">
        <v>188</v>
      </c>
      <c r="BZ33" s="2" t="s">
        <v>191</v>
      </c>
      <c r="CA33" s="2" t="s">
        <v>190</v>
      </c>
      <c r="CB33" s="2" t="s">
        <v>188</v>
      </c>
      <c r="CC33" s="2" t="s">
        <v>191</v>
      </c>
      <c r="CD33" s="2" t="s">
        <v>188</v>
      </c>
      <c r="CE33" s="2" t="s">
        <v>190</v>
      </c>
      <c r="CF33" s="2" t="s">
        <v>188</v>
      </c>
      <c r="CG33" s="2" t="s">
        <v>191</v>
      </c>
      <c r="CH33" s="2" t="s">
        <v>188</v>
      </c>
      <c r="CI33" s="2" t="s">
        <v>188</v>
      </c>
      <c r="CJ33" s="2" t="s">
        <v>188</v>
      </c>
      <c r="CK33" s="2" t="s">
        <v>191</v>
      </c>
      <c r="CL33" s="2" t="s">
        <v>188</v>
      </c>
      <c r="CM33" s="2" t="s">
        <v>193</v>
      </c>
      <c r="CN33" s="2" t="s">
        <v>193</v>
      </c>
      <c r="CO33" s="2" t="s">
        <v>200</v>
      </c>
      <c r="CP33" s="2" t="s">
        <v>193</v>
      </c>
      <c r="CQ33" s="2" t="s">
        <v>200</v>
      </c>
      <c r="CR33" s="2" t="s">
        <v>200</v>
      </c>
      <c r="CS33" s="2" t="s">
        <v>200</v>
      </c>
      <c r="CT33" s="2" t="s">
        <v>200</v>
      </c>
      <c r="CU33" s="2" t="s">
        <v>200</v>
      </c>
      <c r="CV33" s="2" t="s">
        <v>200</v>
      </c>
      <c r="CW33" s="2" t="s">
        <v>193</v>
      </c>
      <c r="CX33" s="2" t="s">
        <v>200</v>
      </c>
      <c r="CY33" s="2" t="s">
        <v>200</v>
      </c>
      <c r="CZ33" s="2" t="s">
        <v>193</v>
      </c>
      <c r="DA33" s="2" t="s">
        <v>200</v>
      </c>
      <c r="DB33" s="2" t="s">
        <v>193</v>
      </c>
      <c r="DC33" s="2" t="s">
        <v>192</v>
      </c>
      <c r="DD33" s="2" t="s">
        <v>193</v>
      </c>
      <c r="DE33" s="2" t="s">
        <v>200</v>
      </c>
      <c r="DF33" s="2" t="s">
        <v>200</v>
      </c>
      <c r="DG33" s="2" t="s">
        <v>195</v>
      </c>
      <c r="DH33" s="2" t="s">
        <v>195</v>
      </c>
      <c r="DI33" s="2" t="s">
        <v>195</v>
      </c>
      <c r="DJ33" s="2" t="s">
        <v>195</v>
      </c>
      <c r="DK33" s="2" t="s">
        <v>194</v>
      </c>
      <c r="DL33" s="2" t="s">
        <v>195</v>
      </c>
      <c r="DM33" s="2" t="s">
        <v>195</v>
      </c>
      <c r="DN33" s="2" t="s">
        <v>220</v>
      </c>
      <c r="DO33" s="2" t="s">
        <v>220</v>
      </c>
      <c r="DP33" s="2" t="s">
        <v>195</v>
      </c>
      <c r="DQ33" s="2" t="s">
        <v>195</v>
      </c>
      <c r="DR33" s="2" t="s">
        <v>194</v>
      </c>
      <c r="DS33" s="2" t="s">
        <v>197</v>
      </c>
      <c r="DT33" s="2" t="s">
        <v>197</v>
      </c>
      <c r="DU33" s="2" t="s">
        <v>198</v>
      </c>
      <c r="DV33" s="2" t="s">
        <v>197</v>
      </c>
      <c r="DW33" s="2" t="s">
        <v>197</v>
      </c>
      <c r="DX33" s="2" t="s">
        <v>198</v>
      </c>
      <c r="DY33" s="2" t="s">
        <v>197</v>
      </c>
      <c r="DZ33" s="2"/>
      <c r="EA33" s="2">
        <v>0</v>
      </c>
      <c r="EB33" s="2">
        <v>1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1</v>
      </c>
      <c r="EI33" s="2">
        <v>0</v>
      </c>
      <c r="EJ33" s="2">
        <v>1</v>
      </c>
      <c r="EK33" s="2">
        <v>0</v>
      </c>
      <c r="EL33" s="2">
        <v>0</v>
      </c>
      <c r="EM33" s="2">
        <v>1</v>
      </c>
      <c r="EN33" s="2">
        <v>1</v>
      </c>
      <c r="EO33" s="2">
        <v>0</v>
      </c>
      <c r="EP33" s="2">
        <v>0</v>
      </c>
      <c r="EQ33" s="2">
        <v>1</v>
      </c>
      <c r="ER33" s="2">
        <v>0</v>
      </c>
      <c r="ES33" s="2">
        <v>1</v>
      </c>
      <c r="ET33" s="2">
        <v>1</v>
      </c>
      <c r="EU33" s="2">
        <v>0</v>
      </c>
      <c r="EV33" s="2">
        <v>1</v>
      </c>
      <c r="EW33" s="2">
        <v>0</v>
      </c>
      <c r="EX33" s="2">
        <v>0</v>
      </c>
      <c r="EY33" s="2">
        <v>1</v>
      </c>
      <c r="EZ33" s="2">
        <v>0</v>
      </c>
      <c r="FA33" s="2">
        <v>1</v>
      </c>
      <c r="FB33" s="2">
        <v>1</v>
      </c>
      <c r="FC33" s="2">
        <v>0</v>
      </c>
      <c r="FD33" s="2">
        <v>0</v>
      </c>
      <c r="FE33" s="2">
        <v>0</v>
      </c>
      <c r="FF33" s="2">
        <v>0</v>
      </c>
      <c r="FG33" s="2">
        <v>1</v>
      </c>
      <c r="FH33" s="2">
        <v>0</v>
      </c>
      <c r="FI33" s="2">
        <v>1</v>
      </c>
      <c r="FJ33" s="2">
        <v>1</v>
      </c>
      <c r="FK33" s="2">
        <v>0</v>
      </c>
      <c r="FL33" s="2">
        <v>1</v>
      </c>
      <c r="FM33" s="2">
        <v>0</v>
      </c>
      <c r="FN33" s="2">
        <v>0</v>
      </c>
      <c r="FO33" s="2">
        <v>0</v>
      </c>
      <c r="FP33" s="2">
        <v>0</v>
      </c>
      <c r="FQ33" s="2">
        <v>1</v>
      </c>
      <c r="FR33" s="2">
        <v>1</v>
      </c>
      <c r="FS33" s="2">
        <v>0</v>
      </c>
      <c r="FT33" s="2">
        <v>0</v>
      </c>
      <c r="FU33" s="2">
        <v>1</v>
      </c>
      <c r="FV33" s="2">
        <v>1</v>
      </c>
      <c r="FW33" s="2">
        <v>0</v>
      </c>
      <c r="FX33" s="2">
        <v>0</v>
      </c>
      <c r="FY33" s="2">
        <v>1</v>
      </c>
      <c r="FZ33" s="2"/>
      <c r="GA33" s="2">
        <v>4</v>
      </c>
      <c r="GB33" s="2">
        <v>4</v>
      </c>
      <c r="GC33" s="2">
        <v>4</v>
      </c>
      <c r="GD33" s="2">
        <v>4</v>
      </c>
      <c r="GE33" s="2">
        <v>3</v>
      </c>
      <c r="GG33" s="2">
        <v>1</v>
      </c>
      <c r="GH33" s="2">
        <v>1</v>
      </c>
      <c r="GI33" s="2">
        <v>1</v>
      </c>
      <c r="GJ33" s="2">
        <v>1</v>
      </c>
      <c r="GK33" s="2">
        <v>1</v>
      </c>
      <c r="GM33" s="2">
        <f t="shared" si="0"/>
        <v>19</v>
      </c>
      <c r="GN33" s="2">
        <f t="shared" si="1"/>
        <v>5</v>
      </c>
      <c r="GO33" s="2"/>
      <c r="GP33" s="2">
        <v>3</v>
      </c>
      <c r="GQ33" s="2">
        <v>1</v>
      </c>
      <c r="GR33" s="2">
        <v>1</v>
      </c>
      <c r="GS33" s="2">
        <v>2</v>
      </c>
      <c r="GU33" s="2">
        <v>1</v>
      </c>
      <c r="GV33" s="2">
        <v>1</v>
      </c>
      <c r="GW33" s="2">
        <v>0</v>
      </c>
      <c r="GY33" s="2">
        <v>2</v>
      </c>
      <c r="GZ33" s="2">
        <v>2</v>
      </c>
      <c r="HA33" s="2">
        <v>2</v>
      </c>
      <c r="HB33" s="2">
        <v>2</v>
      </c>
      <c r="HD33" s="2">
        <v>1</v>
      </c>
      <c r="HE33" s="2">
        <v>3</v>
      </c>
      <c r="HF33" s="2">
        <v>0</v>
      </c>
      <c r="HH33" s="2">
        <f t="shared" si="2"/>
        <v>9</v>
      </c>
      <c r="HI33" s="2">
        <f t="shared" si="3"/>
        <v>12</v>
      </c>
      <c r="HJ33" s="2"/>
      <c r="HK33" s="2">
        <v>5</v>
      </c>
      <c r="HL33" s="2">
        <v>7</v>
      </c>
      <c r="HM33" s="2"/>
      <c r="HN33" s="2"/>
    </row>
    <row r="34" spans="1:222" ht="15.75" customHeight="1" x14ac:dyDescent="0.2">
      <c r="A34" s="3" t="e">
        <f>VLOOKUP(B34,#REF!,1,FALSE)</f>
        <v>#REF!</v>
      </c>
      <c r="B34" s="3">
        <v>44641.936827384263</v>
      </c>
      <c r="C34" s="2">
        <v>36</v>
      </c>
      <c r="D34" s="2" t="s">
        <v>185</v>
      </c>
      <c r="E34" s="2">
        <v>0</v>
      </c>
      <c r="F34" s="2" t="s">
        <v>314</v>
      </c>
      <c r="G34" s="2">
        <v>2</v>
      </c>
      <c r="H34" s="2">
        <v>2</v>
      </c>
      <c r="I34" s="2">
        <v>1</v>
      </c>
      <c r="J34" s="2">
        <v>3</v>
      </c>
      <c r="K34" s="2">
        <v>0</v>
      </c>
      <c r="L34" s="2">
        <v>4</v>
      </c>
      <c r="M34" s="2" t="s">
        <v>187</v>
      </c>
      <c r="N34" s="2">
        <v>2</v>
      </c>
      <c r="O34" s="2">
        <v>3</v>
      </c>
      <c r="P34" s="2">
        <v>0</v>
      </c>
      <c r="Q34" s="2">
        <v>0</v>
      </c>
      <c r="R34" s="2">
        <v>2</v>
      </c>
      <c r="S34" s="2">
        <v>-1</v>
      </c>
      <c r="T34" s="2">
        <v>-1</v>
      </c>
      <c r="U34" s="2">
        <v>-1</v>
      </c>
      <c r="V34" s="2">
        <v>-1</v>
      </c>
      <c r="W34" s="2">
        <v>-1</v>
      </c>
      <c r="X34" s="2"/>
      <c r="Y34" s="2">
        <v>-1</v>
      </c>
      <c r="Z34" s="2">
        <v>0</v>
      </c>
      <c r="AA34" s="2">
        <v>1</v>
      </c>
      <c r="AB34" s="2">
        <v>1</v>
      </c>
      <c r="AC34" s="2">
        <v>0</v>
      </c>
      <c r="AD34" s="2">
        <v>0</v>
      </c>
      <c r="AE34" s="2">
        <v>0</v>
      </c>
      <c r="AF34" s="2">
        <v>0</v>
      </c>
      <c r="AG34" s="2">
        <v>3</v>
      </c>
      <c r="AH34" s="2">
        <v>3</v>
      </c>
      <c r="AI34" s="2">
        <v>3</v>
      </c>
      <c r="AJ34" s="2">
        <v>3</v>
      </c>
      <c r="AK34" s="2">
        <v>3</v>
      </c>
      <c r="AL34" s="2">
        <v>3</v>
      </c>
      <c r="AM34" s="2">
        <v>4</v>
      </c>
      <c r="AN34" s="2">
        <v>4</v>
      </c>
      <c r="AO34" s="2">
        <v>4</v>
      </c>
      <c r="AP34" s="2">
        <v>4</v>
      </c>
      <c r="AQ34" s="2">
        <v>3</v>
      </c>
      <c r="AR34" s="2">
        <v>1</v>
      </c>
      <c r="AS34" s="2">
        <v>1</v>
      </c>
      <c r="AT34" s="2">
        <v>0</v>
      </c>
      <c r="AU34" s="2">
        <v>1</v>
      </c>
      <c r="AV34" s="2"/>
      <c r="AW34" s="2">
        <v>1</v>
      </c>
      <c r="AX34" s="2">
        <v>0</v>
      </c>
      <c r="AY34" s="2">
        <v>0</v>
      </c>
      <c r="AZ34" s="2">
        <v>4</v>
      </c>
      <c r="BA34" s="2">
        <v>4</v>
      </c>
      <c r="BB34" s="2">
        <v>4</v>
      </c>
      <c r="BC34" s="2">
        <v>4</v>
      </c>
      <c r="BD34" s="2">
        <v>3</v>
      </c>
      <c r="BE34" s="2">
        <v>1</v>
      </c>
      <c r="BF34" s="2">
        <v>1</v>
      </c>
      <c r="BG34" s="2">
        <v>0</v>
      </c>
      <c r="BH34" s="2">
        <v>0</v>
      </c>
      <c r="BI34" s="2"/>
      <c r="BJ34" s="2">
        <v>1</v>
      </c>
      <c r="BK34" s="2">
        <v>0</v>
      </c>
      <c r="BL34" s="2">
        <v>0</v>
      </c>
      <c r="BM34" s="2">
        <v>8</v>
      </c>
      <c r="BN34" s="2">
        <v>9</v>
      </c>
      <c r="BO34" s="2">
        <v>9</v>
      </c>
      <c r="BP34" s="2"/>
      <c r="BQ34" s="2"/>
      <c r="BR34" s="2"/>
      <c r="BS34" s="2" t="s">
        <v>315</v>
      </c>
      <c r="BT34" s="2"/>
      <c r="BU34" s="2"/>
      <c r="BV34" s="2"/>
      <c r="BW34" s="2"/>
      <c r="BX34" s="2" t="s">
        <v>190</v>
      </c>
      <c r="BY34" s="2" t="s">
        <v>190</v>
      </c>
      <c r="BZ34" s="2" t="s">
        <v>189</v>
      </c>
      <c r="CA34" s="2" t="s">
        <v>189</v>
      </c>
      <c r="CB34" s="2" t="s">
        <v>189</v>
      </c>
      <c r="CC34" s="2" t="s">
        <v>190</v>
      </c>
      <c r="CD34" s="2" t="s">
        <v>189</v>
      </c>
      <c r="CE34" s="2" t="s">
        <v>189</v>
      </c>
      <c r="CF34" s="2" t="s">
        <v>189</v>
      </c>
      <c r="CG34" s="2" t="s">
        <v>189</v>
      </c>
      <c r="CH34" s="2" t="s">
        <v>189</v>
      </c>
      <c r="CI34" s="2" t="s">
        <v>189</v>
      </c>
      <c r="CJ34" s="2" t="s">
        <v>189</v>
      </c>
      <c r="CK34" s="2" t="s">
        <v>189</v>
      </c>
      <c r="CL34" s="2" t="s">
        <v>190</v>
      </c>
      <c r="CM34" s="2" t="s">
        <v>192</v>
      </c>
      <c r="CN34" s="2" t="s">
        <v>192</v>
      </c>
      <c r="CO34" s="2" t="s">
        <v>192</v>
      </c>
      <c r="CP34" s="2" t="s">
        <v>192</v>
      </c>
      <c r="CQ34" s="2"/>
      <c r="CR34" s="2" t="s">
        <v>192</v>
      </c>
      <c r="CS34" s="2" t="s">
        <v>193</v>
      </c>
      <c r="CT34" s="2" t="s">
        <v>193</v>
      </c>
      <c r="CU34" s="2" t="s">
        <v>192</v>
      </c>
      <c r="CV34" s="2" t="s">
        <v>192</v>
      </c>
      <c r="CW34" s="2" t="s">
        <v>192</v>
      </c>
      <c r="CX34" s="2" t="s">
        <v>200</v>
      </c>
      <c r="CY34" s="2" t="s">
        <v>192</v>
      </c>
      <c r="CZ34" s="2" t="s">
        <v>192</v>
      </c>
      <c r="DA34" s="2" t="s">
        <v>192</v>
      </c>
      <c r="DB34" s="2" t="s">
        <v>192</v>
      </c>
      <c r="DC34" s="2" t="s">
        <v>192</v>
      </c>
      <c r="DD34" s="2" t="s">
        <v>192</v>
      </c>
      <c r="DE34" s="2" t="s">
        <v>192</v>
      </c>
      <c r="DF34" s="2" t="s">
        <v>192</v>
      </c>
      <c r="DG34" s="2" t="s">
        <v>195</v>
      </c>
      <c r="DH34" s="2" t="s">
        <v>194</v>
      </c>
      <c r="DI34" s="2" t="s">
        <v>194</v>
      </c>
      <c r="DJ34" s="2" t="s">
        <v>196</v>
      </c>
      <c r="DK34" s="2" t="s">
        <v>194</v>
      </c>
      <c r="DL34" s="2" t="s">
        <v>196</v>
      </c>
      <c r="DM34" s="2" t="s">
        <v>196</v>
      </c>
      <c r="DN34" s="2" t="s">
        <v>194</v>
      </c>
      <c r="DO34" s="2" t="s">
        <v>194</v>
      </c>
      <c r="DP34" s="2" t="s">
        <v>194</v>
      </c>
      <c r="DQ34" s="2" t="s">
        <v>195</v>
      </c>
      <c r="DR34" s="2" t="s">
        <v>194</v>
      </c>
      <c r="DS34" s="2" t="s">
        <v>197</v>
      </c>
      <c r="DT34" s="2" t="s">
        <v>221</v>
      </c>
      <c r="DU34" s="2" t="s">
        <v>197</v>
      </c>
      <c r="DV34" s="2" t="s">
        <v>197</v>
      </c>
      <c r="DW34" s="2" t="s">
        <v>197</v>
      </c>
      <c r="DX34" s="2" t="s">
        <v>197</v>
      </c>
      <c r="DY34" s="2" t="s">
        <v>197</v>
      </c>
      <c r="DZ34" s="2"/>
      <c r="EA34" s="2">
        <v>1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1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1</v>
      </c>
      <c r="FZ34" s="2"/>
      <c r="GA34" s="2">
        <v>4</v>
      </c>
      <c r="GB34" s="2">
        <v>4</v>
      </c>
      <c r="GC34" s="2">
        <v>4</v>
      </c>
      <c r="GD34" s="2">
        <v>4</v>
      </c>
      <c r="GE34" s="2">
        <v>3</v>
      </c>
      <c r="GG34" s="2">
        <v>4</v>
      </c>
      <c r="GH34" s="2">
        <v>4</v>
      </c>
      <c r="GI34" s="2">
        <v>4</v>
      </c>
      <c r="GJ34" s="2">
        <v>4</v>
      </c>
      <c r="GK34" s="2">
        <v>3</v>
      </c>
      <c r="GM34" s="2">
        <f t="shared" si="0"/>
        <v>19</v>
      </c>
      <c r="GN34" s="2">
        <f t="shared" si="1"/>
        <v>19</v>
      </c>
      <c r="GO34" s="2"/>
      <c r="GP34" s="2">
        <v>1</v>
      </c>
      <c r="GQ34" s="2">
        <v>1</v>
      </c>
      <c r="GR34" s="2">
        <v>0</v>
      </c>
      <c r="GS34" s="2">
        <v>1</v>
      </c>
      <c r="GU34" s="2">
        <v>1</v>
      </c>
      <c r="GV34" s="2">
        <v>0</v>
      </c>
      <c r="GW34" s="2">
        <v>0</v>
      </c>
      <c r="GY34" s="2">
        <v>1</v>
      </c>
      <c r="GZ34" s="2">
        <v>1</v>
      </c>
      <c r="HA34" s="2">
        <v>0</v>
      </c>
      <c r="HB34" s="2">
        <v>0</v>
      </c>
      <c r="HD34" s="2">
        <v>1</v>
      </c>
      <c r="HE34" s="2">
        <v>0</v>
      </c>
      <c r="HF34" s="2">
        <v>0</v>
      </c>
      <c r="HH34" s="2">
        <f t="shared" si="2"/>
        <v>4</v>
      </c>
      <c r="HI34" s="2">
        <f t="shared" si="3"/>
        <v>3</v>
      </c>
      <c r="HJ34" s="2"/>
      <c r="HK34" s="2">
        <v>9</v>
      </c>
      <c r="HL34" s="2">
        <v>9</v>
      </c>
      <c r="HM34" s="2"/>
      <c r="HN34" s="2"/>
    </row>
    <row r="35" spans="1:222" ht="15.75" customHeight="1" x14ac:dyDescent="0.2">
      <c r="A35" s="3" t="e">
        <f>VLOOKUP(B35,#REF!,1,FALSE)</f>
        <v>#REF!</v>
      </c>
      <c r="B35" s="3">
        <v>44642.00473670139</v>
      </c>
      <c r="C35" s="2">
        <v>37</v>
      </c>
      <c r="D35" s="2" t="s">
        <v>185</v>
      </c>
      <c r="E35" s="2">
        <v>0</v>
      </c>
      <c r="F35" s="2" t="s">
        <v>316</v>
      </c>
      <c r="G35" s="2">
        <v>8</v>
      </c>
      <c r="H35" s="2">
        <v>2</v>
      </c>
      <c r="I35" s="2">
        <v>1</v>
      </c>
      <c r="J35" s="2">
        <v>3</v>
      </c>
      <c r="K35" s="2">
        <v>1</v>
      </c>
      <c r="L35" s="2">
        <v>4</v>
      </c>
      <c r="M35" s="2" t="s">
        <v>213</v>
      </c>
      <c r="N35" s="2">
        <v>2</v>
      </c>
      <c r="O35" s="2">
        <v>3</v>
      </c>
      <c r="P35" s="2">
        <v>0</v>
      </c>
      <c r="Q35" s="2">
        <v>0</v>
      </c>
      <c r="R35" s="2">
        <v>3</v>
      </c>
      <c r="S35" s="2">
        <v>1</v>
      </c>
      <c r="T35" s="2">
        <v>0</v>
      </c>
      <c r="U35" s="2">
        <v>1</v>
      </c>
      <c r="V35" s="2">
        <v>1</v>
      </c>
      <c r="W35" s="2">
        <v>0</v>
      </c>
      <c r="X35" s="2"/>
      <c r="Y35" s="2">
        <v>1</v>
      </c>
      <c r="Z35" s="2">
        <v>1</v>
      </c>
      <c r="AA35" s="2">
        <v>1</v>
      </c>
      <c r="AB35" s="2">
        <v>4</v>
      </c>
      <c r="AC35" s="2">
        <v>0</v>
      </c>
      <c r="AD35" s="2">
        <v>1</v>
      </c>
      <c r="AE35" s="2">
        <v>4</v>
      </c>
      <c r="AF35" s="2">
        <v>4</v>
      </c>
      <c r="AG35" s="2">
        <v>3</v>
      </c>
      <c r="AH35" s="2">
        <v>3</v>
      </c>
      <c r="AI35" s="2">
        <v>3</v>
      </c>
      <c r="AJ35" s="2">
        <v>3</v>
      </c>
      <c r="AK35" s="2">
        <v>2</v>
      </c>
      <c r="AL35" s="2">
        <v>2</v>
      </c>
      <c r="AM35" s="2">
        <v>4</v>
      </c>
      <c r="AN35" s="2">
        <v>4</v>
      </c>
      <c r="AO35" s="2">
        <v>4</v>
      </c>
      <c r="AP35" s="2">
        <v>3</v>
      </c>
      <c r="AQ35" s="2">
        <v>4</v>
      </c>
      <c r="AR35" s="2">
        <v>3</v>
      </c>
      <c r="AS35" s="2">
        <v>1</v>
      </c>
      <c r="AT35" s="2"/>
      <c r="AU35" s="2"/>
      <c r="AV35" s="2"/>
      <c r="AW35" s="2"/>
      <c r="AX35" s="2"/>
      <c r="AY35" s="2">
        <v>1</v>
      </c>
      <c r="AZ35" s="2">
        <v>4</v>
      </c>
      <c r="BA35" s="2">
        <v>4</v>
      </c>
      <c r="BB35" s="2">
        <v>4</v>
      </c>
      <c r="BC35" s="2">
        <v>4</v>
      </c>
      <c r="BD35" s="2">
        <v>3</v>
      </c>
      <c r="BE35" s="2">
        <v>3</v>
      </c>
      <c r="BF35" s="2">
        <v>1</v>
      </c>
      <c r="BG35" s="2">
        <v>1</v>
      </c>
      <c r="BH35" s="2">
        <v>1</v>
      </c>
      <c r="BI35" s="2"/>
      <c r="BJ35" s="2">
        <v>1</v>
      </c>
      <c r="BK35" s="2">
        <v>1</v>
      </c>
      <c r="BL35" s="2">
        <v>2</v>
      </c>
      <c r="BM35" s="2">
        <v>8</v>
      </c>
      <c r="BN35" s="2">
        <v>8</v>
      </c>
      <c r="BO35" s="2">
        <v>8</v>
      </c>
      <c r="BP35" s="2" t="s">
        <v>317</v>
      </c>
      <c r="BQ35" s="2" t="s">
        <v>258</v>
      </c>
      <c r="BR35" s="2"/>
      <c r="BS35" s="2" t="s">
        <v>318</v>
      </c>
      <c r="BT35" s="2" t="s">
        <v>258</v>
      </c>
      <c r="BU35" s="2" t="s">
        <v>258</v>
      </c>
      <c r="BV35" s="2" t="s">
        <v>319</v>
      </c>
      <c r="BW35" s="2" t="s">
        <v>320</v>
      </c>
      <c r="BX35" s="2" t="s">
        <v>191</v>
      </c>
      <c r="BY35" s="2" t="s">
        <v>190</v>
      </c>
      <c r="BZ35" s="2" t="s">
        <v>188</v>
      </c>
      <c r="CA35" s="2" t="s">
        <v>188</v>
      </c>
      <c r="CB35" s="2" t="s">
        <v>188</v>
      </c>
      <c r="CC35" s="2" t="s">
        <v>188</v>
      </c>
      <c r="CD35" s="2" t="s">
        <v>189</v>
      </c>
      <c r="CE35" s="2" t="s">
        <v>190</v>
      </c>
      <c r="CF35" s="2" t="s">
        <v>190</v>
      </c>
      <c r="CG35" s="2" t="s">
        <v>188</v>
      </c>
      <c r="CH35" s="2" t="s">
        <v>188</v>
      </c>
      <c r="CI35" s="2" t="s">
        <v>189</v>
      </c>
      <c r="CJ35" s="2" t="s">
        <v>189</v>
      </c>
      <c r="CK35" s="2" t="s">
        <v>189</v>
      </c>
      <c r="CL35" s="2" t="s">
        <v>190</v>
      </c>
      <c r="CM35" s="2" t="s">
        <v>192</v>
      </c>
      <c r="CN35" s="2" t="s">
        <v>192</v>
      </c>
      <c r="CO35" s="2" t="s">
        <v>192</v>
      </c>
      <c r="CP35" s="2" t="s">
        <v>192</v>
      </c>
      <c r="CQ35" s="2" t="s">
        <v>193</v>
      </c>
      <c r="CR35" s="2" t="s">
        <v>192</v>
      </c>
      <c r="CS35" s="2" t="s">
        <v>193</v>
      </c>
      <c r="CT35" s="2" t="s">
        <v>192</v>
      </c>
      <c r="CU35" s="2" t="s">
        <v>192</v>
      </c>
      <c r="CV35" s="2" t="s">
        <v>200</v>
      </c>
      <c r="CW35" s="2" t="s">
        <v>192</v>
      </c>
      <c r="CX35" s="2" t="s">
        <v>192</v>
      </c>
      <c r="CY35" s="2" t="s">
        <v>192</v>
      </c>
      <c r="CZ35" s="2" t="s">
        <v>192</v>
      </c>
      <c r="DA35" s="2" t="s">
        <v>192</v>
      </c>
      <c r="DB35" s="2" t="s">
        <v>192</v>
      </c>
      <c r="DC35" s="2" t="s">
        <v>200</v>
      </c>
      <c r="DD35" s="2" t="s">
        <v>192</v>
      </c>
      <c r="DE35" s="2" t="s">
        <v>193</v>
      </c>
      <c r="DF35" s="2" t="s">
        <v>193</v>
      </c>
      <c r="DG35" s="2" t="s">
        <v>194</v>
      </c>
      <c r="DH35" s="2" t="s">
        <v>194</v>
      </c>
      <c r="DI35" s="2" t="s">
        <v>194</v>
      </c>
      <c r="DJ35" s="2" t="s">
        <v>195</v>
      </c>
      <c r="DK35" s="2" t="s">
        <v>194</v>
      </c>
      <c r="DL35" s="2" t="s">
        <v>195</v>
      </c>
      <c r="DM35" s="2" t="s">
        <v>195</v>
      </c>
      <c r="DN35" s="2" t="s">
        <v>194</v>
      </c>
      <c r="DO35" s="2" t="s">
        <v>194</v>
      </c>
      <c r="DP35" s="2" t="s">
        <v>195</v>
      </c>
      <c r="DQ35" s="2" t="s">
        <v>195</v>
      </c>
      <c r="DR35" s="2" t="s">
        <v>194</v>
      </c>
      <c r="DS35" s="2" t="s">
        <v>197</v>
      </c>
      <c r="DT35" s="2" t="s">
        <v>198</v>
      </c>
      <c r="DU35" s="2" t="s">
        <v>198</v>
      </c>
      <c r="DV35" s="2" t="s">
        <v>197</v>
      </c>
      <c r="DW35" s="2" t="s">
        <v>197</v>
      </c>
      <c r="DX35" s="2" t="s">
        <v>199</v>
      </c>
      <c r="DY35" s="2" t="s">
        <v>197</v>
      </c>
      <c r="DZ35" s="2"/>
      <c r="EA35" s="2">
        <v>1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1</v>
      </c>
      <c r="EI35" s="2">
        <v>1</v>
      </c>
      <c r="EJ35" s="2">
        <v>1</v>
      </c>
      <c r="EK35" s="2">
        <v>0</v>
      </c>
      <c r="EL35" s="2">
        <v>1</v>
      </c>
      <c r="EM35" s="2">
        <v>1</v>
      </c>
      <c r="EN35" s="2">
        <v>1</v>
      </c>
      <c r="EO35" s="2">
        <v>0</v>
      </c>
      <c r="EP35" s="2">
        <v>1</v>
      </c>
      <c r="EQ35" s="2">
        <v>0</v>
      </c>
      <c r="ER35" s="2">
        <v>1</v>
      </c>
      <c r="ES35" s="2">
        <v>1</v>
      </c>
      <c r="ET35" s="2">
        <v>1</v>
      </c>
      <c r="EU35" s="2">
        <v>1</v>
      </c>
      <c r="EV35" s="2">
        <v>1</v>
      </c>
      <c r="EW35" s="2">
        <v>1</v>
      </c>
      <c r="EX35" s="2">
        <v>1</v>
      </c>
      <c r="EY35" s="2">
        <v>1</v>
      </c>
      <c r="EZ35" s="2">
        <v>0</v>
      </c>
      <c r="FA35" s="2">
        <v>0</v>
      </c>
      <c r="FB35" s="2">
        <v>1</v>
      </c>
      <c r="FC35" s="2">
        <v>1</v>
      </c>
      <c r="FD35" s="2">
        <v>0</v>
      </c>
      <c r="FE35" s="2">
        <v>0</v>
      </c>
      <c r="FF35" s="2">
        <v>0</v>
      </c>
      <c r="FG35" s="2">
        <v>0</v>
      </c>
      <c r="FH35" s="2">
        <v>1</v>
      </c>
      <c r="FI35" s="2">
        <v>1</v>
      </c>
      <c r="FJ35" s="2">
        <v>1</v>
      </c>
      <c r="FK35" s="2">
        <v>0</v>
      </c>
      <c r="FL35" s="2">
        <v>1</v>
      </c>
      <c r="FM35" s="2">
        <v>0</v>
      </c>
      <c r="FN35" s="2">
        <v>1</v>
      </c>
      <c r="FO35" s="2">
        <v>1</v>
      </c>
      <c r="FP35" s="2">
        <v>1</v>
      </c>
      <c r="FQ35" s="2">
        <v>1</v>
      </c>
      <c r="FR35" s="2">
        <v>1</v>
      </c>
      <c r="FS35" s="2">
        <v>1</v>
      </c>
      <c r="FT35" s="2">
        <v>1</v>
      </c>
      <c r="FU35" s="2">
        <v>1</v>
      </c>
      <c r="FV35" s="2">
        <v>1</v>
      </c>
      <c r="FW35" s="2">
        <v>1</v>
      </c>
      <c r="FX35" s="2">
        <v>1</v>
      </c>
      <c r="FY35" s="2">
        <v>1</v>
      </c>
      <c r="FZ35" s="2"/>
      <c r="GA35" s="2">
        <v>4</v>
      </c>
      <c r="GB35" s="2">
        <v>4</v>
      </c>
      <c r="GC35" s="2">
        <v>4</v>
      </c>
      <c r="GD35" s="2">
        <v>3</v>
      </c>
      <c r="GE35" s="2">
        <v>4</v>
      </c>
      <c r="GG35" s="2">
        <v>4</v>
      </c>
      <c r="GH35" s="2">
        <v>4</v>
      </c>
      <c r="GI35" s="2">
        <v>4</v>
      </c>
      <c r="GJ35" s="2">
        <v>4</v>
      </c>
      <c r="GK35" s="2">
        <v>3</v>
      </c>
      <c r="GM35" s="2">
        <f t="shared" si="0"/>
        <v>19</v>
      </c>
      <c r="GN35" s="2">
        <f t="shared" si="1"/>
        <v>19</v>
      </c>
      <c r="GO35" s="2"/>
      <c r="GP35" s="7">
        <v>3</v>
      </c>
      <c r="GQ35" s="7">
        <v>1</v>
      </c>
      <c r="GR35" s="7"/>
      <c r="GS35" s="7"/>
      <c r="GT35" s="7"/>
      <c r="GU35" s="7"/>
      <c r="GV35" s="7"/>
      <c r="GW35" s="7">
        <v>1</v>
      </c>
      <c r="GX35" s="7"/>
      <c r="GY35" s="7">
        <v>3</v>
      </c>
      <c r="GZ35" s="7">
        <v>1</v>
      </c>
      <c r="HA35" s="7">
        <v>1</v>
      </c>
      <c r="HB35" s="7">
        <v>1</v>
      </c>
      <c r="HC35" s="7"/>
      <c r="HD35" s="7">
        <v>1</v>
      </c>
      <c r="HE35" s="7">
        <v>1</v>
      </c>
      <c r="HF35" s="7">
        <v>2</v>
      </c>
      <c r="HG35" s="7"/>
      <c r="HH35" s="7">
        <f t="shared" si="2"/>
        <v>5</v>
      </c>
      <c r="HI35" s="7">
        <f t="shared" si="3"/>
        <v>10</v>
      </c>
      <c r="HJ35" s="7"/>
      <c r="HK35" s="2">
        <v>8</v>
      </c>
      <c r="HL35" s="2">
        <v>8</v>
      </c>
      <c r="HM35" s="2"/>
      <c r="HN35" s="2"/>
    </row>
    <row r="36" spans="1:222" ht="15.75" customHeight="1" x14ac:dyDescent="0.2">
      <c r="A36" s="3" t="e">
        <f>VLOOKUP(B36,#REF!,1,FALSE)</f>
        <v>#REF!</v>
      </c>
      <c r="B36" s="3">
        <v>44642.049631863425</v>
      </c>
      <c r="C36" s="2">
        <v>38</v>
      </c>
      <c r="D36" s="2" t="s">
        <v>185</v>
      </c>
      <c r="E36" s="2">
        <v>0</v>
      </c>
      <c r="F36" s="2" t="s">
        <v>186</v>
      </c>
      <c r="G36" s="2">
        <v>8</v>
      </c>
      <c r="H36" s="2">
        <v>2</v>
      </c>
      <c r="I36" s="2">
        <v>1</v>
      </c>
      <c r="J36" s="2">
        <v>4</v>
      </c>
      <c r="K36" s="2">
        <v>0</v>
      </c>
      <c r="L36" s="2">
        <v>4</v>
      </c>
      <c r="M36" s="2" t="s">
        <v>187</v>
      </c>
      <c r="N36" s="2">
        <v>2</v>
      </c>
      <c r="O36" s="2">
        <v>5</v>
      </c>
      <c r="P36" s="2">
        <v>0</v>
      </c>
      <c r="Q36" s="2">
        <v>2</v>
      </c>
      <c r="R36" s="2">
        <v>3</v>
      </c>
      <c r="S36" s="2">
        <v>0</v>
      </c>
      <c r="T36" s="2">
        <v>-1</v>
      </c>
      <c r="U36" s="2">
        <v>0</v>
      </c>
      <c r="V36" s="2">
        <v>-1</v>
      </c>
      <c r="W36" s="2">
        <v>0</v>
      </c>
      <c r="X36" s="2"/>
      <c r="Y36" s="2">
        <v>-1</v>
      </c>
      <c r="Z36" s="2">
        <v>1</v>
      </c>
      <c r="AA36" s="2">
        <v>1</v>
      </c>
      <c r="AB36" s="2">
        <v>4</v>
      </c>
      <c r="AC36" s="2">
        <v>2</v>
      </c>
      <c r="AD36" s="2">
        <v>2</v>
      </c>
      <c r="AE36" s="2">
        <v>4</v>
      </c>
      <c r="AF36" s="2">
        <v>4</v>
      </c>
      <c r="AG36" s="2">
        <v>-1</v>
      </c>
      <c r="AH36" s="2">
        <v>1</v>
      </c>
      <c r="AI36" s="2">
        <v>2</v>
      </c>
      <c r="AJ36" s="2">
        <v>3</v>
      </c>
      <c r="AK36" s="2">
        <v>3</v>
      </c>
      <c r="AL36" s="2">
        <v>2</v>
      </c>
      <c r="AM36" s="2">
        <v>3</v>
      </c>
      <c r="AN36" s="2">
        <v>1</v>
      </c>
      <c r="AO36" s="2">
        <v>1</v>
      </c>
      <c r="AP36" s="2">
        <v>1</v>
      </c>
      <c r="AQ36" s="2">
        <v>3</v>
      </c>
      <c r="AR36" s="2">
        <v>3</v>
      </c>
      <c r="AS36" s="2">
        <v>1</v>
      </c>
      <c r="AT36" s="2">
        <v>1</v>
      </c>
      <c r="AU36" s="2">
        <v>1</v>
      </c>
      <c r="AV36" s="2"/>
      <c r="AW36" s="2">
        <v>3</v>
      </c>
      <c r="AX36" s="2">
        <v>2</v>
      </c>
      <c r="AY36" s="2">
        <v>2</v>
      </c>
      <c r="AZ36" s="2">
        <v>4</v>
      </c>
      <c r="BA36" s="2">
        <v>3</v>
      </c>
      <c r="BB36" s="2">
        <v>4</v>
      </c>
      <c r="BC36" s="2">
        <v>3</v>
      </c>
      <c r="BD36" s="2">
        <v>4</v>
      </c>
      <c r="BE36" s="2">
        <v>3</v>
      </c>
      <c r="BF36" s="2">
        <v>1</v>
      </c>
      <c r="BG36" s="2">
        <v>1</v>
      </c>
      <c r="BH36" s="2">
        <v>1</v>
      </c>
      <c r="BI36" s="2"/>
      <c r="BJ36" s="2">
        <v>2</v>
      </c>
      <c r="BK36" s="2">
        <v>2</v>
      </c>
      <c r="BL36" s="2">
        <v>2</v>
      </c>
      <c r="BM36" s="2">
        <v>8</v>
      </c>
      <c r="BN36" s="2">
        <v>9</v>
      </c>
      <c r="BO36" s="2">
        <v>6</v>
      </c>
      <c r="BP36" s="2"/>
      <c r="BQ36" s="2" t="s">
        <v>321</v>
      </c>
      <c r="BR36" s="2"/>
      <c r="BS36" s="2"/>
      <c r="BT36" s="2"/>
      <c r="BU36" s="2"/>
      <c r="BV36" s="2" t="s">
        <v>322</v>
      </c>
      <c r="BW36" s="2"/>
      <c r="BX36" s="2" t="s">
        <v>190</v>
      </c>
      <c r="BY36" s="2" t="s">
        <v>189</v>
      </c>
      <c r="BZ36" s="2" t="s">
        <v>188</v>
      </c>
      <c r="CA36" s="2" t="s">
        <v>189</v>
      </c>
      <c r="CB36" s="2" t="s">
        <v>190</v>
      </c>
      <c r="CC36" s="2" t="s">
        <v>190</v>
      </c>
      <c r="CD36" s="2" t="s">
        <v>189</v>
      </c>
      <c r="CE36" s="2" t="s">
        <v>189</v>
      </c>
      <c r="CF36" s="2" t="s">
        <v>189</v>
      </c>
      <c r="CG36" s="2" t="s">
        <v>189</v>
      </c>
      <c r="CH36" s="2" t="s">
        <v>189</v>
      </c>
      <c r="CI36" s="2" t="s">
        <v>189</v>
      </c>
      <c r="CJ36" s="2" t="s">
        <v>191</v>
      </c>
      <c r="CK36" s="2" t="s">
        <v>191</v>
      </c>
      <c r="CL36" s="2" t="s">
        <v>191</v>
      </c>
      <c r="CM36" s="2" t="s">
        <v>193</v>
      </c>
      <c r="CN36" s="2" t="s">
        <v>192</v>
      </c>
      <c r="CO36" s="2" t="s">
        <v>192</v>
      </c>
      <c r="CP36" s="2" t="s">
        <v>200</v>
      </c>
      <c r="CQ36" s="2" t="s">
        <v>193</v>
      </c>
      <c r="CR36" s="2" t="s">
        <v>193</v>
      </c>
      <c r="CS36" s="2" t="s">
        <v>193</v>
      </c>
      <c r="CT36" s="2" t="s">
        <v>192</v>
      </c>
      <c r="CU36" s="2" t="s">
        <v>193</v>
      </c>
      <c r="CV36" s="2" t="s">
        <v>200</v>
      </c>
      <c r="CW36" s="2" t="s">
        <v>192</v>
      </c>
      <c r="CX36" s="2" t="s">
        <v>193</v>
      </c>
      <c r="CY36" s="2" t="s">
        <v>192</v>
      </c>
      <c r="CZ36" s="2" t="s">
        <v>192</v>
      </c>
      <c r="DA36" s="2" t="s">
        <v>193</v>
      </c>
      <c r="DB36" s="2" t="s">
        <v>193</v>
      </c>
      <c r="DC36" s="2" t="s">
        <v>192</v>
      </c>
      <c r="DD36" s="2" t="s">
        <v>192</v>
      </c>
      <c r="DE36" s="2" t="s">
        <v>192</v>
      </c>
      <c r="DF36" s="2" t="s">
        <v>193</v>
      </c>
      <c r="DG36" s="2" t="s">
        <v>196</v>
      </c>
      <c r="DH36" s="2" t="s">
        <v>196</v>
      </c>
      <c r="DI36" s="2" t="s">
        <v>196</v>
      </c>
      <c r="DJ36" s="2" t="s">
        <v>196</v>
      </c>
      <c r="DK36" s="2" t="s">
        <v>220</v>
      </c>
      <c r="DL36" s="2" t="s">
        <v>196</v>
      </c>
      <c r="DM36" s="2" t="s">
        <v>196</v>
      </c>
      <c r="DN36" s="2" t="s">
        <v>196</v>
      </c>
      <c r="DO36" s="2" t="s">
        <v>220</v>
      </c>
      <c r="DP36" s="2" t="s">
        <v>196</v>
      </c>
      <c r="DQ36" s="2" t="s">
        <v>220</v>
      </c>
      <c r="DR36" s="2" t="s">
        <v>196</v>
      </c>
      <c r="DS36" s="2" t="s">
        <v>197</v>
      </c>
      <c r="DT36" s="2" t="s">
        <v>199</v>
      </c>
      <c r="DU36" s="2" t="s">
        <v>198</v>
      </c>
      <c r="DV36" s="2" t="s">
        <v>198</v>
      </c>
      <c r="DW36" s="2" t="s">
        <v>199</v>
      </c>
      <c r="DX36" s="2" t="s">
        <v>199</v>
      </c>
      <c r="DY36" s="2" t="s">
        <v>198</v>
      </c>
      <c r="DZ36" s="2"/>
      <c r="EA36" s="2">
        <v>0</v>
      </c>
      <c r="EB36" s="2">
        <v>1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1</v>
      </c>
      <c r="EI36" s="2">
        <v>0</v>
      </c>
      <c r="EJ36" s="2">
        <v>1</v>
      </c>
      <c r="EK36" s="2">
        <v>1</v>
      </c>
      <c r="EL36" s="2">
        <v>1</v>
      </c>
      <c r="EM36" s="2">
        <v>1</v>
      </c>
      <c r="EN36" s="2">
        <v>1</v>
      </c>
      <c r="EO36" s="2">
        <v>0</v>
      </c>
      <c r="EP36" s="2">
        <v>1</v>
      </c>
      <c r="EQ36" s="2">
        <v>0</v>
      </c>
      <c r="ER36" s="2">
        <v>0</v>
      </c>
      <c r="ES36" s="2">
        <v>0</v>
      </c>
      <c r="ET36" s="2">
        <v>1</v>
      </c>
      <c r="EU36" s="2">
        <v>0</v>
      </c>
      <c r="EV36" s="2">
        <v>0</v>
      </c>
      <c r="EW36" s="2">
        <v>0</v>
      </c>
      <c r="EX36" s="2">
        <v>0</v>
      </c>
      <c r="EY36" s="2">
        <v>1</v>
      </c>
      <c r="EZ36" s="2">
        <v>1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1</v>
      </c>
      <c r="FM36" s="2">
        <v>1</v>
      </c>
      <c r="FN36" s="2">
        <v>1</v>
      </c>
      <c r="FO36" s="2">
        <v>1</v>
      </c>
      <c r="FP36" s="2">
        <v>1</v>
      </c>
      <c r="FQ36" s="2">
        <v>1</v>
      </c>
      <c r="FR36" s="2">
        <v>1</v>
      </c>
      <c r="FS36" s="2">
        <v>1</v>
      </c>
      <c r="FT36" s="2">
        <v>1</v>
      </c>
      <c r="FU36" s="2">
        <v>1</v>
      </c>
      <c r="FV36" s="2">
        <v>1</v>
      </c>
      <c r="FW36" s="2">
        <v>1</v>
      </c>
      <c r="FX36" s="2">
        <v>1</v>
      </c>
      <c r="FY36" s="2">
        <v>1</v>
      </c>
      <c r="FZ36" s="2"/>
      <c r="GA36" s="2">
        <v>3</v>
      </c>
      <c r="GB36" s="2">
        <v>1</v>
      </c>
      <c r="GC36" s="2">
        <v>1</v>
      </c>
      <c r="GD36" s="2">
        <v>1</v>
      </c>
      <c r="GE36" s="2">
        <v>3</v>
      </c>
      <c r="GG36" s="2">
        <v>4</v>
      </c>
      <c r="GH36" s="2">
        <v>3</v>
      </c>
      <c r="GI36" s="2">
        <v>4</v>
      </c>
      <c r="GJ36" s="2">
        <v>3</v>
      </c>
      <c r="GK36" s="2">
        <v>4</v>
      </c>
      <c r="GM36" s="2">
        <f t="shared" si="0"/>
        <v>9</v>
      </c>
      <c r="GN36" s="2">
        <f t="shared" si="1"/>
        <v>18</v>
      </c>
      <c r="GO36" s="2"/>
      <c r="GP36" s="2">
        <v>3</v>
      </c>
      <c r="GQ36" s="2">
        <v>1</v>
      </c>
      <c r="GR36" s="2">
        <v>1</v>
      </c>
      <c r="GS36" s="2">
        <v>1</v>
      </c>
      <c r="GU36" s="2">
        <v>3</v>
      </c>
      <c r="GV36" s="2">
        <v>2</v>
      </c>
      <c r="GW36" s="2">
        <v>2</v>
      </c>
      <c r="GY36" s="2">
        <v>3</v>
      </c>
      <c r="GZ36" s="2">
        <v>1</v>
      </c>
      <c r="HA36" s="2">
        <v>1</v>
      </c>
      <c r="HB36" s="2">
        <v>1</v>
      </c>
      <c r="HD36" s="2">
        <v>2</v>
      </c>
      <c r="HE36" s="2">
        <v>2</v>
      </c>
      <c r="HF36" s="2">
        <v>2</v>
      </c>
      <c r="HH36" s="2">
        <f t="shared" si="2"/>
        <v>13</v>
      </c>
      <c r="HI36" s="2">
        <f t="shared" si="3"/>
        <v>12</v>
      </c>
      <c r="HJ36" s="2"/>
      <c r="HK36" s="2">
        <v>9</v>
      </c>
      <c r="HL36" s="2">
        <v>6</v>
      </c>
      <c r="HM36" s="2"/>
      <c r="HN36" s="2"/>
    </row>
    <row r="37" spans="1:222" ht="15.75" customHeight="1" x14ac:dyDescent="0.2">
      <c r="A37" s="3" t="e">
        <f>VLOOKUP(B37,#REF!,1,FALSE)</f>
        <v>#REF!</v>
      </c>
      <c r="B37" s="3">
        <v>44642.129023726855</v>
      </c>
      <c r="C37" s="2">
        <v>39</v>
      </c>
      <c r="D37" s="2" t="s">
        <v>185</v>
      </c>
      <c r="E37" s="2">
        <v>0</v>
      </c>
      <c r="F37" s="2" t="s">
        <v>323</v>
      </c>
      <c r="G37" s="2">
        <v>2</v>
      </c>
      <c r="H37" s="2">
        <v>2</v>
      </c>
      <c r="I37" s="2">
        <v>1</v>
      </c>
      <c r="J37" s="2">
        <v>3</v>
      </c>
      <c r="K37" s="2">
        <v>0</v>
      </c>
      <c r="L37" s="2">
        <v>4</v>
      </c>
      <c r="M37" s="2" t="s">
        <v>213</v>
      </c>
      <c r="N37" s="2">
        <v>3</v>
      </c>
      <c r="O37" s="2">
        <v>3</v>
      </c>
      <c r="P37" s="2">
        <v>0</v>
      </c>
      <c r="Q37" s="2">
        <v>3</v>
      </c>
      <c r="R37" s="2">
        <v>3</v>
      </c>
      <c r="S37" s="2">
        <v>0</v>
      </c>
      <c r="T37" s="2">
        <v>0</v>
      </c>
      <c r="U37" s="2">
        <v>0</v>
      </c>
      <c r="V37" s="2">
        <v>1</v>
      </c>
      <c r="W37" s="2">
        <v>1</v>
      </c>
      <c r="X37" s="2"/>
      <c r="Y37" s="2">
        <v>1</v>
      </c>
      <c r="Z37" s="2">
        <v>1</v>
      </c>
      <c r="AA37" s="2">
        <v>1</v>
      </c>
      <c r="AB37" s="2">
        <v>2</v>
      </c>
      <c r="AC37" s="2">
        <v>4</v>
      </c>
      <c r="AD37" s="2">
        <v>2</v>
      </c>
      <c r="AE37" s="2">
        <v>2</v>
      </c>
      <c r="AF37" s="2">
        <v>4</v>
      </c>
      <c r="AG37" s="2">
        <v>2</v>
      </c>
      <c r="AH37" s="2">
        <v>3</v>
      </c>
      <c r="AI37" s="2">
        <v>2</v>
      </c>
      <c r="AJ37" s="2">
        <v>2</v>
      </c>
      <c r="AK37" s="2">
        <v>3</v>
      </c>
      <c r="AL37" s="2">
        <v>2</v>
      </c>
      <c r="AM37" s="2">
        <v>5</v>
      </c>
      <c r="AN37" s="2">
        <v>4</v>
      </c>
      <c r="AO37" s="2">
        <v>4</v>
      </c>
      <c r="AP37" s="2">
        <v>4</v>
      </c>
      <c r="AQ37" s="2">
        <v>3</v>
      </c>
      <c r="AR37" s="2">
        <v>4</v>
      </c>
      <c r="AS37" s="2">
        <v>2</v>
      </c>
      <c r="AT37" s="2">
        <v>4</v>
      </c>
      <c r="AU37" s="2">
        <v>3</v>
      </c>
      <c r="AV37" s="2"/>
      <c r="AW37" s="2">
        <v>4</v>
      </c>
      <c r="AX37" s="2">
        <v>3</v>
      </c>
      <c r="AY37" s="2">
        <v>0</v>
      </c>
      <c r="AZ37" s="2">
        <v>5</v>
      </c>
      <c r="BA37" s="2">
        <v>5</v>
      </c>
      <c r="BB37" s="2">
        <v>5</v>
      </c>
      <c r="BC37" s="2">
        <v>5</v>
      </c>
      <c r="BD37" s="2">
        <v>3</v>
      </c>
      <c r="BE37" s="2">
        <v>4</v>
      </c>
      <c r="BF37" s="2">
        <v>2</v>
      </c>
      <c r="BG37" s="2">
        <v>2</v>
      </c>
      <c r="BH37" s="2"/>
      <c r="BI37" s="2"/>
      <c r="BJ37" s="2">
        <v>3</v>
      </c>
      <c r="BK37" s="2">
        <v>3</v>
      </c>
      <c r="BL37" s="2">
        <v>0</v>
      </c>
      <c r="BM37" s="2">
        <v>9</v>
      </c>
      <c r="BN37" s="2">
        <v>9</v>
      </c>
      <c r="BO37" s="2">
        <v>9</v>
      </c>
      <c r="BP37" s="2"/>
      <c r="BQ37" s="2"/>
      <c r="BR37" s="2"/>
      <c r="BS37" s="2"/>
      <c r="BT37" s="2"/>
      <c r="BU37" s="2"/>
      <c r="BV37" s="2"/>
      <c r="BW37" s="2"/>
      <c r="BX37" s="2" t="s">
        <v>190</v>
      </c>
      <c r="BY37" s="2" t="s">
        <v>189</v>
      </c>
      <c r="BZ37" s="2" t="s">
        <v>189</v>
      </c>
      <c r="CA37" s="2" t="s">
        <v>189</v>
      </c>
      <c r="CB37" s="2" t="s">
        <v>189</v>
      </c>
      <c r="CC37" s="2" t="s">
        <v>189</v>
      </c>
      <c r="CD37" s="2" t="s">
        <v>189</v>
      </c>
      <c r="CE37" s="2" t="s">
        <v>189</v>
      </c>
      <c r="CF37" s="2" t="s">
        <v>189</v>
      </c>
      <c r="CG37" s="2" t="s">
        <v>189</v>
      </c>
      <c r="CH37" s="2" t="s">
        <v>189</v>
      </c>
      <c r="CI37" s="2" t="s">
        <v>189</v>
      </c>
      <c r="CJ37" s="2" t="s">
        <v>189</v>
      </c>
      <c r="CK37" s="2" t="s">
        <v>189</v>
      </c>
      <c r="CL37" s="2" t="s">
        <v>189</v>
      </c>
      <c r="CM37" s="2" t="s">
        <v>192</v>
      </c>
      <c r="CN37" s="2" t="s">
        <v>192</v>
      </c>
      <c r="CO37" s="2" t="s">
        <v>192</v>
      </c>
      <c r="CP37" s="2" t="s">
        <v>192</v>
      </c>
      <c r="CQ37" s="2" t="s">
        <v>192</v>
      </c>
      <c r="CR37" s="2" t="s">
        <v>192</v>
      </c>
      <c r="CS37" s="2" t="s">
        <v>192</v>
      </c>
      <c r="CT37" s="2" t="s">
        <v>192</v>
      </c>
      <c r="CU37" s="2" t="s">
        <v>192</v>
      </c>
      <c r="CV37" s="2" t="s">
        <v>192</v>
      </c>
      <c r="CW37" s="2" t="s">
        <v>193</v>
      </c>
      <c r="CX37" s="2" t="s">
        <v>193</v>
      </c>
      <c r="CY37" s="2" t="s">
        <v>200</v>
      </c>
      <c r="CZ37" s="2" t="s">
        <v>200</v>
      </c>
      <c r="DA37" s="2" t="s">
        <v>192</v>
      </c>
      <c r="DB37" s="2" t="s">
        <v>200</v>
      </c>
      <c r="DC37" s="2" t="s">
        <v>192</v>
      </c>
      <c r="DD37" s="2" t="s">
        <v>192</v>
      </c>
      <c r="DE37" s="2" t="s">
        <v>192</v>
      </c>
      <c r="DF37" s="2" t="s">
        <v>192</v>
      </c>
      <c r="DG37" s="2" t="s">
        <v>220</v>
      </c>
      <c r="DH37" s="2" t="s">
        <v>220</v>
      </c>
      <c r="DI37" s="2" t="s">
        <v>220</v>
      </c>
      <c r="DJ37" s="2" t="s">
        <v>220</v>
      </c>
      <c r="DK37" s="2" t="s">
        <v>220</v>
      </c>
      <c r="DL37" s="2" t="s">
        <v>220</v>
      </c>
      <c r="DM37" s="2" t="s">
        <v>220</v>
      </c>
      <c r="DN37" s="2" t="s">
        <v>220</v>
      </c>
      <c r="DO37" s="2" t="s">
        <v>220</v>
      </c>
      <c r="DP37" s="2" t="s">
        <v>220</v>
      </c>
      <c r="DQ37" s="2" t="s">
        <v>220</v>
      </c>
      <c r="DR37" s="2" t="s">
        <v>220</v>
      </c>
      <c r="DS37" s="2" t="s">
        <v>197</v>
      </c>
      <c r="DT37" s="2" t="s">
        <v>197</v>
      </c>
      <c r="DU37" s="2" t="s">
        <v>197</v>
      </c>
      <c r="DV37" s="2" t="s">
        <v>197</v>
      </c>
      <c r="DW37" s="2" t="s">
        <v>197</v>
      </c>
      <c r="DX37" s="2" t="s">
        <v>197</v>
      </c>
      <c r="DY37" s="2" t="s">
        <v>197</v>
      </c>
      <c r="DZ37" s="2"/>
      <c r="EA37" s="2">
        <v>0</v>
      </c>
      <c r="EB37" s="2">
        <v>0</v>
      </c>
      <c r="EC37" s="2">
        <v>1</v>
      </c>
      <c r="ED37" s="2">
        <v>0</v>
      </c>
      <c r="EE37" s="2">
        <v>0</v>
      </c>
      <c r="EF37" s="2">
        <v>0</v>
      </c>
      <c r="EG37" s="2">
        <v>0</v>
      </c>
      <c r="EH37" s="2">
        <v>1</v>
      </c>
      <c r="EI37" s="2">
        <v>0</v>
      </c>
      <c r="EJ37" s="2">
        <v>1</v>
      </c>
      <c r="EK37" s="2">
        <v>0</v>
      </c>
      <c r="EL37" s="2">
        <v>0</v>
      </c>
      <c r="EM37" s="2">
        <v>1</v>
      </c>
      <c r="EN37" s="2">
        <v>0</v>
      </c>
      <c r="EO37" s="2">
        <v>1</v>
      </c>
      <c r="EP37" s="2">
        <v>0</v>
      </c>
      <c r="EQ37" s="2">
        <v>1</v>
      </c>
      <c r="ER37" s="2">
        <v>0</v>
      </c>
      <c r="ES37" s="2">
        <v>1</v>
      </c>
      <c r="ET37" s="2">
        <v>0</v>
      </c>
      <c r="EU37" s="2">
        <v>1</v>
      </c>
      <c r="EV37" s="2">
        <v>0</v>
      </c>
      <c r="EW37" s="2">
        <v>1</v>
      </c>
      <c r="EX37" s="2">
        <v>0</v>
      </c>
      <c r="EY37" s="2">
        <v>1</v>
      </c>
      <c r="EZ37" s="2">
        <v>0</v>
      </c>
      <c r="FA37" s="2">
        <v>1</v>
      </c>
      <c r="FB37" s="2">
        <v>0</v>
      </c>
      <c r="FC37" s="2">
        <v>1</v>
      </c>
      <c r="FD37" s="2">
        <v>0</v>
      </c>
      <c r="FE37" s="2">
        <v>0</v>
      </c>
      <c r="FF37" s="2">
        <v>0</v>
      </c>
      <c r="FG37" s="2">
        <v>1</v>
      </c>
      <c r="FH37" s="2">
        <v>1</v>
      </c>
      <c r="FI37" s="2">
        <v>0</v>
      </c>
      <c r="FJ37" s="2">
        <v>1</v>
      </c>
      <c r="FK37" s="2">
        <v>0</v>
      </c>
      <c r="FL37" s="2">
        <v>0</v>
      </c>
      <c r="FM37" s="2">
        <v>1</v>
      </c>
      <c r="FN37" s="2">
        <v>1</v>
      </c>
      <c r="FO37" s="2">
        <v>0</v>
      </c>
      <c r="FP37" s="2">
        <v>0</v>
      </c>
      <c r="FQ37" s="2">
        <v>1</v>
      </c>
      <c r="FR37" s="2">
        <v>0</v>
      </c>
      <c r="FS37" s="2">
        <v>1</v>
      </c>
      <c r="FT37" s="2">
        <v>0</v>
      </c>
      <c r="FU37" s="2">
        <v>1</v>
      </c>
      <c r="FV37" s="2">
        <v>0</v>
      </c>
      <c r="FW37" s="2">
        <v>1</v>
      </c>
      <c r="FX37" s="2">
        <v>0</v>
      </c>
      <c r="FY37" s="2">
        <v>1</v>
      </c>
      <c r="FZ37" s="2"/>
      <c r="GA37" s="2">
        <v>5</v>
      </c>
      <c r="GB37" s="2">
        <v>4</v>
      </c>
      <c r="GC37" s="2">
        <v>4</v>
      </c>
      <c r="GD37" s="2">
        <v>4</v>
      </c>
      <c r="GE37" s="2">
        <v>3</v>
      </c>
      <c r="GG37" s="2">
        <v>5</v>
      </c>
      <c r="GH37" s="2">
        <v>5</v>
      </c>
      <c r="GI37" s="2">
        <v>5</v>
      </c>
      <c r="GJ37" s="2">
        <v>5</v>
      </c>
      <c r="GK37" s="2">
        <v>3</v>
      </c>
      <c r="GM37" s="2">
        <f t="shared" si="0"/>
        <v>20</v>
      </c>
      <c r="GN37" s="2">
        <f t="shared" si="1"/>
        <v>23</v>
      </c>
      <c r="GO37" s="2"/>
      <c r="GP37" s="2">
        <v>4</v>
      </c>
      <c r="GQ37" s="2">
        <v>2</v>
      </c>
      <c r="GR37" s="2">
        <v>4</v>
      </c>
      <c r="GS37" s="2">
        <v>3</v>
      </c>
      <c r="GU37" s="2">
        <v>4</v>
      </c>
      <c r="GV37" s="2">
        <v>3</v>
      </c>
      <c r="GW37" s="2">
        <v>0</v>
      </c>
      <c r="GY37" s="2">
        <v>4</v>
      </c>
      <c r="GZ37" s="2">
        <v>2</v>
      </c>
      <c r="HA37" s="2">
        <v>2</v>
      </c>
      <c r="HD37" s="2">
        <v>3</v>
      </c>
      <c r="HE37" s="2">
        <v>3</v>
      </c>
      <c r="HF37" s="2">
        <v>0</v>
      </c>
      <c r="HH37" s="2">
        <f t="shared" si="2"/>
        <v>20</v>
      </c>
      <c r="HI37" s="2">
        <f t="shared" si="3"/>
        <v>14</v>
      </c>
      <c r="HJ37" s="2"/>
      <c r="HK37" s="2">
        <v>9</v>
      </c>
      <c r="HL37" s="2">
        <v>9</v>
      </c>
      <c r="HM37" s="2"/>
      <c r="HN37" s="2"/>
    </row>
    <row r="38" spans="1:222" ht="15.75" customHeight="1" x14ac:dyDescent="0.2">
      <c r="A38" s="3" t="e">
        <f>VLOOKUP(B38,#REF!,1,FALSE)</f>
        <v>#REF!</v>
      </c>
      <c r="B38" s="3">
        <v>44642.271457546296</v>
      </c>
      <c r="C38" s="2">
        <v>40</v>
      </c>
      <c r="D38" s="2" t="s">
        <v>185</v>
      </c>
      <c r="E38" s="2">
        <v>0</v>
      </c>
      <c r="F38" s="2" t="s">
        <v>232</v>
      </c>
      <c r="G38" s="2">
        <v>15</v>
      </c>
      <c r="H38" s="2">
        <v>2</v>
      </c>
      <c r="I38" s="2">
        <v>1</v>
      </c>
      <c r="J38" s="2">
        <v>8</v>
      </c>
      <c r="K38" s="2">
        <v>1</v>
      </c>
      <c r="L38" s="2">
        <v>4</v>
      </c>
      <c r="M38" s="2" t="s">
        <v>208</v>
      </c>
      <c r="N38" s="2">
        <v>3</v>
      </c>
      <c r="O38" s="2">
        <v>4</v>
      </c>
      <c r="P38" s="2">
        <v>0</v>
      </c>
      <c r="Q38" s="2">
        <v>5</v>
      </c>
      <c r="R38" s="2">
        <v>2</v>
      </c>
      <c r="S38" s="2">
        <v>-1</v>
      </c>
      <c r="T38" s="2">
        <v>-1</v>
      </c>
      <c r="U38" s="2">
        <v>-1</v>
      </c>
      <c r="V38" s="2">
        <v>-1</v>
      </c>
      <c r="W38" s="2">
        <v>-1</v>
      </c>
      <c r="X38" s="2"/>
      <c r="Y38" s="2">
        <v>-1</v>
      </c>
      <c r="Z38" s="2">
        <v>1</v>
      </c>
      <c r="AA38" s="2">
        <v>1</v>
      </c>
      <c r="AB38" s="2">
        <v>2</v>
      </c>
      <c r="AC38" s="2">
        <v>2</v>
      </c>
      <c r="AD38" s="2">
        <v>2</v>
      </c>
      <c r="AE38" s="2">
        <v>2</v>
      </c>
      <c r="AF38" s="2">
        <v>4</v>
      </c>
      <c r="AG38" s="2">
        <v>2</v>
      </c>
      <c r="AH38" s="2">
        <v>2</v>
      </c>
      <c r="AI38" s="2">
        <v>3</v>
      </c>
      <c r="AJ38" s="2">
        <v>3</v>
      </c>
      <c r="AK38" s="2">
        <v>3</v>
      </c>
      <c r="AL38" s="2">
        <v>3</v>
      </c>
      <c r="AM38" s="2">
        <v>2</v>
      </c>
      <c r="AN38" s="2">
        <v>4</v>
      </c>
      <c r="AO38" s="2">
        <v>4</v>
      </c>
      <c r="AP38" s="2">
        <v>5</v>
      </c>
      <c r="AQ38" s="2">
        <v>5</v>
      </c>
      <c r="AR38" s="2">
        <v>2</v>
      </c>
      <c r="AS38" s="2">
        <v>1</v>
      </c>
      <c r="AT38" s="2">
        <v>0</v>
      </c>
      <c r="AU38" s="2">
        <v>0</v>
      </c>
      <c r="AV38" s="2"/>
      <c r="AW38" s="2">
        <v>1</v>
      </c>
      <c r="AX38" s="2">
        <v>0</v>
      </c>
      <c r="AY38" s="2">
        <v>0</v>
      </c>
      <c r="AZ38" s="2">
        <v>5</v>
      </c>
      <c r="BA38" s="2">
        <v>5</v>
      </c>
      <c r="BB38" s="2">
        <v>5</v>
      </c>
      <c r="BC38" s="2">
        <v>5</v>
      </c>
      <c r="BD38" s="2">
        <v>5</v>
      </c>
      <c r="BE38" s="2">
        <v>2</v>
      </c>
      <c r="BF38" s="2">
        <v>2</v>
      </c>
      <c r="BG38" s="2">
        <v>0</v>
      </c>
      <c r="BH38" s="2">
        <v>0</v>
      </c>
      <c r="BI38" s="2"/>
      <c r="BJ38" s="2">
        <v>1</v>
      </c>
      <c r="BK38" s="2">
        <v>1</v>
      </c>
      <c r="BL38" s="2">
        <v>2</v>
      </c>
      <c r="BM38" s="2">
        <v>9</v>
      </c>
      <c r="BN38" s="2">
        <v>9</v>
      </c>
      <c r="BO38" s="2">
        <v>9</v>
      </c>
      <c r="BP38" s="2"/>
      <c r="BQ38" s="2"/>
      <c r="BR38" s="2"/>
      <c r="BS38" s="2"/>
      <c r="BT38" s="2"/>
      <c r="BU38" s="2"/>
      <c r="BV38" s="2"/>
      <c r="BW38" s="2"/>
      <c r="BX38" s="2" t="s">
        <v>191</v>
      </c>
      <c r="BY38" s="2" t="s">
        <v>191</v>
      </c>
      <c r="BZ38" s="2" t="s">
        <v>188</v>
      </c>
      <c r="CA38" s="2" t="s">
        <v>190</v>
      </c>
      <c r="CB38" s="2" t="s">
        <v>191</v>
      </c>
      <c r="CC38" s="2" t="s">
        <v>191</v>
      </c>
      <c r="CD38" s="2" t="s">
        <v>189</v>
      </c>
      <c r="CE38" s="2" t="s">
        <v>191</v>
      </c>
      <c r="CF38" s="2" t="s">
        <v>190</v>
      </c>
      <c r="CG38" s="2" t="s">
        <v>188</v>
      </c>
      <c r="CH38" s="2" t="s">
        <v>191</v>
      </c>
      <c r="CI38" s="2" t="s">
        <v>189</v>
      </c>
      <c r="CJ38" s="2" t="s">
        <v>189</v>
      </c>
      <c r="CK38" s="2" t="s">
        <v>191</v>
      </c>
      <c r="CL38" s="2" t="s">
        <v>190</v>
      </c>
      <c r="CM38" s="2" t="s">
        <v>192</v>
      </c>
      <c r="CN38" s="2" t="s">
        <v>192</v>
      </c>
      <c r="CO38" s="2" t="s">
        <v>192</v>
      </c>
      <c r="CP38" s="2" t="s">
        <v>192</v>
      </c>
      <c r="CQ38" s="2" t="s">
        <v>192</v>
      </c>
      <c r="CR38" s="2" t="s">
        <v>193</v>
      </c>
      <c r="CS38" s="2" t="s">
        <v>193</v>
      </c>
      <c r="CT38" s="2" t="s">
        <v>192</v>
      </c>
      <c r="CU38" s="2" t="s">
        <v>192</v>
      </c>
      <c r="CV38" s="2" t="s">
        <v>193</v>
      </c>
      <c r="CW38" s="2" t="s">
        <v>192</v>
      </c>
      <c r="CX38" s="2" t="s">
        <v>193</v>
      </c>
      <c r="CY38" s="2" t="s">
        <v>192</v>
      </c>
      <c r="CZ38" s="2" t="s">
        <v>192</v>
      </c>
      <c r="DA38" s="2" t="s">
        <v>192</v>
      </c>
      <c r="DB38" s="2" t="s">
        <v>192</v>
      </c>
      <c r="DC38" s="2" t="s">
        <v>192</v>
      </c>
      <c r="DD38" s="2" t="s">
        <v>192</v>
      </c>
      <c r="DE38" s="2" t="s">
        <v>192</v>
      </c>
      <c r="DF38" s="2" t="s">
        <v>192</v>
      </c>
      <c r="DG38" s="2" t="s">
        <v>195</v>
      </c>
      <c r="DH38" s="2" t="s">
        <v>195</v>
      </c>
      <c r="DI38" s="2" t="s">
        <v>195</v>
      </c>
      <c r="DJ38" s="2" t="s">
        <v>195</v>
      </c>
      <c r="DK38" s="2" t="s">
        <v>194</v>
      </c>
      <c r="DL38" s="2" t="s">
        <v>195</v>
      </c>
      <c r="DM38" s="2" t="s">
        <v>195</v>
      </c>
      <c r="DN38" s="2" t="s">
        <v>196</v>
      </c>
      <c r="DO38" s="2" t="s">
        <v>196</v>
      </c>
      <c r="DP38" s="2" t="s">
        <v>195</v>
      </c>
      <c r="DQ38" s="2" t="s">
        <v>195</v>
      </c>
      <c r="DR38" s="2" t="s">
        <v>195</v>
      </c>
      <c r="DS38" s="2" t="s">
        <v>197</v>
      </c>
      <c r="DT38" s="2" t="s">
        <v>197</v>
      </c>
      <c r="DU38" s="2" t="s">
        <v>198</v>
      </c>
      <c r="DV38" s="2" t="s">
        <v>197</v>
      </c>
      <c r="DW38" s="2" t="s">
        <v>197</v>
      </c>
      <c r="DX38" s="2" t="s">
        <v>197</v>
      </c>
      <c r="DY38" s="2" t="s">
        <v>197</v>
      </c>
      <c r="DZ38" s="2"/>
      <c r="EA38" s="2">
        <v>0</v>
      </c>
      <c r="EB38" s="2">
        <v>0</v>
      </c>
      <c r="EC38" s="2">
        <v>0</v>
      </c>
      <c r="ED38" s="2">
        <v>1</v>
      </c>
      <c r="EE38" s="2">
        <v>0</v>
      </c>
      <c r="EF38" s="2">
        <v>0</v>
      </c>
      <c r="EG38" s="2">
        <v>0</v>
      </c>
      <c r="EH38" s="2">
        <v>0</v>
      </c>
      <c r="EI38" s="2">
        <v>1</v>
      </c>
      <c r="EJ38" s="2">
        <v>1</v>
      </c>
      <c r="EK38" s="2">
        <v>0</v>
      </c>
      <c r="EL38" s="2">
        <v>0</v>
      </c>
      <c r="EM38" s="2">
        <v>1</v>
      </c>
      <c r="EN38" s="2">
        <v>1</v>
      </c>
      <c r="EO38" s="2">
        <v>0</v>
      </c>
      <c r="EP38" s="2">
        <v>1</v>
      </c>
      <c r="EQ38" s="2">
        <v>0</v>
      </c>
      <c r="ER38" s="2">
        <v>0</v>
      </c>
      <c r="ES38" s="2">
        <v>1</v>
      </c>
      <c r="ET38" s="2">
        <v>0</v>
      </c>
      <c r="EU38" s="2">
        <v>1</v>
      </c>
      <c r="EV38" s="2">
        <v>1</v>
      </c>
      <c r="EW38" s="2">
        <v>0</v>
      </c>
      <c r="EX38" s="2">
        <v>0</v>
      </c>
      <c r="EY38" s="2">
        <v>1</v>
      </c>
      <c r="EZ38" s="2">
        <v>1</v>
      </c>
      <c r="FA38" s="2">
        <v>0</v>
      </c>
      <c r="FB38" s="2">
        <v>1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1</v>
      </c>
      <c r="FP38" s="2">
        <v>0</v>
      </c>
      <c r="FQ38" s="2">
        <v>1</v>
      </c>
      <c r="FR38" s="2">
        <v>0</v>
      </c>
      <c r="FS38" s="2">
        <v>1</v>
      </c>
      <c r="FT38" s="2">
        <v>0</v>
      </c>
      <c r="FU38" s="2">
        <v>1</v>
      </c>
      <c r="FV38" s="2">
        <v>0</v>
      </c>
      <c r="FW38" s="2">
        <v>1</v>
      </c>
      <c r="FX38" s="2">
        <v>0</v>
      </c>
      <c r="FY38" s="2">
        <v>1</v>
      </c>
      <c r="FZ38" s="2"/>
      <c r="GA38" s="2">
        <v>2</v>
      </c>
      <c r="GB38" s="2">
        <v>4</v>
      </c>
      <c r="GC38" s="2">
        <v>4</v>
      </c>
      <c r="GD38" s="2">
        <v>5</v>
      </c>
      <c r="GE38" s="2">
        <v>5</v>
      </c>
      <c r="GG38" s="2">
        <v>5</v>
      </c>
      <c r="GH38" s="2">
        <v>5</v>
      </c>
      <c r="GI38" s="2">
        <v>5</v>
      </c>
      <c r="GJ38" s="2">
        <v>5</v>
      </c>
      <c r="GK38" s="2">
        <v>5</v>
      </c>
      <c r="GM38" s="2">
        <f t="shared" si="0"/>
        <v>20</v>
      </c>
      <c r="GN38" s="2">
        <f t="shared" si="1"/>
        <v>25</v>
      </c>
      <c r="GO38" s="2"/>
      <c r="GP38" s="2">
        <v>2</v>
      </c>
      <c r="GQ38" s="2">
        <v>1</v>
      </c>
      <c r="GR38" s="2">
        <v>0</v>
      </c>
      <c r="GS38" s="2">
        <v>0</v>
      </c>
      <c r="GU38" s="2">
        <v>1</v>
      </c>
      <c r="GV38" s="2">
        <v>0</v>
      </c>
      <c r="GW38" s="2">
        <v>0</v>
      </c>
      <c r="GY38" s="2">
        <v>2</v>
      </c>
      <c r="GZ38" s="2">
        <v>2</v>
      </c>
      <c r="HA38" s="2">
        <v>0</v>
      </c>
      <c r="HB38" s="2">
        <v>0</v>
      </c>
      <c r="HD38" s="2">
        <v>1</v>
      </c>
      <c r="HE38" s="2">
        <v>1</v>
      </c>
      <c r="HF38" s="2">
        <v>2</v>
      </c>
      <c r="HH38" s="2">
        <f t="shared" si="2"/>
        <v>4</v>
      </c>
      <c r="HI38" s="2">
        <f t="shared" si="3"/>
        <v>8</v>
      </c>
      <c r="HJ38" s="2"/>
      <c r="HK38" s="2">
        <v>9</v>
      </c>
      <c r="HL38" s="2">
        <v>9</v>
      </c>
      <c r="HM38" s="2"/>
      <c r="HN38" s="2"/>
    </row>
    <row r="39" spans="1:222" ht="15.75" customHeight="1" x14ac:dyDescent="0.2">
      <c r="A39" s="3" t="e">
        <f>VLOOKUP(B39,#REF!,1,FALSE)</f>
        <v>#REF!</v>
      </c>
      <c r="B39" s="3">
        <v>44642.400190879627</v>
      </c>
      <c r="C39" s="2">
        <v>41</v>
      </c>
      <c r="D39" s="2" t="s">
        <v>185</v>
      </c>
      <c r="E39" s="2">
        <v>0</v>
      </c>
      <c r="F39" s="2" t="s">
        <v>232</v>
      </c>
      <c r="G39" s="2">
        <v>8</v>
      </c>
      <c r="H39" s="2">
        <v>2</v>
      </c>
      <c r="I39" s="2">
        <v>1</v>
      </c>
      <c r="J39" s="2">
        <v>6</v>
      </c>
      <c r="K39" s="2">
        <v>0</v>
      </c>
      <c r="L39" s="2">
        <v>4</v>
      </c>
      <c r="M39" s="2" t="s">
        <v>187</v>
      </c>
      <c r="N39" s="2">
        <v>2</v>
      </c>
      <c r="O39" s="2">
        <v>4</v>
      </c>
      <c r="P39" s="2">
        <v>0</v>
      </c>
      <c r="Q39" s="2">
        <v>2</v>
      </c>
      <c r="R39" s="2">
        <v>2</v>
      </c>
      <c r="S39" s="2">
        <v>1</v>
      </c>
      <c r="T39" s="2">
        <v>-1</v>
      </c>
      <c r="U39" s="2">
        <v>0</v>
      </c>
      <c r="V39" s="2">
        <v>-1</v>
      </c>
      <c r="W39" s="2">
        <v>-1</v>
      </c>
      <c r="X39" s="2"/>
      <c r="Y39" s="2">
        <v>-1</v>
      </c>
      <c r="Z39" s="2">
        <v>1</v>
      </c>
      <c r="AA39" s="2">
        <v>1</v>
      </c>
      <c r="AB39" s="2">
        <v>2</v>
      </c>
      <c r="AC39" s="2">
        <v>1</v>
      </c>
      <c r="AD39" s="2">
        <v>2</v>
      </c>
      <c r="AE39" s="2">
        <v>2</v>
      </c>
      <c r="AF39" s="2">
        <v>2</v>
      </c>
      <c r="AG39" s="2">
        <v>1</v>
      </c>
      <c r="AH39" s="2">
        <v>3</v>
      </c>
      <c r="AI39" s="2">
        <v>2</v>
      </c>
      <c r="AJ39" s="2">
        <v>2</v>
      </c>
      <c r="AK39" s="2">
        <v>2</v>
      </c>
      <c r="AL39" s="2">
        <v>2</v>
      </c>
      <c r="AM39" s="2">
        <v>4</v>
      </c>
      <c r="AN39" s="2">
        <v>3</v>
      </c>
      <c r="AO39" s="2">
        <v>4</v>
      </c>
      <c r="AP39" s="2">
        <v>3</v>
      </c>
      <c r="AQ39" s="2">
        <v>4</v>
      </c>
      <c r="AR39" s="2">
        <v>3</v>
      </c>
      <c r="AS39" s="2">
        <v>1</v>
      </c>
      <c r="AT39" s="2">
        <v>1</v>
      </c>
      <c r="AU39" s="2">
        <v>3</v>
      </c>
      <c r="AV39" s="2"/>
      <c r="AW39" s="2">
        <v>2</v>
      </c>
      <c r="AX39" s="2">
        <v>2</v>
      </c>
      <c r="AY39" s="2">
        <v>2</v>
      </c>
      <c r="AZ39" s="2">
        <v>2</v>
      </c>
      <c r="BA39" s="2">
        <v>3</v>
      </c>
      <c r="BB39" s="2">
        <v>2</v>
      </c>
      <c r="BC39" s="2">
        <v>2</v>
      </c>
      <c r="BD39" s="2">
        <v>2</v>
      </c>
      <c r="BE39" s="2">
        <v>2</v>
      </c>
      <c r="BF39" s="2">
        <v>1</v>
      </c>
      <c r="BG39" s="2">
        <v>1</v>
      </c>
      <c r="BH39" s="2">
        <v>1</v>
      </c>
      <c r="BI39" s="2"/>
      <c r="BJ39" s="2">
        <v>2</v>
      </c>
      <c r="BK39" s="2">
        <v>2</v>
      </c>
      <c r="BL39" s="2">
        <v>1</v>
      </c>
      <c r="BM39" s="2">
        <v>8</v>
      </c>
      <c r="BN39" s="2">
        <v>9</v>
      </c>
      <c r="BO39" s="2">
        <v>8</v>
      </c>
      <c r="BP39" s="2" t="s">
        <v>324</v>
      </c>
      <c r="BQ39" s="2"/>
      <c r="BR39" s="2"/>
      <c r="BS39" s="2"/>
      <c r="BT39" s="2"/>
      <c r="BU39" s="2"/>
      <c r="BV39" s="2" t="s">
        <v>325</v>
      </c>
      <c r="BW39" s="2" t="s">
        <v>326</v>
      </c>
      <c r="BX39" s="2" t="s">
        <v>191</v>
      </c>
      <c r="BY39" s="2" t="s">
        <v>188</v>
      </c>
      <c r="BZ39" s="2" t="s">
        <v>188</v>
      </c>
      <c r="CA39" s="2" t="s">
        <v>190</v>
      </c>
      <c r="CB39" s="2" t="s">
        <v>190</v>
      </c>
      <c r="CC39" s="2" t="s">
        <v>190</v>
      </c>
      <c r="CD39" s="2" t="s">
        <v>189</v>
      </c>
      <c r="CE39" s="2" t="s">
        <v>190</v>
      </c>
      <c r="CF39" s="2" t="s">
        <v>188</v>
      </c>
      <c r="CG39" s="2" t="s">
        <v>189</v>
      </c>
      <c r="CH39" s="2" t="s">
        <v>188</v>
      </c>
      <c r="CI39" s="2" t="s">
        <v>191</v>
      </c>
      <c r="CJ39" s="2" t="s">
        <v>190</v>
      </c>
      <c r="CK39" s="2" t="s">
        <v>190</v>
      </c>
      <c r="CL39" s="2" t="s">
        <v>190</v>
      </c>
      <c r="CM39" s="2" t="s">
        <v>193</v>
      </c>
      <c r="CN39" s="2" t="s">
        <v>192</v>
      </c>
      <c r="CO39" s="2" t="s">
        <v>200</v>
      </c>
      <c r="CP39" s="2" t="s">
        <v>192</v>
      </c>
      <c r="CQ39" s="2" t="s">
        <v>193</v>
      </c>
      <c r="CR39" s="2" t="s">
        <v>200</v>
      </c>
      <c r="CS39" s="2" t="s">
        <v>200</v>
      </c>
      <c r="CT39" s="2" t="s">
        <v>193</v>
      </c>
      <c r="CU39" s="2" t="s">
        <v>193</v>
      </c>
      <c r="CV39" s="2" t="s">
        <v>193</v>
      </c>
      <c r="CW39" s="2" t="s">
        <v>193</v>
      </c>
      <c r="CX39" s="2" t="s">
        <v>200</v>
      </c>
      <c r="CY39" s="2" t="s">
        <v>193</v>
      </c>
      <c r="CZ39" s="2" t="s">
        <v>193</v>
      </c>
      <c r="DA39" s="2" t="s">
        <v>200</v>
      </c>
      <c r="DB39" s="2" t="s">
        <v>192</v>
      </c>
      <c r="DC39" s="2" t="s">
        <v>192</v>
      </c>
      <c r="DD39" s="2" t="s">
        <v>193</v>
      </c>
      <c r="DE39" s="2" t="s">
        <v>193</v>
      </c>
      <c r="DF39" s="2" t="s">
        <v>193</v>
      </c>
      <c r="DG39" s="2" t="s">
        <v>195</v>
      </c>
      <c r="DH39" s="2" t="s">
        <v>195</v>
      </c>
      <c r="DI39" s="2" t="s">
        <v>194</v>
      </c>
      <c r="DJ39" s="2" t="s">
        <v>195</v>
      </c>
      <c r="DK39" s="2" t="s">
        <v>196</v>
      </c>
      <c r="DL39" s="2" t="s">
        <v>194</v>
      </c>
      <c r="DM39" s="2" t="s">
        <v>194</v>
      </c>
      <c r="DN39" s="2" t="s">
        <v>194</v>
      </c>
      <c r="DO39" s="2" t="s">
        <v>196</v>
      </c>
      <c r="DP39" s="2" t="s">
        <v>194</v>
      </c>
      <c r="DQ39" s="2" t="s">
        <v>195</v>
      </c>
      <c r="DR39" s="2" t="s">
        <v>195</v>
      </c>
      <c r="DS39" s="2" t="s">
        <v>197</v>
      </c>
      <c r="DT39" s="2" t="s">
        <v>198</v>
      </c>
      <c r="DU39" s="2" t="s">
        <v>198</v>
      </c>
      <c r="DV39" s="2" t="s">
        <v>197</v>
      </c>
      <c r="DW39" s="2" t="s">
        <v>198</v>
      </c>
      <c r="DX39" s="2" t="s">
        <v>198</v>
      </c>
      <c r="DY39" s="2" t="s">
        <v>197</v>
      </c>
      <c r="DZ39" s="2"/>
      <c r="EA39" s="2">
        <v>0</v>
      </c>
      <c r="EB39" s="2">
        <v>1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1</v>
      </c>
      <c r="EI39" s="2">
        <v>1</v>
      </c>
      <c r="EJ39" s="2">
        <v>1</v>
      </c>
      <c r="EK39" s="2">
        <v>1</v>
      </c>
      <c r="EL39" s="2">
        <v>1</v>
      </c>
      <c r="EM39" s="2">
        <v>1</v>
      </c>
      <c r="EN39" s="2">
        <v>0</v>
      </c>
      <c r="EO39" s="2">
        <v>0</v>
      </c>
      <c r="EP39" s="2">
        <v>1</v>
      </c>
      <c r="EQ39" s="2">
        <v>1</v>
      </c>
      <c r="ER39" s="2">
        <v>0</v>
      </c>
      <c r="ES39" s="2">
        <v>1</v>
      </c>
      <c r="ET39" s="2">
        <v>1</v>
      </c>
      <c r="EU39" s="2">
        <v>1</v>
      </c>
      <c r="EV39" s="2">
        <v>1</v>
      </c>
      <c r="EW39" s="2">
        <v>0</v>
      </c>
      <c r="EX39" s="2">
        <v>1</v>
      </c>
      <c r="EY39" s="2">
        <v>1</v>
      </c>
      <c r="EZ39" s="2">
        <v>0</v>
      </c>
      <c r="FA39" s="2">
        <v>0</v>
      </c>
      <c r="FB39" s="2">
        <v>1</v>
      </c>
      <c r="FC39" s="2">
        <v>1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1</v>
      </c>
      <c r="FM39" s="2">
        <v>0</v>
      </c>
      <c r="FN39" s="2">
        <v>1</v>
      </c>
      <c r="FO39" s="2">
        <v>1</v>
      </c>
      <c r="FP39" s="2">
        <v>1</v>
      </c>
      <c r="FQ39" s="2">
        <v>1</v>
      </c>
      <c r="FR39" s="2">
        <v>1</v>
      </c>
      <c r="FS39" s="2">
        <v>1</v>
      </c>
      <c r="FT39" s="2">
        <v>1</v>
      </c>
      <c r="FU39" s="2">
        <v>1</v>
      </c>
      <c r="FV39" s="2">
        <v>1</v>
      </c>
      <c r="FW39" s="2">
        <v>1</v>
      </c>
      <c r="FX39" s="2">
        <v>1</v>
      </c>
      <c r="FY39" s="2">
        <v>1</v>
      </c>
      <c r="FZ39" s="2"/>
      <c r="GA39" s="2">
        <v>4</v>
      </c>
      <c r="GB39" s="2">
        <v>3</v>
      </c>
      <c r="GC39" s="2">
        <v>4</v>
      </c>
      <c r="GD39" s="2">
        <v>3</v>
      </c>
      <c r="GE39" s="2">
        <v>4</v>
      </c>
      <c r="GG39" s="2">
        <v>2</v>
      </c>
      <c r="GH39" s="2">
        <v>3</v>
      </c>
      <c r="GI39" s="2">
        <v>2</v>
      </c>
      <c r="GJ39" s="2">
        <v>2</v>
      </c>
      <c r="GK39" s="2">
        <v>2</v>
      </c>
      <c r="GM39" s="2">
        <f t="shared" si="0"/>
        <v>18</v>
      </c>
      <c r="GN39" s="2">
        <f t="shared" si="1"/>
        <v>11</v>
      </c>
      <c r="GO39" s="2"/>
      <c r="GP39" s="2">
        <v>3</v>
      </c>
      <c r="GQ39" s="2">
        <v>1</v>
      </c>
      <c r="GR39" s="2">
        <v>1</v>
      </c>
      <c r="GS39" s="2">
        <v>3</v>
      </c>
      <c r="GU39" s="2">
        <v>2</v>
      </c>
      <c r="GV39" s="2">
        <v>2</v>
      </c>
      <c r="GW39" s="2">
        <v>2</v>
      </c>
      <c r="GY39" s="2">
        <v>2</v>
      </c>
      <c r="GZ39" s="2">
        <v>1</v>
      </c>
      <c r="HA39" s="2">
        <v>1</v>
      </c>
      <c r="HB39" s="2">
        <v>1</v>
      </c>
      <c r="HD39" s="2">
        <v>2</v>
      </c>
      <c r="HE39" s="2">
        <v>2</v>
      </c>
      <c r="HF39" s="2">
        <v>1</v>
      </c>
      <c r="HH39" s="2">
        <f t="shared" si="2"/>
        <v>14</v>
      </c>
      <c r="HI39" s="2">
        <f t="shared" si="3"/>
        <v>10</v>
      </c>
      <c r="HJ39" s="2"/>
      <c r="HK39" s="2">
        <v>9</v>
      </c>
      <c r="HL39" s="2">
        <v>8</v>
      </c>
      <c r="HM39" s="2"/>
      <c r="HN39" s="2"/>
    </row>
    <row r="40" spans="1:222" ht="15.75" customHeight="1" x14ac:dyDescent="0.2">
      <c r="A40" s="3" t="e">
        <f>VLOOKUP(B40,#REF!,1,FALSE)</f>
        <v>#REF!</v>
      </c>
      <c r="B40" s="3">
        <v>44642.442874108798</v>
      </c>
      <c r="C40" s="2">
        <v>42</v>
      </c>
      <c r="D40" s="2" t="s">
        <v>185</v>
      </c>
      <c r="E40" s="2">
        <v>0</v>
      </c>
      <c r="F40" s="2" t="s">
        <v>186</v>
      </c>
      <c r="G40" s="2">
        <v>2</v>
      </c>
      <c r="H40" s="2">
        <v>0.5</v>
      </c>
      <c r="I40" s="2">
        <v>1</v>
      </c>
      <c r="J40" s="2">
        <v>6</v>
      </c>
      <c r="K40" s="2">
        <v>0</v>
      </c>
      <c r="L40" s="2">
        <v>3</v>
      </c>
      <c r="M40" s="2" t="s">
        <v>187</v>
      </c>
      <c r="N40" s="2">
        <v>2</v>
      </c>
      <c r="O40" s="2">
        <v>4</v>
      </c>
      <c r="P40" s="2">
        <v>0</v>
      </c>
      <c r="Q40" s="2" t="s">
        <v>214</v>
      </c>
      <c r="R40" s="2">
        <v>3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/>
      <c r="Y40" s="2">
        <v>-1</v>
      </c>
      <c r="Z40" s="2">
        <v>0</v>
      </c>
      <c r="AA40" s="2">
        <v>-1</v>
      </c>
      <c r="AB40" s="2">
        <v>2</v>
      </c>
      <c r="AC40" s="2">
        <v>2</v>
      </c>
      <c r="AD40" s="2">
        <v>2</v>
      </c>
      <c r="AE40" s="2">
        <v>2</v>
      </c>
      <c r="AF40" s="2">
        <v>1</v>
      </c>
      <c r="AG40" s="2">
        <v>2</v>
      </c>
      <c r="AH40" s="2">
        <v>2</v>
      </c>
      <c r="AI40" s="2">
        <v>2</v>
      </c>
      <c r="AJ40" s="2">
        <v>2</v>
      </c>
      <c r="AK40" s="2">
        <v>2</v>
      </c>
      <c r="AL40" s="2">
        <v>2</v>
      </c>
      <c r="AM40" s="2">
        <v>3</v>
      </c>
      <c r="AN40" s="2">
        <v>3</v>
      </c>
      <c r="AO40" s="2">
        <v>4</v>
      </c>
      <c r="AP40" s="2">
        <v>2</v>
      </c>
      <c r="AQ40" s="2">
        <v>3</v>
      </c>
      <c r="AR40" s="2">
        <v>2</v>
      </c>
      <c r="AS40" s="2">
        <v>2</v>
      </c>
      <c r="AT40" s="2">
        <v>1</v>
      </c>
      <c r="AU40" s="2">
        <v>1</v>
      </c>
      <c r="AV40" s="2"/>
      <c r="AW40" s="2">
        <v>1</v>
      </c>
      <c r="AX40" s="2">
        <v>3</v>
      </c>
      <c r="AY40" s="2">
        <v>0</v>
      </c>
      <c r="AZ40" s="2">
        <v>3</v>
      </c>
      <c r="BA40" s="2">
        <v>3</v>
      </c>
      <c r="BB40" s="2">
        <v>3</v>
      </c>
      <c r="BC40" s="2">
        <v>4</v>
      </c>
      <c r="BD40" s="2">
        <v>3</v>
      </c>
      <c r="BE40" s="2">
        <v>2</v>
      </c>
      <c r="BF40" s="2">
        <v>1</v>
      </c>
      <c r="BG40" s="2">
        <v>0</v>
      </c>
      <c r="BH40" s="2">
        <v>1</v>
      </c>
      <c r="BI40" s="2"/>
      <c r="BJ40" s="2">
        <v>1</v>
      </c>
      <c r="BK40" s="2">
        <v>0</v>
      </c>
      <c r="BL40" s="2">
        <v>0</v>
      </c>
      <c r="BM40" s="2">
        <v>7</v>
      </c>
      <c r="BN40" s="2">
        <v>8</v>
      </c>
      <c r="BO40" s="2">
        <v>6</v>
      </c>
      <c r="BP40" s="2"/>
      <c r="BQ40" s="2"/>
      <c r="BR40" s="2"/>
      <c r="BS40" s="2"/>
      <c r="BT40" s="2"/>
      <c r="BU40" s="2"/>
      <c r="BV40" s="2" t="s">
        <v>327</v>
      </c>
      <c r="BW40" s="2" t="s">
        <v>328</v>
      </c>
      <c r="BX40" s="2" t="s">
        <v>191</v>
      </c>
      <c r="BY40" s="2" t="s">
        <v>190</v>
      </c>
      <c r="BZ40" s="2" t="s">
        <v>190</v>
      </c>
      <c r="CA40" s="2" t="s">
        <v>188</v>
      </c>
      <c r="CB40" s="2" t="s">
        <v>188</v>
      </c>
      <c r="CC40" s="2" t="s">
        <v>191</v>
      </c>
      <c r="CD40" s="2" t="s">
        <v>189</v>
      </c>
      <c r="CE40" s="2" t="s">
        <v>190</v>
      </c>
      <c r="CF40" s="2" t="s">
        <v>191</v>
      </c>
      <c r="CG40" s="2" t="s">
        <v>191</v>
      </c>
      <c r="CH40" s="2" t="s">
        <v>190</v>
      </c>
      <c r="CI40" s="2" t="s">
        <v>190</v>
      </c>
      <c r="CJ40" s="2" t="s">
        <v>189</v>
      </c>
      <c r="CK40" s="2" t="s">
        <v>190</v>
      </c>
      <c r="CL40" s="2" t="s">
        <v>190</v>
      </c>
      <c r="CM40" s="2" t="s">
        <v>192</v>
      </c>
      <c r="CN40" s="2" t="s">
        <v>192</v>
      </c>
      <c r="CO40" s="2" t="s">
        <v>192</v>
      </c>
      <c r="CP40" s="2" t="s">
        <v>192</v>
      </c>
      <c r="CQ40" s="2" t="s">
        <v>192</v>
      </c>
      <c r="CR40" s="2" t="s">
        <v>193</v>
      </c>
      <c r="CS40" s="2" t="s">
        <v>193</v>
      </c>
      <c r="CT40" s="2" t="s">
        <v>200</v>
      </c>
      <c r="CU40" s="2" t="s">
        <v>193</v>
      </c>
      <c r="CV40" s="2" t="s">
        <v>193</v>
      </c>
      <c r="CW40" s="2" t="s">
        <v>192</v>
      </c>
      <c r="CX40" s="2" t="s">
        <v>193</v>
      </c>
      <c r="CY40" s="2" t="s">
        <v>193</v>
      </c>
      <c r="CZ40" s="2" t="s">
        <v>192</v>
      </c>
      <c r="DA40" s="2" t="s">
        <v>193</v>
      </c>
      <c r="DB40" s="2" t="s">
        <v>192</v>
      </c>
      <c r="DC40" s="2" t="s">
        <v>192</v>
      </c>
      <c r="DD40" s="2" t="s">
        <v>192</v>
      </c>
      <c r="DE40" s="2" t="s">
        <v>193</v>
      </c>
      <c r="DF40" s="2" t="s">
        <v>192</v>
      </c>
      <c r="DG40" s="2" t="s">
        <v>194</v>
      </c>
      <c r="DH40" s="2" t="s">
        <v>195</v>
      </c>
      <c r="DI40" s="2" t="s">
        <v>201</v>
      </c>
      <c r="DJ40" s="2" t="s">
        <v>195</v>
      </c>
      <c r="DK40" s="2" t="s">
        <v>196</v>
      </c>
      <c r="DL40" s="2" t="s">
        <v>195</v>
      </c>
      <c r="DM40" s="2" t="s">
        <v>195</v>
      </c>
      <c r="DN40" s="2" t="s">
        <v>194</v>
      </c>
      <c r="DO40" s="2" t="s">
        <v>196</v>
      </c>
      <c r="DP40" s="2" t="s">
        <v>201</v>
      </c>
      <c r="DQ40" s="2" t="s">
        <v>195</v>
      </c>
      <c r="DR40" s="2" t="s">
        <v>195</v>
      </c>
      <c r="DS40" s="2" t="s">
        <v>197</v>
      </c>
      <c r="DT40" s="2" t="s">
        <v>197</v>
      </c>
      <c r="DU40" s="2" t="s">
        <v>198</v>
      </c>
      <c r="DV40" s="2" t="s">
        <v>197</v>
      </c>
      <c r="DW40" s="2" t="s">
        <v>197</v>
      </c>
      <c r="DX40" s="2" t="s">
        <v>197</v>
      </c>
      <c r="DY40" s="2" t="s">
        <v>197</v>
      </c>
      <c r="DZ40" s="2"/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1</v>
      </c>
      <c r="EG40" s="2">
        <v>0</v>
      </c>
      <c r="EH40" s="2">
        <v>1</v>
      </c>
      <c r="EI40" s="2">
        <v>0</v>
      </c>
      <c r="EJ40" s="2">
        <v>1</v>
      </c>
      <c r="EK40" s="2">
        <v>0</v>
      </c>
      <c r="EL40" s="2">
        <v>1</v>
      </c>
      <c r="EM40" s="2">
        <v>0</v>
      </c>
      <c r="EN40" s="2">
        <v>1</v>
      </c>
      <c r="EO40" s="2">
        <v>0</v>
      </c>
      <c r="EP40" s="2">
        <v>1</v>
      </c>
      <c r="EQ40" s="2">
        <v>0</v>
      </c>
      <c r="ER40" s="2">
        <v>1</v>
      </c>
      <c r="ES40" s="2">
        <v>0</v>
      </c>
      <c r="ET40" s="2">
        <v>1</v>
      </c>
      <c r="EU40" s="2">
        <v>1</v>
      </c>
      <c r="EV40" s="2">
        <v>1</v>
      </c>
      <c r="EW40" s="2">
        <v>0</v>
      </c>
      <c r="EX40" s="2">
        <v>1</v>
      </c>
      <c r="EY40" s="2">
        <v>1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1</v>
      </c>
      <c r="FI40" s="2">
        <v>0</v>
      </c>
      <c r="FJ40" s="2">
        <v>1</v>
      </c>
      <c r="FK40" s="2">
        <v>0</v>
      </c>
      <c r="FL40" s="2">
        <v>0</v>
      </c>
      <c r="FM40" s="2">
        <v>0</v>
      </c>
      <c r="FN40" s="2">
        <v>1</v>
      </c>
      <c r="FO40" s="2">
        <v>0</v>
      </c>
      <c r="FP40" s="2">
        <v>1</v>
      </c>
      <c r="FQ40" s="2">
        <v>0</v>
      </c>
      <c r="FR40" s="2">
        <v>1</v>
      </c>
      <c r="FS40" s="2">
        <v>1</v>
      </c>
      <c r="FT40" s="2">
        <v>1</v>
      </c>
      <c r="FU40" s="2">
        <v>1</v>
      </c>
      <c r="FV40" s="2">
        <v>1</v>
      </c>
      <c r="FW40" s="2">
        <v>1</v>
      </c>
      <c r="FX40" s="2">
        <v>1</v>
      </c>
      <c r="FY40" s="2">
        <v>0</v>
      </c>
      <c r="FZ40" s="2"/>
      <c r="GA40" s="2">
        <v>3</v>
      </c>
      <c r="GB40" s="2">
        <v>3</v>
      </c>
      <c r="GC40" s="2">
        <v>4</v>
      </c>
      <c r="GD40" s="2">
        <v>2</v>
      </c>
      <c r="GE40" s="2">
        <v>3</v>
      </c>
      <c r="GG40" s="2">
        <v>3</v>
      </c>
      <c r="GH40" s="2">
        <v>3</v>
      </c>
      <c r="GI40" s="2">
        <v>3</v>
      </c>
      <c r="GJ40" s="2">
        <v>4</v>
      </c>
      <c r="GK40" s="2">
        <v>3</v>
      </c>
      <c r="GM40" s="2">
        <f t="shared" si="0"/>
        <v>15</v>
      </c>
      <c r="GN40" s="2">
        <f t="shared" si="1"/>
        <v>16</v>
      </c>
      <c r="GO40" s="2"/>
      <c r="GP40" s="2">
        <v>2</v>
      </c>
      <c r="GQ40" s="2">
        <v>2</v>
      </c>
      <c r="GR40" s="2">
        <v>1</v>
      </c>
      <c r="GS40" s="2">
        <v>1</v>
      </c>
      <c r="GU40" s="2">
        <v>1</v>
      </c>
      <c r="GV40" s="2">
        <v>3</v>
      </c>
      <c r="GW40" s="2">
        <v>0</v>
      </c>
      <c r="GY40" s="2">
        <v>2</v>
      </c>
      <c r="GZ40" s="2">
        <v>1</v>
      </c>
      <c r="HA40" s="2">
        <v>0</v>
      </c>
      <c r="HB40" s="2">
        <v>1</v>
      </c>
      <c r="HD40" s="2">
        <v>1</v>
      </c>
      <c r="HE40" s="2">
        <v>0</v>
      </c>
      <c r="HF40" s="2">
        <v>0</v>
      </c>
      <c r="HH40" s="2">
        <f t="shared" si="2"/>
        <v>10</v>
      </c>
      <c r="HI40" s="2">
        <f t="shared" si="3"/>
        <v>5</v>
      </c>
      <c r="HJ40" s="2"/>
      <c r="HK40" s="2">
        <v>8</v>
      </c>
      <c r="HL40" s="2">
        <v>6</v>
      </c>
      <c r="HM40" s="2"/>
      <c r="HN40" s="2"/>
    </row>
    <row r="41" spans="1:222" ht="15.75" customHeight="1" x14ac:dyDescent="0.2">
      <c r="A41" s="3" t="e">
        <f>VLOOKUP(B41,#REF!,1,FALSE)</f>
        <v>#REF!</v>
      </c>
      <c r="B41" s="3">
        <v>44642.446999780092</v>
      </c>
      <c r="C41" s="2">
        <v>43</v>
      </c>
      <c r="D41" s="2" t="s">
        <v>185</v>
      </c>
      <c r="E41" s="2">
        <v>0</v>
      </c>
      <c r="F41" s="2" t="s">
        <v>186</v>
      </c>
      <c r="G41" s="2">
        <v>8</v>
      </c>
      <c r="H41" s="2">
        <v>8</v>
      </c>
      <c r="I41" s="2">
        <v>1</v>
      </c>
      <c r="J41" s="2">
        <v>4</v>
      </c>
      <c r="K41" s="2">
        <v>0</v>
      </c>
      <c r="L41" s="2">
        <v>4</v>
      </c>
      <c r="M41" s="2" t="s">
        <v>187</v>
      </c>
      <c r="N41" s="2">
        <v>2</v>
      </c>
      <c r="O41" s="2">
        <v>4</v>
      </c>
      <c r="P41" s="2">
        <v>0</v>
      </c>
      <c r="Q41" s="2">
        <v>0</v>
      </c>
      <c r="R41" s="2">
        <v>3</v>
      </c>
      <c r="S41" s="2">
        <v>0</v>
      </c>
      <c r="T41" s="2">
        <v>-1</v>
      </c>
      <c r="U41" s="2">
        <v>1</v>
      </c>
      <c r="V41" s="2">
        <v>0</v>
      </c>
      <c r="W41" s="2">
        <v>1</v>
      </c>
      <c r="X41" s="2"/>
      <c r="Y41" s="2">
        <v>1</v>
      </c>
      <c r="Z41" s="2">
        <v>1</v>
      </c>
      <c r="AA41" s="2">
        <v>0</v>
      </c>
      <c r="AB41" s="2">
        <v>2</v>
      </c>
      <c r="AC41" s="2">
        <v>0</v>
      </c>
      <c r="AD41" s="2">
        <v>0</v>
      </c>
      <c r="AE41" s="2">
        <v>2</v>
      </c>
      <c r="AF41" s="2">
        <v>2</v>
      </c>
      <c r="AG41" s="2">
        <v>-2</v>
      </c>
      <c r="AH41" s="2">
        <v>-1</v>
      </c>
      <c r="AI41" s="2">
        <v>2</v>
      </c>
      <c r="AJ41" s="2">
        <v>1</v>
      </c>
      <c r="AK41" s="2">
        <v>1</v>
      </c>
      <c r="AL41" s="2">
        <v>-1</v>
      </c>
      <c r="AM41" s="2">
        <v>3</v>
      </c>
      <c r="AN41" s="2">
        <v>3</v>
      </c>
      <c r="AO41" s="2">
        <v>2</v>
      </c>
      <c r="AP41" s="2">
        <v>2</v>
      </c>
      <c r="AQ41" s="2">
        <v>3</v>
      </c>
      <c r="AR41" s="2">
        <v>3</v>
      </c>
      <c r="AS41" s="2">
        <v>0</v>
      </c>
      <c r="AT41" s="2">
        <v>2</v>
      </c>
      <c r="AU41" s="2">
        <v>0</v>
      </c>
      <c r="AV41" s="2"/>
      <c r="AW41" s="2">
        <v>1</v>
      </c>
      <c r="AX41" s="2">
        <v>3</v>
      </c>
      <c r="AY41" s="2">
        <v>2</v>
      </c>
      <c r="AZ41" s="2">
        <v>3</v>
      </c>
      <c r="BA41" s="2">
        <v>3</v>
      </c>
      <c r="BB41" s="2">
        <v>2</v>
      </c>
      <c r="BC41" s="2">
        <v>2</v>
      </c>
      <c r="BD41" s="2">
        <v>4</v>
      </c>
      <c r="BE41" s="2">
        <v>2</v>
      </c>
      <c r="BF41" s="2">
        <v>2</v>
      </c>
      <c r="BG41" s="2">
        <v>3</v>
      </c>
      <c r="BH41" s="2">
        <v>3</v>
      </c>
      <c r="BI41" s="2"/>
      <c r="BJ41" s="2">
        <v>4</v>
      </c>
      <c r="BK41" s="2">
        <v>3</v>
      </c>
      <c r="BL41" s="2">
        <v>0</v>
      </c>
      <c r="BM41" s="2">
        <v>6</v>
      </c>
      <c r="BN41" s="2">
        <v>4</v>
      </c>
      <c r="BO41" s="2">
        <v>5</v>
      </c>
      <c r="BP41" s="2"/>
      <c r="BQ41" s="2"/>
      <c r="BR41" s="2"/>
      <c r="BS41" s="2"/>
      <c r="BT41" s="2"/>
      <c r="BU41" s="2"/>
      <c r="BV41" s="2"/>
      <c r="BW41" s="2"/>
      <c r="BX41" s="2" t="s">
        <v>188</v>
      </c>
      <c r="BY41" s="2" t="s">
        <v>188</v>
      </c>
      <c r="BZ41" s="2" t="s">
        <v>188</v>
      </c>
      <c r="CA41" s="2" t="s">
        <v>188</v>
      </c>
      <c r="CB41" s="2" t="s">
        <v>188</v>
      </c>
      <c r="CC41" s="2" t="s">
        <v>188</v>
      </c>
      <c r="CD41" s="2" t="s">
        <v>189</v>
      </c>
      <c r="CE41" s="2" t="s">
        <v>191</v>
      </c>
      <c r="CF41" s="2" t="s">
        <v>191</v>
      </c>
      <c r="CG41" s="2" t="s">
        <v>190</v>
      </c>
      <c r="CH41" s="2" t="s">
        <v>188</v>
      </c>
      <c r="CI41" s="2" t="s">
        <v>188</v>
      </c>
      <c r="CJ41" s="2" t="s">
        <v>191</v>
      </c>
      <c r="CK41" s="2" t="s">
        <v>188</v>
      </c>
      <c r="CL41" s="2" t="s">
        <v>188</v>
      </c>
      <c r="CM41" s="2" t="s">
        <v>193</v>
      </c>
      <c r="CN41" s="2" t="s">
        <v>193</v>
      </c>
      <c r="CO41" s="2" t="s">
        <v>200</v>
      </c>
      <c r="CP41" s="2" t="s">
        <v>200</v>
      </c>
      <c r="CQ41" s="2" t="s">
        <v>193</v>
      </c>
      <c r="CR41" s="2" t="s">
        <v>200</v>
      </c>
      <c r="CS41" s="2" t="s">
        <v>200</v>
      </c>
      <c r="CT41" s="2" t="s">
        <v>193</v>
      </c>
      <c r="CU41" s="2" t="s">
        <v>200</v>
      </c>
      <c r="CV41" s="2" t="s">
        <v>200</v>
      </c>
      <c r="CW41" s="2" t="s">
        <v>192</v>
      </c>
      <c r="CX41" s="2" t="s">
        <v>200</v>
      </c>
      <c r="CY41" s="2" t="s">
        <v>193</v>
      </c>
      <c r="CZ41" s="2" t="s">
        <v>192</v>
      </c>
      <c r="DA41" s="2" t="s">
        <v>200</v>
      </c>
      <c r="DB41" s="2" t="s">
        <v>192</v>
      </c>
      <c r="DC41" s="2" t="s">
        <v>192</v>
      </c>
      <c r="DD41" s="2" t="s">
        <v>192</v>
      </c>
      <c r="DE41" s="2" t="s">
        <v>192</v>
      </c>
      <c r="DF41" s="2" t="s">
        <v>192</v>
      </c>
      <c r="DG41" s="2" t="s">
        <v>195</v>
      </c>
      <c r="DH41" s="2" t="s">
        <v>201</v>
      </c>
      <c r="DI41" s="2" t="s">
        <v>195</v>
      </c>
      <c r="DJ41" s="2" t="s">
        <v>201</v>
      </c>
      <c r="DK41" s="2" t="s">
        <v>195</v>
      </c>
      <c r="DL41" s="2" t="s">
        <v>195</v>
      </c>
      <c r="DM41" s="2" t="s">
        <v>195</v>
      </c>
      <c r="DN41" s="2" t="s">
        <v>194</v>
      </c>
      <c r="DO41" s="2" t="s">
        <v>194</v>
      </c>
      <c r="DP41" s="2" t="s">
        <v>195</v>
      </c>
      <c r="DQ41" s="2" t="s">
        <v>194</v>
      </c>
      <c r="DR41" s="2" t="s">
        <v>195</v>
      </c>
      <c r="DS41" s="2" t="s">
        <v>197</v>
      </c>
      <c r="DT41" s="2" t="s">
        <v>197</v>
      </c>
      <c r="DU41" s="2" t="s">
        <v>221</v>
      </c>
      <c r="DV41" s="2" t="s">
        <v>221</v>
      </c>
      <c r="DW41" s="2" t="s">
        <v>199</v>
      </c>
      <c r="DX41" s="2" t="s">
        <v>199</v>
      </c>
      <c r="DY41" s="2" t="s">
        <v>221</v>
      </c>
      <c r="DZ41" s="2"/>
      <c r="EA41" s="2">
        <v>1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1</v>
      </c>
      <c r="EJ41" s="2">
        <v>1</v>
      </c>
      <c r="EK41" s="2">
        <v>0</v>
      </c>
      <c r="EL41" s="2">
        <v>1</v>
      </c>
      <c r="EM41" s="2">
        <v>0</v>
      </c>
      <c r="EN41" s="2">
        <v>1</v>
      </c>
      <c r="EO41" s="2">
        <v>0</v>
      </c>
      <c r="EP41" s="2">
        <v>1</v>
      </c>
      <c r="EQ41" s="2">
        <v>0</v>
      </c>
      <c r="ER41" s="2">
        <v>0</v>
      </c>
      <c r="ES41" s="2">
        <v>1</v>
      </c>
      <c r="ET41" s="2">
        <v>1</v>
      </c>
      <c r="EU41" s="2">
        <v>0</v>
      </c>
      <c r="EV41" s="2">
        <v>0</v>
      </c>
      <c r="EW41" s="2">
        <v>1</v>
      </c>
      <c r="EX41" s="2">
        <v>0</v>
      </c>
      <c r="EY41" s="2">
        <v>1</v>
      </c>
      <c r="EZ41" s="2">
        <v>1</v>
      </c>
      <c r="FA41" s="2">
        <v>0</v>
      </c>
      <c r="FB41" s="2">
        <v>0</v>
      </c>
      <c r="FC41" s="2">
        <v>1</v>
      </c>
      <c r="FD41" s="2">
        <v>0</v>
      </c>
      <c r="FE41" s="2">
        <v>0</v>
      </c>
      <c r="FF41" s="2">
        <v>0</v>
      </c>
      <c r="FG41" s="2">
        <v>1</v>
      </c>
      <c r="FH41" s="2">
        <v>1</v>
      </c>
      <c r="FI41" s="2">
        <v>0</v>
      </c>
      <c r="FJ41" s="2">
        <v>1</v>
      </c>
      <c r="FK41" s="2">
        <v>0</v>
      </c>
      <c r="FL41" s="2">
        <v>1</v>
      </c>
      <c r="FM41" s="2">
        <v>0</v>
      </c>
      <c r="FN41" s="2">
        <v>1</v>
      </c>
      <c r="FO41" s="2">
        <v>0</v>
      </c>
      <c r="FP41" s="2">
        <v>1</v>
      </c>
      <c r="FQ41" s="2">
        <v>0</v>
      </c>
      <c r="FR41" s="2">
        <v>1</v>
      </c>
      <c r="FS41" s="2">
        <v>0</v>
      </c>
      <c r="FT41" s="2">
        <v>1</v>
      </c>
      <c r="FU41" s="2">
        <v>0</v>
      </c>
      <c r="FV41" s="2">
        <v>1</v>
      </c>
      <c r="FW41" s="2">
        <v>0</v>
      </c>
      <c r="FX41" s="2">
        <v>1</v>
      </c>
      <c r="FY41" s="2">
        <v>0</v>
      </c>
      <c r="FZ41" s="2"/>
      <c r="GA41" s="2">
        <v>3</v>
      </c>
      <c r="GB41" s="2">
        <v>3</v>
      </c>
      <c r="GC41" s="2">
        <v>2</v>
      </c>
      <c r="GD41" s="2">
        <v>2</v>
      </c>
      <c r="GE41" s="2">
        <v>3</v>
      </c>
      <c r="GG41" s="2">
        <v>3</v>
      </c>
      <c r="GH41" s="2">
        <v>3</v>
      </c>
      <c r="GI41" s="2">
        <v>2</v>
      </c>
      <c r="GJ41" s="2">
        <v>2</v>
      </c>
      <c r="GK41" s="2">
        <v>4</v>
      </c>
      <c r="GM41" s="2">
        <f t="shared" si="0"/>
        <v>13</v>
      </c>
      <c r="GN41" s="2">
        <f t="shared" si="1"/>
        <v>14</v>
      </c>
      <c r="GO41" s="2"/>
      <c r="GP41" s="2">
        <v>3</v>
      </c>
      <c r="GQ41" s="2">
        <v>0</v>
      </c>
      <c r="GR41" s="2">
        <v>2</v>
      </c>
      <c r="GS41" s="2">
        <v>0</v>
      </c>
      <c r="GU41" s="2">
        <v>1</v>
      </c>
      <c r="GV41" s="2">
        <v>3</v>
      </c>
      <c r="GW41" s="2">
        <v>2</v>
      </c>
      <c r="GY41" s="2">
        <v>2</v>
      </c>
      <c r="GZ41" s="2">
        <v>2</v>
      </c>
      <c r="HA41" s="2">
        <v>3</v>
      </c>
      <c r="HB41" s="2">
        <v>3</v>
      </c>
      <c r="HD41" s="2">
        <v>4</v>
      </c>
      <c r="HE41" s="2">
        <v>3</v>
      </c>
      <c r="HF41" s="2">
        <v>0</v>
      </c>
      <c r="HH41" s="2">
        <f t="shared" si="2"/>
        <v>11</v>
      </c>
      <c r="HI41" s="2">
        <f t="shared" si="3"/>
        <v>17</v>
      </c>
      <c r="HJ41" s="2"/>
      <c r="HK41" s="2">
        <v>4</v>
      </c>
      <c r="HL41" s="2">
        <v>5</v>
      </c>
      <c r="HM41" s="2"/>
      <c r="HN41" s="2"/>
    </row>
    <row r="42" spans="1:222" ht="15.75" customHeight="1" x14ac:dyDescent="0.2">
      <c r="A42" s="3" t="e">
        <f>VLOOKUP(B42,#REF!,1,FALSE)</f>
        <v>#REF!</v>
      </c>
      <c r="B42" s="3">
        <v>44642.447667210647</v>
      </c>
      <c r="C42" s="2">
        <v>44</v>
      </c>
      <c r="D42" s="2" t="s">
        <v>185</v>
      </c>
      <c r="E42" s="2">
        <v>0</v>
      </c>
      <c r="F42" s="2" t="s">
        <v>186</v>
      </c>
      <c r="G42" s="2">
        <v>8</v>
      </c>
      <c r="H42" s="2">
        <v>2</v>
      </c>
      <c r="I42" s="2">
        <v>1</v>
      </c>
      <c r="J42" s="2">
        <v>4</v>
      </c>
      <c r="K42" s="2">
        <v>0</v>
      </c>
      <c r="L42" s="2">
        <v>3</v>
      </c>
      <c r="M42" s="2" t="s">
        <v>213</v>
      </c>
      <c r="N42" s="2">
        <v>2</v>
      </c>
      <c r="O42" s="2">
        <v>4</v>
      </c>
      <c r="P42" s="2">
        <v>0</v>
      </c>
      <c r="Q42" s="2">
        <v>0</v>
      </c>
      <c r="R42" s="2">
        <v>3</v>
      </c>
      <c r="S42" s="2">
        <v>1</v>
      </c>
      <c r="T42" s="2">
        <v>1</v>
      </c>
      <c r="U42" s="2">
        <v>1</v>
      </c>
      <c r="V42" s="2">
        <v>0</v>
      </c>
      <c r="W42" s="2">
        <v>-1</v>
      </c>
      <c r="X42" s="2"/>
      <c r="Y42" s="2">
        <v>1</v>
      </c>
      <c r="Z42" s="2">
        <v>0</v>
      </c>
      <c r="AA42" s="2">
        <v>1</v>
      </c>
      <c r="AB42" s="2">
        <v>2</v>
      </c>
      <c r="AC42" s="2">
        <v>2</v>
      </c>
      <c r="AD42" s="2">
        <v>4</v>
      </c>
      <c r="AE42" s="2">
        <v>4</v>
      </c>
      <c r="AF42" s="2">
        <v>4</v>
      </c>
      <c r="AG42" s="2">
        <v>1</v>
      </c>
      <c r="AH42" s="2">
        <v>2</v>
      </c>
      <c r="AI42" s="2">
        <v>1</v>
      </c>
      <c r="AJ42" s="2">
        <v>2</v>
      </c>
      <c r="AK42" s="2">
        <v>-1</v>
      </c>
      <c r="AL42" s="2">
        <v>-1</v>
      </c>
      <c r="AM42" s="2">
        <v>4</v>
      </c>
      <c r="AN42" s="2">
        <v>4</v>
      </c>
      <c r="AO42" s="2">
        <v>4</v>
      </c>
      <c r="AP42" s="2">
        <v>4</v>
      </c>
      <c r="AQ42" s="2">
        <v>4</v>
      </c>
      <c r="AR42" s="2">
        <v>3</v>
      </c>
      <c r="AS42" s="2">
        <v>0</v>
      </c>
      <c r="AT42" s="2">
        <v>0</v>
      </c>
      <c r="AU42" s="2">
        <v>1</v>
      </c>
      <c r="AV42" s="2"/>
      <c r="AW42" s="2">
        <v>1</v>
      </c>
      <c r="AX42" s="2">
        <v>2</v>
      </c>
      <c r="AY42" s="2">
        <v>2</v>
      </c>
      <c r="AZ42" s="2">
        <v>4</v>
      </c>
      <c r="BA42" s="2">
        <v>3</v>
      </c>
      <c r="BB42" s="2">
        <v>3</v>
      </c>
      <c r="BC42" s="2">
        <v>2</v>
      </c>
      <c r="BD42" s="2">
        <v>1</v>
      </c>
      <c r="BE42" s="2">
        <v>3</v>
      </c>
      <c r="BF42" s="2">
        <v>0</v>
      </c>
      <c r="BG42" s="2">
        <v>0</v>
      </c>
      <c r="BH42" s="2">
        <v>1</v>
      </c>
      <c r="BI42" s="2"/>
      <c r="BJ42" s="2">
        <v>3</v>
      </c>
      <c r="BK42" s="2">
        <v>4</v>
      </c>
      <c r="BL42" s="2">
        <v>2</v>
      </c>
      <c r="BM42" s="2">
        <v>6</v>
      </c>
      <c r="BN42" s="2">
        <v>8</v>
      </c>
      <c r="BO42" s="2">
        <v>8</v>
      </c>
      <c r="BP42" s="2" t="s">
        <v>329</v>
      </c>
      <c r="BQ42" s="2"/>
      <c r="BR42" s="2"/>
      <c r="BS42" s="2" t="s">
        <v>330</v>
      </c>
      <c r="BT42" s="2"/>
      <c r="BU42" s="2"/>
      <c r="BV42" s="2" t="s">
        <v>331</v>
      </c>
      <c r="BW42" s="2" t="e">
        <f>- ไม่มีเส้นแบ่งระหว่างเวลาทำงานและเวลาส่วนตัวที่ชัดเจน
- เสียค่าไฟมากขึ้น</f>
        <v>#NAME?</v>
      </c>
      <c r="BX42" s="2" t="s">
        <v>191</v>
      </c>
      <c r="BY42" s="2" t="s">
        <v>188</v>
      </c>
      <c r="BZ42" s="2" t="s">
        <v>191</v>
      </c>
      <c r="CA42" s="2" t="s">
        <v>190</v>
      </c>
      <c r="CB42" s="2" t="s">
        <v>188</v>
      </c>
      <c r="CC42" s="2" t="s">
        <v>191</v>
      </c>
      <c r="CD42" s="2" t="s">
        <v>189</v>
      </c>
      <c r="CE42" s="2" t="s">
        <v>188</v>
      </c>
      <c r="CF42" s="2" t="s">
        <v>188</v>
      </c>
      <c r="CG42" s="2" t="s">
        <v>190</v>
      </c>
      <c r="CH42" s="2" t="s">
        <v>188</v>
      </c>
      <c r="CI42" s="2" t="s">
        <v>190</v>
      </c>
      <c r="CJ42" s="2" t="s">
        <v>191</v>
      </c>
      <c r="CK42" s="2" t="s">
        <v>190</v>
      </c>
      <c r="CL42" s="2" t="s">
        <v>191</v>
      </c>
      <c r="CM42" s="2" t="s">
        <v>193</v>
      </c>
      <c r="CN42" s="2" t="s">
        <v>200</v>
      </c>
      <c r="CO42" s="2" t="s">
        <v>200</v>
      </c>
      <c r="CP42" s="2" t="s">
        <v>193</v>
      </c>
      <c r="CQ42" s="2" t="s">
        <v>193</v>
      </c>
      <c r="CR42" s="2" t="s">
        <v>200</v>
      </c>
      <c r="CS42" s="2" t="s">
        <v>193</v>
      </c>
      <c r="CT42" s="2" t="s">
        <v>193</v>
      </c>
      <c r="CU42" s="2" t="s">
        <v>200</v>
      </c>
      <c r="CV42" s="2" t="s">
        <v>200</v>
      </c>
      <c r="CW42" s="2" t="s">
        <v>200</v>
      </c>
      <c r="CX42" s="2" t="s">
        <v>200</v>
      </c>
      <c r="CY42" s="2" t="s">
        <v>193</v>
      </c>
      <c r="CZ42" s="2" t="s">
        <v>193</v>
      </c>
      <c r="DA42" s="2" t="s">
        <v>200</v>
      </c>
      <c r="DB42" s="2" t="s">
        <v>193</v>
      </c>
      <c r="DC42" s="2" t="s">
        <v>192</v>
      </c>
      <c r="DD42" s="2" t="s">
        <v>193</v>
      </c>
      <c r="DE42" s="2" t="s">
        <v>193</v>
      </c>
      <c r="DF42" s="2" t="s">
        <v>193</v>
      </c>
      <c r="DG42" s="2" t="s">
        <v>194</v>
      </c>
      <c r="DH42" s="2" t="s">
        <v>201</v>
      </c>
      <c r="DI42" s="2" t="s">
        <v>195</v>
      </c>
      <c r="DJ42" s="2" t="s">
        <v>194</v>
      </c>
      <c r="DK42" s="2" t="s">
        <v>196</v>
      </c>
      <c r="DL42" s="2" t="s">
        <v>194</v>
      </c>
      <c r="DM42" s="2" t="s">
        <v>194</v>
      </c>
      <c r="DN42" s="2" t="s">
        <v>220</v>
      </c>
      <c r="DO42" s="2" t="s">
        <v>220</v>
      </c>
      <c r="DP42" s="2" t="s">
        <v>194</v>
      </c>
      <c r="DQ42" s="2" t="s">
        <v>196</v>
      </c>
      <c r="DR42" s="2" t="s">
        <v>194</v>
      </c>
      <c r="DS42" s="2" t="s">
        <v>199</v>
      </c>
      <c r="DT42" s="2" t="s">
        <v>197</v>
      </c>
      <c r="DU42" s="2" t="s">
        <v>221</v>
      </c>
      <c r="DV42" s="2" t="s">
        <v>221</v>
      </c>
      <c r="DW42" s="2" t="s">
        <v>221</v>
      </c>
      <c r="DX42" s="2" t="s">
        <v>199</v>
      </c>
      <c r="DY42" s="2" t="s">
        <v>222</v>
      </c>
      <c r="DZ42" s="2"/>
      <c r="EA42" s="2">
        <v>1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1</v>
      </c>
      <c r="EI42" s="2">
        <v>1</v>
      </c>
      <c r="EJ42" s="2">
        <v>1</v>
      </c>
      <c r="EK42" s="2">
        <v>0</v>
      </c>
      <c r="EL42" s="2">
        <v>1</v>
      </c>
      <c r="EM42" s="2">
        <v>1</v>
      </c>
      <c r="EN42" s="2">
        <v>1</v>
      </c>
      <c r="EO42" s="2">
        <v>0</v>
      </c>
      <c r="EP42" s="2">
        <v>1</v>
      </c>
      <c r="EQ42" s="2">
        <v>0</v>
      </c>
      <c r="ER42" s="2">
        <v>1</v>
      </c>
      <c r="ES42" s="2">
        <v>1</v>
      </c>
      <c r="ET42" s="2">
        <v>1</v>
      </c>
      <c r="EU42" s="2">
        <v>1</v>
      </c>
      <c r="EV42" s="2">
        <v>1</v>
      </c>
      <c r="EW42" s="2">
        <v>0</v>
      </c>
      <c r="EX42" s="2">
        <v>0</v>
      </c>
      <c r="EY42" s="2">
        <v>1</v>
      </c>
      <c r="EZ42" s="2">
        <v>1</v>
      </c>
      <c r="FA42" s="2">
        <v>0</v>
      </c>
      <c r="FB42" s="2">
        <v>1</v>
      </c>
      <c r="FC42" s="2">
        <v>0</v>
      </c>
      <c r="FD42" s="2">
        <v>0</v>
      </c>
      <c r="FE42" s="2">
        <v>0</v>
      </c>
      <c r="FF42" s="2">
        <v>0</v>
      </c>
      <c r="FG42" s="2">
        <v>1</v>
      </c>
      <c r="FH42" s="2">
        <v>1</v>
      </c>
      <c r="FI42" s="2">
        <v>0</v>
      </c>
      <c r="FJ42" s="2">
        <v>1</v>
      </c>
      <c r="FK42" s="2">
        <v>0</v>
      </c>
      <c r="FL42" s="2">
        <v>1</v>
      </c>
      <c r="FM42" s="2">
        <v>0</v>
      </c>
      <c r="FN42" s="2">
        <v>1</v>
      </c>
      <c r="FO42" s="2">
        <v>1</v>
      </c>
      <c r="FP42" s="2">
        <v>1</v>
      </c>
      <c r="FQ42" s="2">
        <v>1</v>
      </c>
      <c r="FR42" s="2">
        <v>1</v>
      </c>
      <c r="FS42" s="2">
        <v>0</v>
      </c>
      <c r="FT42" s="2">
        <v>1</v>
      </c>
      <c r="FU42" s="2">
        <v>0</v>
      </c>
      <c r="FV42" s="2">
        <v>1</v>
      </c>
      <c r="FW42" s="2">
        <v>1</v>
      </c>
      <c r="FX42" s="2">
        <v>1</v>
      </c>
      <c r="FY42" s="2">
        <v>1</v>
      </c>
      <c r="FZ42" s="2"/>
      <c r="GA42" s="2">
        <v>4</v>
      </c>
      <c r="GB42" s="2">
        <v>4</v>
      </c>
      <c r="GC42" s="2">
        <v>4</v>
      </c>
      <c r="GD42" s="2">
        <v>4</v>
      </c>
      <c r="GE42" s="2">
        <v>4</v>
      </c>
      <c r="GG42" s="2">
        <v>4</v>
      </c>
      <c r="GH42" s="2">
        <v>3</v>
      </c>
      <c r="GI42" s="2">
        <v>3</v>
      </c>
      <c r="GJ42" s="2">
        <v>2</v>
      </c>
      <c r="GK42" s="2">
        <v>1</v>
      </c>
      <c r="GM42" s="2">
        <f t="shared" si="0"/>
        <v>20</v>
      </c>
      <c r="GN42" s="2">
        <f t="shared" si="1"/>
        <v>13</v>
      </c>
      <c r="GO42" s="2"/>
      <c r="GP42" s="2">
        <v>3</v>
      </c>
      <c r="GQ42" s="2">
        <v>0</v>
      </c>
      <c r="GR42" s="2">
        <v>0</v>
      </c>
      <c r="GS42" s="2">
        <v>1</v>
      </c>
      <c r="GU42" s="2">
        <v>1</v>
      </c>
      <c r="GV42" s="2">
        <v>2</v>
      </c>
      <c r="GW42" s="2">
        <v>2</v>
      </c>
      <c r="GY42" s="2">
        <v>3</v>
      </c>
      <c r="GZ42" s="2">
        <v>0</v>
      </c>
      <c r="HA42" s="2">
        <v>0</v>
      </c>
      <c r="HB42" s="2">
        <v>1</v>
      </c>
      <c r="HD42" s="2">
        <v>3</v>
      </c>
      <c r="HE42" s="2">
        <v>4</v>
      </c>
      <c r="HF42" s="2">
        <v>2</v>
      </c>
      <c r="HH42" s="2">
        <f t="shared" si="2"/>
        <v>9</v>
      </c>
      <c r="HI42" s="2">
        <f t="shared" si="3"/>
        <v>13</v>
      </c>
      <c r="HJ42" s="2"/>
      <c r="HK42" s="2">
        <v>8</v>
      </c>
      <c r="HL42" s="2">
        <v>8</v>
      </c>
      <c r="HM42" s="2"/>
      <c r="HN42" s="2"/>
    </row>
    <row r="43" spans="1:222" ht="15.75" customHeight="1" x14ac:dyDescent="0.2">
      <c r="A43" s="3" t="e">
        <f>VLOOKUP(B43,#REF!,1,FALSE)</f>
        <v>#REF!</v>
      </c>
      <c r="B43" s="3">
        <v>44642.448299432872</v>
      </c>
      <c r="C43" s="2">
        <v>45</v>
      </c>
      <c r="D43" s="2" t="s">
        <v>185</v>
      </c>
      <c r="E43" s="2">
        <v>0</v>
      </c>
      <c r="F43" s="2" t="s">
        <v>186</v>
      </c>
      <c r="G43" s="2">
        <v>8</v>
      </c>
      <c r="H43" s="2">
        <v>2</v>
      </c>
      <c r="I43" s="2">
        <v>1</v>
      </c>
      <c r="J43" s="2">
        <v>3</v>
      </c>
      <c r="K43" s="2">
        <v>1</v>
      </c>
      <c r="L43" s="2">
        <v>4</v>
      </c>
      <c r="M43" s="2" t="s">
        <v>213</v>
      </c>
      <c r="N43" s="2">
        <v>2</v>
      </c>
      <c r="O43" s="2">
        <v>3</v>
      </c>
      <c r="P43" s="2">
        <v>0</v>
      </c>
      <c r="Q43" s="2">
        <v>0</v>
      </c>
      <c r="R43" s="2">
        <v>3</v>
      </c>
      <c r="S43" s="2">
        <v>0</v>
      </c>
      <c r="T43" s="2">
        <v>0</v>
      </c>
      <c r="U43" s="2">
        <v>0</v>
      </c>
      <c r="V43" s="2">
        <v>-1</v>
      </c>
      <c r="W43" s="2">
        <v>0</v>
      </c>
      <c r="X43" s="2"/>
      <c r="Y43" s="2">
        <v>-1</v>
      </c>
      <c r="Z43" s="2">
        <v>1</v>
      </c>
      <c r="AA43" s="2">
        <v>1</v>
      </c>
      <c r="AB43" s="2">
        <v>0</v>
      </c>
      <c r="AC43" s="2">
        <v>0</v>
      </c>
      <c r="AD43" s="2">
        <v>1</v>
      </c>
      <c r="AE43" s="2">
        <v>2</v>
      </c>
      <c r="AF43" s="2">
        <v>1</v>
      </c>
      <c r="AG43" s="2">
        <v>-1</v>
      </c>
      <c r="AH43" s="2">
        <v>1</v>
      </c>
      <c r="AI43" s="2">
        <v>2</v>
      </c>
      <c r="AJ43" s="2">
        <v>2</v>
      </c>
      <c r="AK43" s="2">
        <v>2</v>
      </c>
      <c r="AL43" s="2">
        <v>3</v>
      </c>
      <c r="AM43" s="2">
        <v>3</v>
      </c>
      <c r="AN43" s="2">
        <v>2</v>
      </c>
      <c r="AO43" s="2">
        <v>4</v>
      </c>
      <c r="AP43" s="2">
        <v>2</v>
      </c>
      <c r="AQ43" s="2">
        <v>4</v>
      </c>
      <c r="AR43" s="2">
        <v>3</v>
      </c>
      <c r="AS43" s="2">
        <v>1</v>
      </c>
      <c r="AT43" s="2">
        <v>0</v>
      </c>
      <c r="AU43" s="2">
        <v>1</v>
      </c>
      <c r="AV43" s="2"/>
      <c r="AW43" s="2">
        <v>3</v>
      </c>
      <c r="AX43" s="2">
        <v>0</v>
      </c>
      <c r="AY43" s="2">
        <v>1</v>
      </c>
      <c r="AZ43" s="2">
        <v>4</v>
      </c>
      <c r="BA43" s="2">
        <v>4</v>
      </c>
      <c r="BB43" s="2">
        <v>4</v>
      </c>
      <c r="BC43" s="2">
        <v>4</v>
      </c>
      <c r="BD43" s="2">
        <v>3</v>
      </c>
      <c r="BE43" s="2">
        <v>3</v>
      </c>
      <c r="BF43" s="2">
        <v>0</v>
      </c>
      <c r="BG43" s="2">
        <v>0</v>
      </c>
      <c r="BH43" s="2">
        <v>1</v>
      </c>
      <c r="BI43" s="2"/>
      <c r="BJ43" s="2">
        <v>1</v>
      </c>
      <c r="BK43" s="2">
        <v>0</v>
      </c>
      <c r="BL43" s="2">
        <v>3</v>
      </c>
      <c r="BM43" s="2">
        <v>9</v>
      </c>
      <c r="BN43" s="2">
        <v>8</v>
      </c>
      <c r="BO43" s="2">
        <v>10</v>
      </c>
      <c r="BP43" s="2"/>
      <c r="BQ43" s="2" t="s">
        <v>332</v>
      </c>
      <c r="BR43" s="2"/>
      <c r="BS43" s="2" t="s">
        <v>333</v>
      </c>
      <c r="BT43" s="2" t="s">
        <v>334</v>
      </c>
      <c r="BU43" s="2" t="s">
        <v>335</v>
      </c>
      <c r="BV43" s="2" t="s">
        <v>336</v>
      </c>
      <c r="BW43" s="2" t="s">
        <v>337</v>
      </c>
      <c r="BX43" s="2" t="s">
        <v>190</v>
      </c>
      <c r="BY43" s="2" t="s">
        <v>189</v>
      </c>
      <c r="BZ43" s="2" t="s">
        <v>189</v>
      </c>
      <c r="CA43" s="2" t="s">
        <v>189</v>
      </c>
      <c r="CB43" s="2" t="s">
        <v>189</v>
      </c>
      <c r="CC43" s="2" t="s">
        <v>189</v>
      </c>
      <c r="CD43" s="2" t="s">
        <v>189</v>
      </c>
      <c r="CE43" s="2" t="s">
        <v>189</v>
      </c>
      <c r="CF43" s="2" t="s">
        <v>189</v>
      </c>
      <c r="CG43" s="2" t="s">
        <v>190</v>
      </c>
      <c r="CH43" s="2" t="s">
        <v>189</v>
      </c>
      <c r="CI43" s="2" t="s">
        <v>189</v>
      </c>
      <c r="CJ43" s="2" t="s">
        <v>191</v>
      </c>
      <c r="CK43" s="2" t="s">
        <v>190</v>
      </c>
      <c r="CL43" s="2" t="s">
        <v>189</v>
      </c>
      <c r="CM43" s="2" t="s">
        <v>192</v>
      </c>
      <c r="CN43" s="2" t="s">
        <v>192</v>
      </c>
      <c r="CO43" s="2" t="s">
        <v>192</v>
      </c>
      <c r="CP43" s="2" t="s">
        <v>192</v>
      </c>
      <c r="CQ43" s="2" t="s">
        <v>192</v>
      </c>
      <c r="CR43" s="2" t="s">
        <v>193</v>
      </c>
      <c r="CS43" s="2" t="s">
        <v>193</v>
      </c>
      <c r="CT43" s="2" t="s">
        <v>193</v>
      </c>
      <c r="CU43" s="2" t="s">
        <v>193</v>
      </c>
      <c r="CV43" s="2" t="s">
        <v>192</v>
      </c>
      <c r="CW43" s="2" t="s">
        <v>200</v>
      </c>
      <c r="CX43" s="2" t="s">
        <v>193</v>
      </c>
      <c r="CY43" s="2" t="s">
        <v>192</v>
      </c>
      <c r="CZ43" s="2" t="s">
        <v>192</v>
      </c>
      <c r="DA43" s="2" t="s">
        <v>192</v>
      </c>
      <c r="DB43" s="2" t="s">
        <v>192</v>
      </c>
      <c r="DC43" s="2" t="s">
        <v>192</v>
      </c>
      <c r="DD43" s="2" t="s">
        <v>192</v>
      </c>
      <c r="DE43" s="2" t="s">
        <v>193</v>
      </c>
      <c r="DF43" s="2" t="s">
        <v>192</v>
      </c>
      <c r="DG43" s="2" t="s">
        <v>194</v>
      </c>
      <c r="DH43" s="2" t="s">
        <v>195</v>
      </c>
      <c r="DI43" s="2" t="s">
        <v>195</v>
      </c>
      <c r="DJ43" s="2" t="s">
        <v>195</v>
      </c>
      <c r="DK43" s="2" t="s">
        <v>220</v>
      </c>
      <c r="DL43" s="2" t="s">
        <v>195</v>
      </c>
      <c r="DM43" s="2" t="s">
        <v>195</v>
      </c>
      <c r="DN43" s="2" t="s">
        <v>196</v>
      </c>
      <c r="DO43" s="2" t="s">
        <v>196</v>
      </c>
      <c r="DP43" s="2" t="s">
        <v>194</v>
      </c>
      <c r="DQ43" s="2" t="s">
        <v>195</v>
      </c>
      <c r="DR43" s="2" t="s">
        <v>194</v>
      </c>
      <c r="DS43" s="2" t="s">
        <v>197</v>
      </c>
      <c r="DT43" s="2" t="s">
        <v>221</v>
      </c>
      <c r="DU43" s="2" t="s">
        <v>221</v>
      </c>
      <c r="DV43" s="2" t="s">
        <v>197</v>
      </c>
      <c r="DW43" s="2" t="s">
        <v>198</v>
      </c>
      <c r="DX43" s="2" t="s">
        <v>222</v>
      </c>
      <c r="DY43" s="2" t="s">
        <v>197</v>
      </c>
      <c r="DZ43" s="2"/>
      <c r="EA43" s="2">
        <v>1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1</v>
      </c>
      <c r="EI43" s="2">
        <v>1</v>
      </c>
      <c r="EJ43" s="2">
        <v>0</v>
      </c>
      <c r="EK43" s="2">
        <v>0</v>
      </c>
      <c r="EL43" s="2">
        <v>1</v>
      </c>
      <c r="EM43" s="2">
        <v>1</v>
      </c>
      <c r="EN43" s="2">
        <v>1</v>
      </c>
      <c r="EO43" s="2">
        <v>0</v>
      </c>
      <c r="EP43" s="2">
        <v>0</v>
      </c>
      <c r="EQ43" s="2">
        <v>1</v>
      </c>
      <c r="ER43" s="2">
        <v>0</v>
      </c>
      <c r="ES43" s="2">
        <v>1</v>
      </c>
      <c r="ET43" s="2">
        <v>1</v>
      </c>
      <c r="EU43" s="2">
        <v>1</v>
      </c>
      <c r="EV43" s="2">
        <v>0</v>
      </c>
      <c r="EW43" s="2">
        <v>0</v>
      </c>
      <c r="EX43" s="2">
        <v>0</v>
      </c>
      <c r="EY43" s="2">
        <v>1</v>
      </c>
      <c r="EZ43" s="2">
        <v>0</v>
      </c>
      <c r="FA43" s="2">
        <v>0</v>
      </c>
      <c r="FB43" s="2">
        <v>0</v>
      </c>
      <c r="FC43" s="2">
        <v>1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1</v>
      </c>
      <c r="FJ43" s="2">
        <v>0</v>
      </c>
      <c r="FK43" s="2">
        <v>0</v>
      </c>
      <c r="FL43" s="2">
        <v>0</v>
      </c>
      <c r="FM43" s="2">
        <v>1</v>
      </c>
      <c r="FN43" s="2">
        <v>0</v>
      </c>
      <c r="FO43" s="2">
        <v>0</v>
      </c>
      <c r="FP43" s="2">
        <v>1</v>
      </c>
      <c r="FQ43" s="2">
        <v>1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/>
      <c r="GA43" s="2">
        <v>3</v>
      </c>
      <c r="GB43" s="2">
        <v>2</v>
      </c>
      <c r="GC43" s="2">
        <v>4</v>
      </c>
      <c r="GD43" s="2">
        <v>2</v>
      </c>
      <c r="GE43" s="2">
        <v>4</v>
      </c>
      <c r="GG43" s="2">
        <v>4</v>
      </c>
      <c r="GH43" s="2">
        <v>4</v>
      </c>
      <c r="GI43" s="2">
        <v>4</v>
      </c>
      <c r="GJ43" s="2">
        <v>4</v>
      </c>
      <c r="GK43" s="2">
        <v>3</v>
      </c>
      <c r="GM43" s="2">
        <f t="shared" si="0"/>
        <v>15</v>
      </c>
      <c r="GN43" s="2">
        <f t="shared" si="1"/>
        <v>19</v>
      </c>
      <c r="GO43" s="2"/>
      <c r="GP43" s="2">
        <v>3</v>
      </c>
      <c r="GQ43" s="2">
        <v>1</v>
      </c>
      <c r="GR43" s="2">
        <v>0</v>
      </c>
      <c r="GS43" s="2">
        <v>1</v>
      </c>
      <c r="GU43" s="2">
        <v>3</v>
      </c>
      <c r="GV43" s="2">
        <v>0</v>
      </c>
      <c r="GW43" s="2">
        <v>1</v>
      </c>
      <c r="GY43" s="2">
        <v>3</v>
      </c>
      <c r="GZ43" s="2">
        <v>0</v>
      </c>
      <c r="HA43" s="2">
        <v>0</v>
      </c>
      <c r="HB43" s="2">
        <v>1</v>
      </c>
      <c r="HD43" s="2">
        <v>1</v>
      </c>
      <c r="HE43" s="2">
        <v>0</v>
      </c>
      <c r="HF43" s="2">
        <v>3</v>
      </c>
      <c r="HH43" s="2">
        <f t="shared" si="2"/>
        <v>9</v>
      </c>
      <c r="HI43" s="2">
        <f t="shared" si="3"/>
        <v>8</v>
      </c>
      <c r="HJ43" s="2"/>
      <c r="HK43" s="2">
        <v>8</v>
      </c>
      <c r="HL43" s="2">
        <v>10</v>
      </c>
      <c r="HM43" s="2"/>
      <c r="HN43" s="2"/>
    </row>
    <row r="44" spans="1:222" ht="15.75" customHeight="1" x14ac:dyDescent="0.2">
      <c r="A44" s="3" t="e">
        <f>VLOOKUP(B44,#REF!,1,FALSE)</f>
        <v>#REF!</v>
      </c>
      <c r="B44" s="3">
        <v>44642.455958576385</v>
      </c>
      <c r="C44" s="2">
        <v>46</v>
      </c>
      <c r="D44" s="2" t="s">
        <v>185</v>
      </c>
      <c r="E44" s="2">
        <v>0</v>
      </c>
      <c r="F44" s="2" t="s">
        <v>186</v>
      </c>
      <c r="G44" s="2">
        <v>8</v>
      </c>
      <c r="H44" s="2">
        <v>2</v>
      </c>
      <c r="I44" s="2">
        <v>1</v>
      </c>
      <c r="J44" s="2">
        <v>4</v>
      </c>
      <c r="K44" s="2">
        <v>0</v>
      </c>
      <c r="L44" s="2">
        <v>4</v>
      </c>
      <c r="M44" s="2" t="s">
        <v>187</v>
      </c>
      <c r="N44" s="2">
        <v>2</v>
      </c>
      <c r="O44" s="2">
        <v>5</v>
      </c>
      <c r="P44" s="2">
        <v>0</v>
      </c>
      <c r="Q44" s="2" t="s">
        <v>338</v>
      </c>
      <c r="R44" s="2">
        <v>2</v>
      </c>
      <c r="S44" s="2">
        <v>1</v>
      </c>
      <c r="T44" s="2">
        <v>0</v>
      </c>
      <c r="U44" s="2">
        <v>1</v>
      </c>
      <c r="V44" s="2">
        <v>0</v>
      </c>
      <c r="W44" s="2">
        <v>-1</v>
      </c>
      <c r="X44" s="2"/>
      <c r="Y44" s="2">
        <v>0</v>
      </c>
      <c r="Z44" s="2">
        <v>1</v>
      </c>
      <c r="AA44" s="2">
        <v>1</v>
      </c>
      <c r="AB44" s="2">
        <v>4</v>
      </c>
      <c r="AC44" s="2">
        <v>0</v>
      </c>
      <c r="AD44" s="2">
        <v>2</v>
      </c>
      <c r="AE44" s="2">
        <v>2</v>
      </c>
      <c r="AF44" s="2">
        <v>4</v>
      </c>
      <c r="AG44" s="2">
        <v>2</v>
      </c>
      <c r="AH44" s="2">
        <v>2</v>
      </c>
      <c r="AI44" s="2">
        <v>2</v>
      </c>
      <c r="AJ44" s="2">
        <v>2</v>
      </c>
      <c r="AK44" s="2">
        <v>1</v>
      </c>
      <c r="AL44" s="2">
        <v>2</v>
      </c>
      <c r="AM44" s="2">
        <v>4</v>
      </c>
      <c r="AN44" s="2">
        <v>4</v>
      </c>
      <c r="AO44" s="2">
        <v>4</v>
      </c>
      <c r="AP44" s="2">
        <v>4</v>
      </c>
      <c r="AQ44" s="2">
        <v>4</v>
      </c>
      <c r="AR44" s="2">
        <v>2</v>
      </c>
      <c r="AS44" s="2">
        <v>2</v>
      </c>
      <c r="AT44" s="2">
        <v>2</v>
      </c>
      <c r="AU44" s="2">
        <v>1</v>
      </c>
      <c r="AV44" s="2"/>
      <c r="AW44" s="2">
        <v>2</v>
      </c>
      <c r="AX44" s="2">
        <v>0</v>
      </c>
      <c r="AY44" s="2">
        <v>0</v>
      </c>
      <c r="AZ44" s="2">
        <v>4</v>
      </c>
      <c r="BA44" s="2">
        <v>4</v>
      </c>
      <c r="BB44" s="2">
        <v>4</v>
      </c>
      <c r="BC44" s="2">
        <v>4</v>
      </c>
      <c r="BD44" s="2">
        <v>4</v>
      </c>
      <c r="BE44" s="2">
        <v>2</v>
      </c>
      <c r="BF44" s="2">
        <v>1</v>
      </c>
      <c r="BG44" s="2">
        <v>1</v>
      </c>
      <c r="BH44" s="2">
        <v>1</v>
      </c>
      <c r="BI44" s="2"/>
      <c r="BJ44" s="2">
        <v>2</v>
      </c>
      <c r="BK44" s="2">
        <v>0</v>
      </c>
      <c r="BL44" s="2">
        <v>0</v>
      </c>
      <c r="BM44" s="2">
        <v>9</v>
      </c>
      <c r="BN44" s="2">
        <v>9</v>
      </c>
      <c r="BO44" s="2">
        <v>9</v>
      </c>
      <c r="BP44" s="2"/>
      <c r="BQ44" s="2"/>
      <c r="BR44" s="2"/>
      <c r="BS44" s="2"/>
      <c r="BT44" s="2"/>
      <c r="BU44" s="2"/>
      <c r="BV44" s="2" t="s">
        <v>339</v>
      </c>
      <c r="BW44" s="2" t="s">
        <v>340</v>
      </c>
      <c r="BX44" s="2" t="s">
        <v>190</v>
      </c>
      <c r="BY44" s="2" t="s">
        <v>190</v>
      </c>
      <c r="BZ44" s="2" t="s">
        <v>190</v>
      </c>
      <c r="CA44" s="2" t="s">
        <v>190</v>
      </c>
      <c r="CB44" s="2" t="s">
        <v>190</v>
      </c>
      <c r="CC44" s="2" t="s">
        <v>190</v>
      </c>
      <c r="CD44" s="2" t="s">
        <v>189</v>
      </c>
      <c r="CE44" s="2" t="s">
        <v>189</v>
      </c>
      <c r="CF44" s="2" t="s">
        <v>190</v>
      </c>
      <c r="CG44" s="2" t="s">
        <v>190</v>
      </c>
      <c r="CH44" s="2" t="s">
        <v>190</v>
      </c>
      <c r="CI44" s="2" t="s">
        <v>189</v>
      </c>
      <c r="CJ44" s="2" t="s">
        <v>191</v>
      </c>
      <c r="CK44" s="2" t="s">
        <v>190</v>
      </c>
      <c r="CL44" s="2" t="s">
        <v>190</v>
      </c>
      <c r="CM44" s="2" t="s">
        <v>193</v>
      </c>
      <c r="CN44" s="2" t="s">
        <v>192</v>
      </c>
      <c r="CO44" s="2" t="s">
        <v>192</v>
      </c>
      <c r="CP44" s="2" t="s">
        <v>193</v>
      </c>
      <c r="CQ44" s="2" t="s">
        <v>192</v>
      </c>
      <c r="CR44" s="2" t="s">
        <v>193</v>
      </c>
      <c r="CS44" s="2" t="s">
        <v>193</v>
      </c>
      <c r="CT44" s="2" t="s">
        <v>192</v>
      </c>
      <c r="CU44" s="2" t="s">
        <v>192</v>
      </c>
      <c r="CV44" s="2" t="s">
        <v>193</v>
      </c>
      <c r="CW44" s="2" t="s">
        <v>192</v>
      </c>
      <c r="CX44" s="2" t="s">
        <v>193</v>
      </c>
      <c r="CY44" s="2" t="s">
        <v>192</v>
      </c>
      <c r="CZ44" s="2" t="s">
        <v>192</v>
      </c>
      <c r="DA44" s="2" t="s">
        <v>192</v>
      </c>
      <c r="DB44" s="2" t="s">
        <v>192</v>
      </c>
      <c r="DC44" s="2" t="s">
        <v>192</v>
      </c>
      <c r="DD44" s="2" t="s">
        <v>193</v>
      </c>
      <c r="DE44" s="2" t="s">
        <v>193</v>
      </c>
      <c r="DF44" s="2" t="s">
        <v>193</v>
      </c>
      <c r="DG44" s="2" t="s">
        <v>196</v>
      </c>
      <c r="DH44" s="2" t="s">
        <v>195</v>
      </c>
      <c r="DI44" s="2" t="s">
        <v>194</v>
      </c>
      <c r="DJ44" s="2" t="s">
        <v>195</v>
      </c>
      <c r="DK44" s="2" t="s">
        <v>196</v>
      </c>
      <c r="DL44" s="2" t="s">
        <v>194</v>
      </c>
      <c r="DM44" s="2" t="s">
        <v>194</v>
      </c>
      <c r="DN44" s="2" t="s">
        <v>194</v>
      </c>
      <c r="DO44" s="2" t="s">
        <v>194</v>
      </c>
      <c r="DP44" s="2" t="s">
        <v>194</v>
      </c>
      <c r="DQ44" s="2" t="s">
        <v>194</v>
      </c>
      <c r="DR44" s="2" t="s">
        <v>194</v>
      </c>
      <c r="DS44" s="2" t="s">
        <v>197</v>
      </c>
      <c r="DT44" s="2" t="s">
        <v>198</v>
      </c>
      <c r="DU44" s="2" t="s">
        <v>198</v>
      </c>
      <c r="DV44" s="2" t="s">
        <v>198</v>
      </c>
      <c r="DW44" s="2" t="s">
        <v>197</v>
      </c>
      <c r="DX44" s="2" t="s">
        <v>199</v>
      </c>
      <c r="DY44" s="2" t="s">
        <v>197</v>
      </c>
      <c r="DZ44" s="2"/>
      <c r="EA44" s="2">
        <v>0</v>
      </c>
      <c r="EB44" s="2">
        <v>0</v>
      </c>
      <c r="EC44" s="2">
        <v>1</v>
      </c>
      <c r="ED44" s="2">
        <v>0</v>
      </c>
      <c r="EE44" s="2">
        <v>1</v>
      </c>
      <c r="EF44" s="2">
        <v>0</v>
      </c>
      <c r="EG44" s="2">
        <v>0</v>
      </c>
      <c r="EH44" s="2">
        <v>1</v>
      </c>
      <c r="EI44" s="2">
        <v>0</v>
      </c>
      <c r="EJ44" s="2">
        <v>1</v>
      </c>
      <c r="EK44" s="2">
        <v>0</v>
      </c>
      <c r="EL44" s="2">
        <v>1</v>
      </c>
      <c r="EM44" s="2">
        <v>0</v>
      </c>
      <c r="EN44" s="2">
        <v>1</v>
      </c>
      <c r="EO44" s="2">
        <v>0</v>
      </c>
      <c r="EP44" s="2">
        <v>0</v>
      </c>
      <c r="EQ44" s="2">
        <v>1</v>
      </c>
      <c r="ER44" s="2">
        <v>0</v>
      </c>
      <c r="ES44" s="2">
        <v>1</v>
      </c>
      <c r="ET44" s="2">
        <v>0</v>
      </c>
      <c r="EU44" s="2">
        <v>1</v>
      </c>
      <c r="EV44" s="2">
        <v>0</v>
      </c>
      <c r="EW44" s="2">
        <v>1</v>
      </c>
      <c r="EX44" s="2">
        <v>0</v>
      </c>
      <c r="EY44" s="2">
        <v>1</v>
      </c>
      <c r="EZ44" s="2">
        <v>1</v>
      </c>
      <c r="FA44" s="2">
        <v>0</v>
      </c>
      <c r="FB44" s="2">
        <v>0</v>
      </c>
      <c r="FC44" s="2">
        <v>1</v>
      </c>
      <c r="FD44" s="2">
        <v>0</v>
      </c>
      <c r="FE44" s="2">
        <v>0</v>
      </c>
      <c r="FF44" s="2">
        <v>0</v>
      </c>
      <c r="FG44" s="2">
        <v>1</v>
      </c>
      <c r="FH44" s="2">
        <v>1</v>
      </c>
      <c r="FI44" s="2">
        <v>0</v>
      </c>
      <c r="FJ44" s="2">
        <v>1</v>
      </c>
      <c r="FK44" s="2">
        <v>0</v>
      </c>
      <c r="FL44" s="2">
        <v>0</v>
      </c>
      <c r="FM44" s="2">
        <v>1</v>
      </c>
      <c r="FN44" s="2">
        <v>0</v>
      </c>
      <c r="FO44" s="2">
        <v>1</v>
      </c>
      <c r="FP44" s="2">
        <v>0</v>
      </c>
      <c r="FQ44" s="2">
        <v>1</v>
      </c>
      <c r="FR44" s="2">
        <v>0</v>
      </c>
      <c r="FS44" s="2">
        <v>1</v>
      </c>
      <c r="FT44" s="2">
        <v>0</v>
      </c>
      <c r="FU44" s="2">
        <v>1</v>
      </c>
      <c r="FV44" s="2">
        <v>0</v>
      </c>
      <c r="FW44" s="2">
        <v>1</v>
      </c>
      <c r="FX44" s="2">
        <v>0</v>
      </c>
      <c r="FY44" s="2">
        <v>1</v>
      </c>
      <c r="FZ44" s="2"/>
      <c r="GA44" s="2">
        <v>4</v>
      </c>
      <c r="GB44" s="2">
        <v>4</v>
      </c>
      <c r="GC44" s="2">
        <v>4</v>
      </c>
      <c r="GD44" s="2">
        <v>4</v>
      </c>
      <c r="GE44" s="2">
        <v>4</v>
      </c>
      <c r="GG44" s="2">
        <v>4</v>
      </c>
      <c r="GH44" s="2">
        <v>4</v>
      </c>
      <c r="GI44" s="2">
        <v>4</v>
      </c>
      <c r="GJ44" s="2">
        <v>4</v>
      </c>
      <c r="GK44" s="2">
        <v>4</v>
      </c>
      <c r="GM44" s="2">
        <f t="shared" si="0"/>
        <v>20</v>
      </c>
      <c r="GN44" s="2">
        <f t="shared" si="1"/>
        <v>20</v>
      </c>
      <c r="GO44" s="2"/>
      <c r="GP44" s="2">
        <v>2</v>
      </c>
      <c r="GQ44" s="2">
        <v>2</v>
      </c>
      <c r="GR44" s="2">
        <v>2</v>
      </c>
      <c r="GS44" s="2">
        <v>1</v>
      </c>
      <c r="GU44" s="2">
        <v>2</v>
      </c>
      <c r="GV44" s="2">
        <v>0</v>
      </c>
      <c r="GW44" s="2">
        <v>0</v>
      </c>
      <c r="GY44" s="2">
        <v>2</v>
      </c>
      <c r="GZ44" s="2">
        <v>1</v>
      </c>
      <c r="HA44" s="2">
        <v>1</v>
      </c>
      <c r="HB44" s="2">
        <v>1</v>
      </c>
      <c r="HD44" s="2">
        <v>2</v>
      </c>
      <c r="HE44" s="2">
        <v>0</v>
      </c>
      <c r="HF44" s="2">
        <v>0</v>
      </c>
      <c r="HH44" s="2">
        <f t="shared" si="2"/>
        <v>9</v>
      </c>
      <c r="HI44" s="2">
        <f t="shared" si="3"/>
        <v>7</v>
      </c>
      <c r="HJ44" s="2"/>
      <c r="HK44" s="2">
        <v>9</v>
      </c>
      <c r="HL44" s="2">
        <v>9</v>
      </c>
      <c r="HM44" s="2"/>
      <c r="HN44" s="2"/>
    </row>
    <row r="45" spans="1:222" ht="15.75" customHeight="1" x14ac:dyDescent="0.2">
      <c r="A45" s="3" t="e">
        <f>VLOOKUP(B45,#REF!,1,FALSE)</f>
        <v>#REF!</v>
      </c>
      <c r="B45" s="3">
        <v>44642.463065185184</v>
      </c>
      <c r="C45" s="2">
        <v>47</v>
      </c>
      <c r="D45" s="2" t="s">
        <v>185</v>
      </c>
      <c r="E45" s="2">
        <v>0</v>
      </c>
      <c r="F45" s="2" t="s">
        <v>186</v>
      </c>
      <c r="G45" s="2">
        <v>8</v>
      </c>
      <c r="H45" s="2">
        <v>2</v>
      </c>
      <c r="I45" s="2">
        <v>1</v>
      </c>
      <c r="J45" s="2">
        <v>4</v>
      </c>
      <c r="K45" s="2">
        <v>0</v>
      </c>
      <c r="L45" s="2">
        <v>4</v>
      </c>
      <c r="M45" s="2" t="s">
        <v>187</v>
      </c>
      <c r="N45" s="2">
        <v>2</v>
      </c>
      <c r="O45" s="2">
        <v>2</v>
      </c>
      <c r="P45" s="2">
        <v>0</v>
      </c>
      <c r="Q45" s="2">
        <v>0</v>
      </c>
      <c r="R45" s="2">
        <v>3</v>
      </c>
      <c r="S45" s="2">
        <v>0</v>
      </c>
      <c r="T45" s="2">
        <v>-1</v>
      </c>
      <c r="U45" s="2">
        <v>1</v>
      </c>
      <c r="V45" s="2">
        <v>-1</v>
      </c>
      <c r="W45" s="2">
        <v>1</v>
      </c>
      <c r="X45" s="2"/>
      <c r="Y45" s="2">
        <v>-1</v>
      </c>
      <c r="Z45" s="2">
        <v>0</v>
      </c>
      <c r="AA45" s="2">
        <v>1</v>
      </c>
      <c r="AB45" s="2">
        <v>2</v>
      </c>
      <c r="AC45" s="2">
        <v>1</v>
      </c>
      <c r="AD45" s="2">
        <v>2</v>
      </c>
      <c r="AE45" s="2">
        <v>4</v>
      </c>
      <c r="AF45" s="2">
        <v>4</v>
      </c>
      <c r="AG45" s="2">
        <v>3</v>
      </c>
      <c r="AH45" s="2">
        <v>2</v>
      </c>
      <c r="AI45" s="2">
        <v>2</v>
      </c>
      <c r="AJ45" s="2">
        <v>2</v>
      </c>
      <c r="AK45" s="2">
        <v>2</v>
      </c>
      <c r="AL45" s="2">
        <v>3</v>
      </c>
      <c r="AM45" s="2">
        <v>3</v>
      </c>
      <c r="AN45" s="2">
        <v>2</v>
      </c>
      <c r="AO45" s="2">
        <v>4</v>
      </c>
      <c r="AP45" s="2">
        <v>2</v>
      </c>
      <c r="AQ45" s="2">
        <v>3</v>
      </c>
      <c r="AR45" s="2">
        <v>3</v>
      </c>
      <c r="AS45" s="2">
        <v>3</v>
      </c>
      <c r="AT45" s="2">
        <v>1</v>
      </c>
      <c r="AU45" s="2">
        <v>1</v>
      </c>
      <c r="AV45" s="2"/>
      <c r="AW45" s="2">
        <v>2</v>
      </c>
      <c r="AX45" s="2">
        <v>1</v>
      </c>
      <c r="AY45" s="2">
        <v>2</v>
      </c>
      <c r="AZ45" s="2">
        <v>4</v>
      </c>
      <c r="BA45" s="2">
        <v>4</v>
      </c>
      <c r="BB45" s="2">
        <v>3</v>
      </c>
      <c r="BC45" s="2">
        <v>4</v>
      </c>
      <c r="BD45" s="2">
        <v>3</v>
      </c>
      <c r="BE45" s="2">
        <v>3</v>
      </c>
      <c r="BF45" s="2">
        <v>3</v>
      </c>
      <c r="BG45" s="2">
        <v>2</v>
      </c>
      <c r="BH45" s="2">
        <v>1</v>
      </c>
      <c r="BI45" s="2"/>
      <c r="BJ45" s="2">
        <v>1</v>
      </c>
      <c r="BK45" s="2">
        <v>1</v>
      </c>
      <c r="BL45" s="2">
        <v>2</v>
      </c>
      <c r="BM45" s="2">
        <v>7</v>
      </c>
      <c r="BN45" s="2">
        <v>8</v>
      </c>
      <c r="BO45" s="2">
        <v>9</v>
      </c>
      <c r="BP45" s="2"/>
      <c r="BQ45" s="2"/>
      <c r="BR45" s="2"/>
      <c r="BS45" s="2"/>
      <c r="BT45" s="2"/>
      <c r="BU45" s="2"/>
      <c r="BV45" s="2"/>
      <c r="BW45" s="2"/>
      <c r="BX45" s="2" t="s">
        <v>190</v>
      </c>
      <c r="BY45" s="2" t="s">
        <v>190</v>
      </c>
      <c r="BZ45" s="2" t="s">
        <v>190</v>
      </c>
      <c r="CA45" s="2" t="s">
        <v>191</v>
      </c>
      <c r="CB45" s="2" t="s">
        <v>188</v>
      </c>
      <c r="CC45" s="2" t="s">
        <v>189</v>
      </c>
      <c r="CD45" s="2" t="s">
        <v>189</v>
      </c>
      <c r="CE45" s="2" t="s">
        <v>190</v>
      </c>
      <c r="CF45" s="2" t="s">
        <v>191</v>
      </c>
      <c r="CG45" s="2" t="s">
        <v>190</v>
      </c>
      <c r="CH45" s="2" t="s">
        <v>191</v>
      </c>
      <c r="CI45" s="2" t="s">
        <v>190</v>
      </c>
      <c r="CJ45" s="2" t="s">
        <v>189</v>
      </c>
      <c r="CK45" s="2" t="s">
        <v>189</v>
      </c>
      <c r="CL45" s="2" t="s">
        <v>191</v>
      </c>
      <c r="CM45" s="2" t="s">
        <v>192</v>
      </c>
      <c r="CN45" s="2" t="s">
        <v>192</v>
      </c>
      <c r="CO45" s="2" t="s">
        <v>192</v>
      </c>
      <c r="CP45" s="2" t="s">
        <v>192</v>
      </c>
      <c r="CQ45" s="2" t="s">
        <v>192</v>
      </c>
      <c r="CR45" s="2" t="s">
        <v>192</v>
      </c>
      <c r="CS45" s="2" t="s">
        <v>193</v>
      </c>
      <c r="CT45" s="2" t="s">
        <v>192</v>
      </c>
      <c r="CU45" s="2" t="s">
        <v>192</v>
      </c>
      <c r="CV45" s="2" t="s">
        <v>200</v>
      </c>
      <c r="CW45" s="2" t="s">
        <v>193</v>
      </c>
      <c r="CX45" s="2" t="s">
        <v>193</v>
      </c>
      <c r="CY45" s="2" t="s">
        <v>192</v>
      </c>
      <c r="CZ45" s="2" t="s">
        <v>192</v>
      </c>
      <c r="DA45" s="2" t="s">
        <v>192</v>
      </c>
      <c r="DB45" s="2" t="s">
        <v>192</v>
      </c>
      <c r="DC45" s="2" t="s">
        <v>192</v>
      </c>
      <c r="DD45" s="2" t="s">
        <v>192</v>
      </c>
      <c r="DE45" s="2" t="s">
        <v>192</v>
      </c>
      <c r="DF45" s="2" t="s">
        <v>192</v>
      </c>
      <c r="DG45" s="2" t="s">
        <v>194</v>
      </c>
      <c r="DH45" s="2" t="s">
        <v>195</v>
      </c>
      <c r="DI45" s="2" t="s">
        <v>194</v>
      </c>
      <c r="DJ45" s="2" t="s">
        <v>196</v>
      </c>
      <c r="DK45" s="2" t="s">
        <v>196</v>
      </c>
      <c r="DL45" s="2" t="s">
        <v>195</v>
      </c>
      <c r="DM45" s="2" t="s">
        <v>195</v>
      </c>
      <c r="DN45" s="2" t="s">
        <v>196</v>
      </c>
      <c r="DO45" s="2" t="s">
        <v>196</v>
      </c>
      <c r="DP45" s="2" t="s">
        <v>195</v>
      </c>
      <c r="DQ45" s="2" t="s">
        <v>195</v>
      </c>
      <c r="DR45" s="2" t="s">
        <v>195</v>
      </c>
      <c r="DS45" s="2" t="s">
        <v>197</v>
      </c>
      <c r="DT45" s="2" t="s">
        <v>198</v>
      </c>
      <c r="DU45" s="2" t="s">
        <v>199</v>
      </c>
      <c r="DV45" s="2" t="s">
        <v>198</v>
      </c>
      <c r="DW45" s="2" t="s">
        <v>198</v>
      </c>
      <c r="DX45" s="2" t="s">
        <v>222</v>
      </c>
      <c r="DY45" s="2" t="s">
        <v>198</v>
      </c>
      <c r="DZ45" s="2"/>
      <c r="EA45" s="2">
        <v>1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1</v>
      </c>
      <c r="EJ45" s="2">
        <v>0</v>
      </c>
      <c r="EK45" s="2">
        <v>1</v>
      </c>
      <c r="EL45" s="2">
        <v>0</v>
      </c>
      <c r="EM45" s="2">
        <v>1</v>
      </c>
      <c r="EN45" s="2">
        <v>1</v>
      </c>
      <c r="EO45" s="2">
        <v>0</v>
      </c>
      <c r="EP45" s="2">
        <v>0</v>
      </c>
      <c r="EQ45" s="2">
        <v>1</v>
      </c>
      <c r="ER45" s="2">
        <v>0</v>
      </c>
      <c r="ES45" s="2">
        <v>1</v>
      </c>
      <c r="ET45" s="2">
        <v>1</v>
      </c>
      <c r="EU45" s="2">
        <v>0</v>
      </c>
      <c r="EV45" s="2">
        <v>1</v>
      </c>
      <c r="EW45" s="2">
        <v>0</v>
      </c>
      <c r="EX45" s="2">
        <v>0</v>
      </c>
      <c r="EY45" s="2">
        <v>1</v>
      </c>
      <c r="EZ45" s="2">
        <v>0</v>
      </c>
      <c r="FA45" s="2">
        <v>1</v>
      </c>
      <c r="FB45" s="2">
        <v>1</v>
      </c>
      <c r="FC45" s="2">
        <v>0</v>
      </c>
      <c r="FD45" s="2">
        <v>0</v>
      </c>
      <c r="FE45" s="2">
        <v>0</v>
      </c>
      <c r="FF45" s="2">
        <v>1</v>
      </c>
      <c r="FG45" s="2">
        <v>0</v>
      </c>
      <c r="FH45" s="2">
        <v>1</v>
      </c>
      <c r="FI45" s="2">
        <v>0</v>
      </c>
      <c r="FJ45" s="2">
        <v>1</v>
      </c>
      <c r="FK45" s="2">
        <v>0</v>
      </c>
      <c r="FL45" s="2">
        <v>1</v>
      </c>
      <c r="FM45" s="2">
        <v>0</v>
      </c>
      <c r="FN45" s="2">
        <v>1</v>
      </c>
      <c r="FO45" s="2">
        <v>0</v>
      </c>
      <c r="FP45" s="2">
        <v>0</v>
      </c>
      <c r="FQ45" s="2">
        <v>1</v>
      </c>
      <c r="FR45" s="2">
        <v>1</v>
      </c>
      <c r="FS45" s="2">
        <v>0</v>
      </c>
      <c r="FT45" s="2">
        <v>0</v>
      </c>
      <c r="FU45" s="2">
        <v>1</v>
      </c>
      <c r="FV45" s="2">
        <v>0</v>
      </c>
      <c r="FW45" s="2">
        <v>1</v>
      </c>
      <c r="FX45" s="2">
        <v>1</v>
      </c>
      <c r="FY45" s="2">
        <v>0</v>
      </c>
      <c r="FZ45" s="2"/>
      <c r="GA45" s="2">
        <v>3</v>
      </c>
      <c r="GB45" s="2">
        <v>2</v>
      </c>
      <c r="GC45" s="2">
        <v>4</v>
      </c>
      <c r="GD45" s="2">
        <v>2</v>
      </c>
      <c r="GE45" s="2">
        <v>3</v>
      </c>
      <c r="GG45" s="2">
        <v>4</v>
      </c>
      <c r="GH45" s="2">
        <v>4</v>
      </c>
      <c r="GI45" s="2">
        <v>3</v>
      </c>
      <c r="GJ45" s="2">
        <v>4</v>
      </c>
      <c r="GK45" s="2">
        <v>3</v>
      </c>
      <c r="GM45" s="2">
        <f t="shared" si="0"/>
        <v>14</v>
      </c>
      <c r="GN45" s="2">
        <f t="shared" si="1"/>
        <v>18</v>
      </c>
      <c r="GO45" s="2"/>
      <c r="GP45" s="2">
        <v>3</v>
      </c>
      <c r="GQ45" s="2">
        <v>3</v>
      </c>
      <c r="GR45" s="2">
        <v>1</v>
      </c>
      <c r="GS45" s="2">
        <v>1</v>
      </c>
      <c r="GU45" s="2">
        <v>2</v>
      </c>
      <c r="GV45" s="2">
        <v>1</v>
      </c>
      <c r="GW45" s="2">
        <v>2</v>
      </c>
      <c r="GY45" s="2">
        <v>3</v>
      </c>
      <c r="GZ45" s="2">
        <v>3</v>
      </c>
      <c r="HA45" s="2">
        <v>2</v>
      </c>
      <c r="HB45" s="2">
        <v>1</v>
      </c>
      <c r="HD45" s="2">
        <v>1</v>
      </c>
      <c r="HE45" s="2">
        <v>1</v>
      </c>
      <c r="HF45" s="2">
        <v>2</v>
      </c>
      <c r="HH45" s="2">
        <f t="shared" si="2"/>
        <v>13</v>
      </c>
      <c r="HI45" s="2">
        <f t="shared" si="3"/>
        <v>13</v>
      </c>
      <c r="HJ45" s="2"/>
      <c r="HK45" s="2">
        <v>8</v>
      </c>
      <c r="HL45" s="2">
        <v>9</v>
      </c>
      <c r="HM45" s="2"/>
      <c r="HN45" s="2"/>
    </row>
    <row r="46" spans="1:222" ht="15.75" customHeight="1" x14ac:dyDescent="0.2">
      <c r="A46" s="3" t="e">
        <f>VLOOKUP(B46,#REF!,1,FALSE)</f>
        <v>#REF!</v>
      </c>
      <c r="B46" s="3">
        <v>44642.467237349534</v>
      </c>
      <c r="C46" s="2">
        <v>48</v>
      </c>
      <c r="D46" s="2" t="s">
        <v>185</v>
      </c>
      <c r="E46" s="2">
        <v>0</v>
      </c>
      <c r="F46" s="2" t="s">
        <v>186</v>
      </c>
      <c r="G46" s="2">
        <v>2</v>
      </c>
      <c r="H46" s="2">
        <v>0.5</v>
      </c>
      <c r="I46" s="2">
        <v>1</v>
      </c>
      <c r="J46" s="2">
        <v>4</v>
      </c>
      <c r="K46" s="2">
        <v>0</v>
      </c>
      <c r="L46" s="2">
        <v>2</v>
      </c>
      <c r="M46" s="2" t="s">
        <v>187</v>
      </c>
      <c r="N46" s="2">
        <v>2</v>
      </c>
      <c r="O46" s="2">
        <v>3</v>
      </c>
      <c r="P46" s="2">
        <v>0</v>
      </c>
      <c r="Q46" s="2" t="s">
        <v>341</v>
      </c>
      <c r="R46" s="2">
        <v>2</v>
      </c>
      <c r="S46" s="2">
        <v>1</v>
      </c>
      <c r="T46" s="2">
        <v>1</v>
      </c>
      <c r="U46" s="2">
        <v>1</v>
      </c>
      <c r="V46" s="2">
        <v>0</v>
      </c>
      <c r="W46" s="2">
        <v>1</v>
      </c>
      <c r="X46" s="2"/>
      <c r="Y46" s="2">
        <v>-1</v>
      </c>
      <c r="Z46" s="2">
        <v>1</v>
      </c>
      <c r="AA46" s="2">
        <v>1</v>
      </c>
      <c r="AB46" s="2">
        <v>4</v>
      </c>
      <c r="AC46" s="2">
        <v>1</v>
      </c>
      <c r="AD46" s="2">
        <v>1</v>
      </c>
      <c r="AE46" s="2">
        <v>2</v>
      </c>
      <c r="AF46" s="2">
        <v>4</v>
      </c>
      <c r="AG46" s="2">
        <v>1</v>
      </c>
      <c r="AH46" s="2">
        <v>2</v>
      </c>
      <c r="AI46" s="2">
        <v>3</v>
      </c>
      <c r="AJ46" s="2">
        <v>2</v>
      </c>
      <c r="AK46" s="2">
        <v>1</v>
      </c>
      <c r="AL46" s="2">
        <v>2</v>
      </c>
      <c r="AM46" s="2">
        <v>4</v>
      </c>
      <c r="AN46" s="2">
        <v>4</v>
      </c>
      <c r="AO46" s="2">
        <v>4</v>
      </c>
      <c r="AP46" s="2">
        <v>4</v>
      </c>
      <c r="AQ46" s="2">
        <v>4</v>
      </c>
      <c r="AR46" s="2">
        <v>3</v>
      </c>
      <c r="AS46" s="2">
        <v>1</v>
      </c>
      <c r="AT46" s="2">
        <v>1</v>
      </c>
      <c r="AU46" s="2">
        <v>1</v>
      </c>
      <c r="AV46" s="2"/>
      <c r="AW46" s="2">
        <v>1</v>
      </c>
      <c r="AX46" s="2">
        <v>2</v>
      </c>
      <c r="AY46" s="2">
        <v>2</v>
      </c>
      <c r="AZ46" s="2">
        <v>3</v>
      </c>
      <c r="BA46" s="2">
        <v>2</v>
      </c>
      <c r="BB46" s="2">
        <v>2</v>
      </c>
      <c r="BC46" s="2">
        <v>2</v>
      </c>
      <c r="BD46" s="2">
        <v>3</v>
      </c>
      <c r="BE46" s="2">
        <v>2</v>
      </c>
      <c r="BF46" s="2">
        <v>1</v>
      </c>
      <c r="BG46" s="2">
        <v>1</v>
      </c>
      <c r="BH46" s="2">
        <v>1</v>
      </c>
      <c r="BI46" s="2"/>
      <c r="BJ46" s="2">
        <v>3</v>
      </c>
      <c r="BK46" s="2">
        <v>1</v>
      </c>
      <c r="BL46" s="2">
        <v>2</v>
      </c>
      <c r="BM46" s="2">
        <v>7</v>
      </c>
      <c r="BN46" s="2">
        <v>8</v>
      </c>
      <c r="BO46" s="2">
        <v>6</v>
      </c>
      <c r="BP46" s="2" t="s">
        <v>342</v>
      </c>
      <c r="BQ46" s="2" t="s">
        <v>224</v>
      </c>
      <c r="BR46" s="2" t="s">
        <v>224</v>
      </c>
      <c r="BS46" s="2" t="s">
        <v>224</v>
      </c>
      <c r="BT46" s="2" t="s">
        <v>258</v>
      </c>
      <c r="BU46" s="2" t="s">
        <v>343</v>
      </c>
      <c r="BV46" s="2" t="s">
        <v>344</v>
      </c>
      <c r="BW46" s="2" t="s">
        <v>345</v>
      </c>
      <c r="BX46" s="2" t="s">
        <v>191</v>
      </c>
      <c r="BY46" s="2" t="s">
        <v>191</v>
      </c>
      <c r="BZ46" s="2" t="s">
        <v>190</v>
      </c>
      <c r="CA46" s="2" t="s">
        <v>190</v>
      </c>
      <c r="CB46" s="2" t="s">
        <v>189</v>
      </c>
      <c r="CC46" s="2" t="s">
        <v>189</v>
      </c>
      <c r="CD46" s="2" t="s">
        <v>189</v>
      </c>
      <c r="CE46" s="2" t="s">
        <v>189</v>
      </c>
      <c r="CF46" s="2" t="s">
        <v>191</v>
      </c>
      <c r="CG46" s="2" t="s">
        <v>189</v>
      </c>
      <c r="CH46" s="2" t="s">
        <v>191</v>
      </c>
      <c r="CI46" s="2" t="s">
        <v>189</v>
      </c>
      <c r="CJ46" s="2" t="s">
        <v>188</v>
      </c>
      <c r="CK46" s="2" t="s">
        <v>189</v>
      </c>
      <c r="CL46" s="2" t="s">
        <v>189</v>
      </c>
      <c r="CM46" s="2" t="s">
        <v>192</v>
      </c>
      <c r="CN46" s="2" t="s">
        <v>192</v>
      </c>
      <c r="CO46" s="2" t="s">
        <v>192</v>
      </c>
      <c r="CP46" s="2" t="s">
        <v>193</v>
      </c>
      <c r="CQ46" s="2" t="s">
        <v>192</v>
      </c>
      <c r="CR46" s="2" t="s">
        <v>193</v>
      </c>
      <c r="CS46" s="2" t="s">
        <v>193</v>
      </c>
      <c r="CT46" s="2" t="s">
        <v>192</v>
      </c>
      <c r="CU46" s="2" t="s">
        <v>192</v>
      </c>
      <c r="CV46" s="2" t="s">
        <v>200</v>
      </c>
      <c r="CW46" s="2" t="s">
        <v>193</v>
      </c>
      <c r="CX46" s="2" t="s">
        <v>193</v>
      </c>
      <c r="CY46" s="2" t="s">
        <v>193</v>
      </c>
      <c r="CZ46" s="2" t="s">
        <v>193</v>
      </c>
      <c r="DA46" s="2" t="s">
        <v>193</v>
      </c>
      <c r="DB46" s="2" t="s">
        <v>192</v>
      </c>
      <c r="DC46" s="2" t="s">
        <v>192</v>
      </c>
      <c r="DD46" s="2" t="s">
        <v>192</v>
      </c>
      <c r="DE46" s="2" t="s">
        <v>193</v>
      </c>
      <c r="DF46" s="2" t="s">
        <v>192</v>
      </c>
      <c r="DG46" s="2" t="s">
        <v>195</v>
      </c>
      <c r="DH46" s="2" t="s">
        <v>194</v>
      </c>
      <c r="DI46" s="2" t="s">
        <v>194</v>
      </c>
      <c r="DJ46" s="2" t="s">
        <v>194</v>
      </c>
      <c r="DK46" s="2" t="s">
        <v>194</v>
      </c>
      <c r="DL46" s="2" t="s">
        <v>194</v>
      </c>
      <c r="DM46" s="2" t="s">
        <v>194</v>
      </c>
      <c r="DN46" s="2" t="s">
        <v>220</v>
      </c>
      <c r="DO46" s="2" t="s">
        <v>196</v>
      </c>
      <c r="DP46" s="2" t="s">
        <v>195</v>
      </c>
      <c r="DQ46" s="2" t="s">
        <v>195</v>
      </c>
      <c r="DR46" s="2" t="s">
        <v>194</v>
      </c>
      <c r="DS46" s="2" t="s">
        <v>197</v>
      </c>
      <c r="DT46" s="2" t="s">
        <v>199</v>
      </c>
      <c r="DU46" s="2" t="s">
        <v>197</v>
      </c>
      <c r="DV46" s="2" t="s">
        <v>197</v>
      </c>
      <c r="DW46" s="2" t="s">
        <v>198</v>
      </c>
      <c r="DX46" s="2" t="s">
        <v>197</v>
      </c>
      <c r="DY46" s="2" t="s">
        <v>197</v>
      </c>
      <c r="DZ46" s="2"/>
      <c r="EA46" s="2">
        <v>0</v>
      </c>
      <c r="EB46" s="2">
        <v>1</v>
      </c>
      <c r="EC46" s="2">
        <v>0</v>
      </c>
      <c r="ED46" s="2">
        <v>1</v>
      </c>
      <c r="EE46" s="2">
        <v>0</v>
      </c>
      <c r="EF46" s="2">
        <v>0</v>
      </c>
      <c r="EG46" s="2">
        <v>0</v>
      </c>
      <c r="EH46" s="2">
        <v>0</v>
      </c>
      <c r="EI46" s="2">
        <v>1</v>
      </c>
      <c r="EJ46" s="2">
        <v>1</v>
      </c>
      <c r="EK46" s="2">
        <v>0</v>
      </c>
      <c r="EL46" s="2">
        <v>0</v>
      </c>
      <c r="EM46" s="2">
        <v>1</v>
      </c>
      <c r="EN46" s="2">
        <v>1</v>
      </c>
      <c r="EO46" s="2">
        <v>0</v>
      </c>
      <c r="EP46" s="2">
        <v>1</v>
      </c>
      <c r="EQ46" s="2">
        <v>0</v>
      </c>
      <c r="ER46" s="2">
        <v>0</v>
      </c>
      <c r="ES46" s="2">
        <v>1</v>
      </c>
      <c r="ET46" s="2">
        <v>0</v>
      </c>
      <c r="EU46" s="2">
        <v>1</v>
      </c>
      <c r="EV46" s="2">
        <v>0</v>
      </c>
      <c r="EW46" s="2">
        <v>1</v>
      </c>
      <c r="EX46" s="2">
        <v>0</v>
      </c>
      <c r="EY46" s="2">
        <v>1</v>
      </c>
      <c r="EZ46" s="2">
        <v>1</v>
      </c>
      <c r="FA46" s="2">
        <v>0</v>
      </c>
      <c r="FB46" s="2">
        <v>0</v>
      </c>
      <c r="FC46" s="2">
        <v>1</v>
      </c>
      <c r="FD46" s="2">
        <v>0</v>
      </c>
      <c r="FE46" s="2">
        <v>0</v>
      </c>
      <c r="FF46" s="2">
        <v>1</v>
      </c>
      <c r="FG46" s="2">
        <v>0</v>
      </c>
      <c r="FH46" s="2">
        <v>1</v>
      </c>
      <c r="FI46" s="2">
        <v>0</v>
      </c>
      <c r="FJ46" s="2">
        <v>1</v>
      </c>
      <c r="FK46" s="2">
        <v>0</v>
      </c>
      <c r="FL46" s="2">
        <v>1</v>
      </c>
      <c r="FM46" s="2">
        <v>0</v>
      </c>
      <c r="FN46" s="2">
        <v>0</v>
      </c>
      <c r="FO46" s="2">
        <v>1</v>
      </c>
      <c r="FP46" s="2">
        <v>0</v>
      </c>
      <c r="FQ46" s="2">
        <v>1</v>
      </c>
      <c r="FR46" s="2">
        <v>0</v>
      </c>
      <c r="FS46" s="2">
        <v>1</v>
      </c>
      <c r="FT46" s="2">
        <v>0</v>
      </c>
      <c r="FU46" s="2">
        <v>1</v>
      </c>
      <c r="FV46" s="2">
        <v>0</v>
      </c>
      <c r="FW46" s="2">
        <v>1</v>
      </c>
      <c r="FX46" s="2">
        <v>0</v>
      </c>
      <c r="FY46" s="2">
        <v>1</v>
      </c>
      <c r="FZ46" s="2"/>
      <c r="GA46" s="2">
        <v>4</v>
      </c>
      <c r="GB46" s="2">
        <v>4</v>
      </c>
      <c r="GC46" s="2">
        <v>4</v>
      </c>
      <c r="GD46" s="2">
        <v>4</v>
      </c>
      <c r="GE46" s="2">
        <v>4</v>
      </c>
      <c r="GG46" s="2">
        <v>3</v>
      </c>
      <c r="GH46" s="2">
        <v>2</v>
      </c>
      <c r="GI46" s="2">
        <v>2</v>
      </c>
      <c r="GJ46" s="2">
        <v>2</v>
      </c>
      <c r="GK46" s="2">
        <v>3</v>
      </c>
      <c r="GM46" s="2">
        <f t="shared" si="0"/>
        <v>20</v>
      </c>
      <c r="GN46" s="2">
        <f t="shared" si="1"/>
        <v>12</v>
      </c>
      <c r="GO46" s="2"/>
      <c r="GP46" s="2">
        <v>3</v>
      </c>
      <c r="GQ46" s="2">
        <v>1</v>
      </c>
      <c r="GR46" s="2">
        <v>1</v>
      </c>
      <c r="GS46" s="2">
        <v>1</v>
      </c>
      <c r="GU46" s="2">
        <v>1</v>
      </c>
      <c r="GV46" s="2">
        <v>2</v>
      </c>
      <c r="GW46" s="2">
        <v>2</v>
      </c>
      <c r="GY46" s="2">
        <v>2</v>
      </c>
      <c r="GZ46" s="2">
        <v>1</v>
      </c>
      <c r="HA46" s="2">
        <v>1</v>
      </c>
      <c r="HB46" s="2">
        <v>1</v>
      </c>
      <c r="HD46" s="2">
        <v>3</v>
      </c>
      <c r="HE46" s="2">
        <v>1</v>
      </c>
      <c r="HF46" s="2">
        <v>2</v>
      </c>
      <c r="HH46" s="2">
        <f t="shared" si="2"/>
        <v>11</v>
      </c>
      <c r="HI46" s="2">
        <f t="shared" si="3"/>
        <v>11</v>
      </c>
      <c r="HJ46" s="2"/>
      <c r="HK46" s="2">
        <v>8</v>
      </c>
      <c r="HL46" s="2">
        <v>6</v>
      </c>
      <c r="HM46" s="2"/>
      <c r="HN46" s="2"/>
    </row>
    <row r="47" spans="1:222" ht="15.75" customHeight="1" x14ac:dyDescent="0.2">
      <c r="A47" s="3" t="e">
        <f>VLOOKUP(B47,#REF!,1,FALSE)</f>
        <v>#REF!</v>
      </c>
      <c r="B47" s="3">
        <v>44642.480460231483</v>
      </c>
      <c r="C47" s="2">
        <v>49</v>
      </c>
      <c r="D47" s="2" t="s">
        <v>185</v>
      </c>
      <c r="E47" s="2">
        <v>0</v>
      </c>
      <c r="F47" s="2" t="s">
        <v>237</v>
      </c>
      <c r="G47" s="2">
        <v>2</v>
      </c>
      <c r="H47" s="2">
        <v>2</v>
      </c>
      <c r="I47" s="2">
        <v>1</v>
      </c>
      <c r="J47" s="2">
        <v>4</v>
      </c>
      <c r="K47" s="2">
        <v>0</v>
      </c>
      <c r="L47" s="2">
        <v>3</v>
      </c>
      <c r="M47" s="2" t="s">
        <v>187</v>
      </c>
      <c r="N47" s="2">
        <v>2</v>
      </c>
      <c r="O47" s="2">
        <v>4</v>
      </c>
      <c r="P47" s="2">
        <v>0</v>
      </c>
      <c r="Q47" s="2">
        <v>2</v>
      </c>
      <c r="R47" s="2">
        <v>3</v>
      </c>
      <c r="S47" s="2">
        <v>1</v>
      </c>
      <c r="T47" s="2">
        <v>1</v>
      </c>
      <c r="U47" s="2">
        <v>1</v>
      </c>
      <c r="V47" s="2">
        <v>0</v>
      </c>
      <c r="W47" s="2">
        <v>-1</v>
      </c>
      <c r="X47" s="2"/>
      <c r="Y47" s="2">
        <v>-1</v>
      </c>
      <c r="Z47" s="2">
        <v>0</v>
      </c>
      <c r="AA47" s="2">
        <v>1</v>
      </c>
      <c r="AB47" s="2">
        <v>2</v>
      </c>
      <c r="AC47" s="2">
        <v>1</v>
      </c>
      <c r="AD47" s="2">
        <v>1</v>
      </c>
      <c r="AE47" s="2">
        <v>2</v>
      </c>
      <c r="AF47" s="2">
        <v>1</v>
      </c>
      <c r="AG47" s="2">
        <v>1</v>
      </c>
      <c r="AH47" s="2">
        <v>2</v>
      </c>
      <c r="AI47" s="2">
        <v>2</v>
      </c>
      <c r="AJ47" s="2">
        <v>1</v>
      </c>
      <c r="AK47" s="2">
        <v>2</v>
      </c>
      <c r="AL47" s="2">
        <v>1</v>
      </c>
      <c r="AM47" s="2">
        <v>3</v>
      </c>
      <c r="AN47" s="2">
        <v>3</v>
      </c>
      <c r="AO47" s="2">
        <v>4</v>
      </c>
      <c r="AP47" s="2">
        <v>3</v>
      </c>
      <c r="AQ47" s="2">
        <v>4</v>
      </c>
      <c r="AR47" s="2">
        <v>2</v>
      </c>
      <c r="AS47" s="2">
        <v>2</v>
      </c>
      <c r="AT47" s="2">
        <v>3</v>
      </c>
      <c r="AU47" s="2">
        <v>2</v>
      </c>
      <c r="AV47" s="2"/>
      <c r="AW47" s="2">
        <v>3</v>
      </c>
      <c r="AX47" s="2">
        <v>2</v>
      </c>
      <c r="AY47" s="2">
        <v>3</v>
      </c>
      <c r="AZ47" s="2">
        <v>3</v>
      </c>
      <c r="BA47" s="2">
        <v>3</v>
      </c>
      <c r="BB47" s="2">
        <v>4</v>
      </c>
      <c r="BC47" s="2">
        <v>3</v>
      </c>
      <c r="BD47" s="2">
        <v>4</v>
      </c>
      <c r="BE47" s="2">
        <v>2</v>
      </c>
      <c r="BF47" s="2">
        <v>3</v>
      </c>
      <c r="BG47" s="2">
        <v>3</v>
      </c>
      <c r="BH47" s="2">
        <v>3</v>
      </c>
      <c r="BI47" s="2"/>
      <c r="BJ47" s="2">
        <v>2</v>
      </c>
      <c r="BK47" s="2">
        <v>2</v>
      </c>
      <c r="BL47" s="2">
        <v>3</v>
      </c>
      <c r="BM47" s="2">
        <v>8</v>
      </c>
      <c r="BN47" s="2">
        <v>8</v>
      </c>
      <c r="BO47" s="2">
        <v>8</v>
      </c>
      <c r="BP47" s="2" t="s">
        <v>346</v>
      </c>
      <c r="BQ47" s="2"/>
      <c r="BR47" s="2"/>
      <c r="BS47" s="2"/>
      <c r="BT47" s="2"/>
      <c r="BU47" s="2"/>
      <c r="BV47" s="2"/>
      <c r="BW47" s="2"/>
      <c r="BX47" s="2" t="s">
        <v>190</v>
      </c>
      <c r="BY47" s="2" t="s">
        <v>191</v>
      </c>
      <c r="BZ47" s="2" t="s">
        <v>190</v>
      </c>
      <c r="CA47" s="2" t="s">
        <v>190</v>
      </c>
      <c r="CB47" s="2" t="s">
        <v>191</v>
      </c>
      <c r="CC47" s="2" t="s">
        <v>190</v>
      </c>
      <c r="CD47" s="2" t="s">
        <v>189</v>
      </c>
      <c r="CE47" s="2" t="s">
        <v>189</v>
      </c>
      <c r="CF47" s="2" t="s">
        <v>189</v>
      </c>
      <c r="CG47" s="2" t="s">
        <v>189</v>
      </c>
      <c r="CH47" s="2" t="s">
        <v>191</v>
      </c>
      <c r="CI47" s="2" t="s">
        <v>189</v>
      </c>
      <c r="CJ47" s="2" t="s">
        <v>189</v>
      </c>
      <c r="CK47" s="2"/>
      <c r="CL47" s="2" t="s">
        <v>189</v>
      </c>
      <c r="CM47" s="2" t="s">
        <v>193</v>
      </c>
      <c r="CN47" s="2" t="s">
        <v>200</v>
      </c>
      <c r="CO47" s="2" t="s">
        <v>200</v>
      </c>
      <c r="CP47" s="2" t="s">
        <v>193</v>
      </c>
      <c r="CQ47" s="2" t="s">
        <v>193</v>
      </c>
      <c r="CR47" s="2" t="s">
        <v>193</v>
      </c>
      <c r="CS47" s="2" t="s">
        <v>192</v>
      </c>
      <c r="CT47" s="2" t="s">
        <v>192</v>
      </c>
      <c r="CU47" s="2" t="s">
        <v>192</v>
      </c>
      <c r="CV47" s="2" t="s">
        <v>193</v>
      </c>
      <c r="CW47" s="2" t="s">
        <v>193</v>
      </c>
      <c r="CX47" s="2" t="s">
        <v>192</v>
      </c>
      <c r="CY47" s="2" t="s">
        <v>193</v>
      </c>
      <c r="CZ47" s="2" t="s">
        <v>193</v>
      </c>
      <c r="DA47" s="2" t="s">
        <v>192</v>
      </c>
      <c r="DB47" s="2" t="s">
        <v>193</v>
      </c>
      <c r="DC47" s="2" t="s">
        <v>192</v>
      </c>
      <c r="DD47" s="2" t="s">
        <v>192</v>
      </c>
      <c r="DE47" s="2" t="s">
        <v>192</v>
      </c>
      <c r="DF47" s="2" t="s">
        <v>192</v>
      </c>
      <c r="DG47" s="2" t="s">
        <v>194</v>
      </c>
      <c r="DH47" s="2" t="s">
        <v>196</v>
      </c>
      <c r="DI47" s="2" t="s">
        <v>194</v>
      </c>
      <c r="DJ47" s="2" t="s">
        <v>194</v>
      </c>
      <c r="DK47" s="2" t="s">
        <v>196</v>
      </c>
      <c r="DL47" s="2" t="s">
        <v>194</v>
      </c>
      <c r="DM47" s="2" t="s">
        <v>196</v>
      </c>
      <c r="DN47" s="2" t="s">
        <v>194</v>
      </c>
      <c r="DO47" s="2" t="s">
        <v>194</v>
      </c>
      <c r="DP47" s="2" t="s">
        <v>196</v>
      </c>
      <c r="DQ47" s="2" t="s">
        <v>194</v>
      </c>
      <c r="DR47" s="2" t="s">
        <v>194</v>
      </c>
      <c r="DS47" s="2" t="s">
        <v>199</v>
      </c>
      <c r="DT47" s="2" t="s">
        <v>198</v>
      </c>
      <c r="DU47" s="2" t="s">
        <v>198</v>
      </c>
      <c r="DV47" s="2" t="s">
        <v>198</v>
      </c>
      <c r="DW47" s="2" t="s">
        <v>199</v>
      </c>
      <c r="DX47" s="2" t="s">
        <v>198</v>
      </c>
      <c r="DY47" s="2" t="s">
        <v>199</v>
      </c>
      <c r="DZ47" s="2"/>
      <c r="EA47" s="2">
        <v>0</v>
      </c>
      <c r="EB47" s="2">
        <v>1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1</v>
      </c>
      <c r="EI47" s="2">
        <v>0</v>
      </c>
      <c r="EJ47" s="2">
        <v>0</v>
      </c>
      <c r="EK47" s="2">
        <v>1</v>
      </c>
      <c r="EL47" s="2">
        <v>0</v>
      </c>
      <c r="EM47" s="2">
        <v>1</v>
      </c>
      <c r="EN47" s="2">
        <v>0</v>
      </c>
      <c r="EO47" s="2">
        <v>1</v>
      </c>
      <c r="EP47" s="2">
        <v>0</v>
      </c>
      <c r="EQ47" s="2">
        <v>1</v>
      </c>
      <c r="ER47" s="2">
        <v>0</v>
      </c>
      <c r="ES47" s="2">
        <v>1</v>
      </c>
      <c r="ET47" s="2">
        <v>0</v>
      </c>
      <c r="EU47" s="2">
        <v>1</v>
      </c>
      <c r="EV47" s="2">
        <v>0</v>
      </c>
      <c r="EW47" s="2">
        <v>1</v>
      </c>
      <c r="EX47" s="2">
        <v>0</v>
      </c>
      <c r="EY47" s="2">
        <v>1</v>
      </c>
      <c r="EZ47" s="2">
        <v>0</v>
      </c>
      <c r="FA47" s="2">
        <v>1</v>
      </c>
      <c r="FB47" s="2">
        <v>0</v>
      </c>
      <c r="FC47" s="2">
        <v>1</v>
      </c>
      <c r="FD47" s="2">
        <v>0</v>
      </c>
      <c r="FE47" s="2">
        <v>0</v>
      </c>
      <c r="FF47" s="2">
        <v>0</v>
      </c>
      <c r="FG47" s="2">
        <v>1</v>
      </c>
      <c r="FH47" s="2">
        <v>0</v>
      </c>
      <c r="FI47" s="2">
        <v>1</v>
      </c>
      <c r="FJ47" s="2">
        <v>0</v>
      </c>
      <c r="FK47" s="2">
        <v>1</v>
      </c>
      <c r="FL47" s="2">
        <v>0</v>
      </c>
      <c r="FM47" s="2">
        <v>1</v>
      </c>
      <c r="FN47" s="2">
        <v>0</v>
      </c>
      <c r="FO47" s="2">
        <v>1</v>
      </c>
      <c r="FP47" s="2">
        <v>0</v>
      </c>
      <c r="FQ47" s="2">
        <v>1</v>
      </c>
      <c r="FR47" s="2">
        <v>0</v>
      </c>
      <c r="FS47" s="2">
        <v>1</v>
      </c>
      <c r="FT47" s="2">
        <v>0</v>
      </c>
      <c r="FU47" s="2">
        <v>1</v>
      </c>
      <c r="FV47" s="2">
        <v>0</v>
      </c>
      <c r="FW47" s="2">
        <v>1</v>
      </c>
      <c r="FX47" s="2">
        <v>0</v>
      </c>
      <c r="FY47" s="2">
        <v>1</v>
      </c>
      <c r="FZ47" s="2"/>
      <c r="GA47" s="2">
        <v>3</v>
      </c>
      <c r="GB47" s="2">
        <v>3</v>
      </c>
      <c r="GC47" s="2">
        <v>4</v>
      </c>
      <c r="GD47" s="2">
        <v>3</v>
      </c>
      <c r="GE47" s="2">
        <v>4</v>
      </c>
      <c r="GG47" s="2">
        <v>3</v>
      </c>
      <c r="GH47" s="2">
        <v>3</v>
      </c>
      <c r="GI47" s="2">
        <v>4</v>
      </c>
      <c r="GJ47" s="2">
        <v>3</v>
      </c>
      <c r="GK47" s="2">
        <v>4</v>
      </c>
      <c r="GM47" s="2">
        <f t="shared" si="0"/>
        <v>17</v>
      </c>
      <c r="GN47" s="2">
        <f t="shared" si="1"/>
        <v>17</v>
      </c>
      <c r="GO47" s="2"/>
      <c r="GP47" s="2">
        <v>2</v>
      </c>
      <c r="GQ47" s="2">
        <v>2</v>
      </c>
      <c r="GR47" s="2">
        <v>3</v>
      </c>
      <c r="GS47" s="2">
        <v>2</v>
      </c>
      <c r="GU47" s="2">
        <v>3</v>
      </c>
      <c r="GV47" s="2">
        <v>2</v>
      </c>
      <c r="GW47" s="2">
        <v>3</v>
      </c>
      <c r="GY47" s="2">
        <v>2</v>
      </c>
      <c r="GZ47" s="2">
        <v>3</v>
      </c>
      <c r="HA47" s="2">
        <v>3</v>
      </c>
      <c r="HB47" s="2">
        <v>3</v>
      </c>
      <c r="HD47" s="2">
        <v>2</v>
      </c>
      <c r="HE47" s="2">
        <v>2</v>
      </c>
      <c r="HF47" s="2">
        <v>3</v>
      </c>
      <c r="HH47" s="2">
        <f t="shared" si="2"/>
        <v>17</v>
      </c>
      <c r="HI47" s="2">
        <f t="shared" si="3"/>
        <v>18</v>
      </c>
      <c r="HJ47" s="2"/>
      <c r="HK47" s="2">
        <v>8</v>
      </c>
      <c r="HL47" s="2">
        <v>8</v>
      </c>
      <c r="HM47" s="2"/>
      <c r="HN47" s="2"/>
    </row>
    <row r="48" spans="1:222" ht="15.75" customHeight="1" x14ac:dyDescent="0.2">
      <c r="A48" s="3" t="e">
        <f>VLOOKUP(B48,#REF!,1,FALSE)</f>
        <v>#REF!</v>
      </c>
      <c r="B48" s="3">
        <v>44642.497272476852</v>
      </c>
      <c r="C48" s="2">
        <v>51</v>
      </c>
      <c r="D48" s="2" t="s">
        <v>185</v>
      </c>
      <c r="E48" s="2">
        <v>0</v>
      </c>
      <c r="F48" s="2" t="s">
        <v>347</v>
      </c>
      <c r="G48" s="2">
        <v>2</v>
      </c>
      <c r="H48" s="2">
        <v>0.5</v>
      </c>
      <c r="I48" s="2">
        <v>1</v>
      </c>
      <c r="J48" s="2">
        <v>2</v>
      </c>
      <c r="K48" s="2">
        <v>0</v>
      </c>
      <c r="L48" s="2">
        <v>4</v>
      </c>
      <c r="M48" s="2" t="s">
        <v>213</v>
      </c>
      <c r="N48" s="2">
        <v>2</v>
      </c>
      <c r="O48" s="2">
        <v>3</v>
      </c>
      <c r="P48" s="2">
        <v>0</v>
      </c>
      <c r="Q48" s="2">
        <v>3</v>
      </c>
      <c r="R48" s="2">
        <v>3</v>
      </c>
      <c r="S48" s="2">
        <v>1</v>
      </c>
      <c r="T48" s="2">
        <v>0</v>
      </c>
      <c r="U48" s="2">
        <v>-1</v>
      </c>
      <c r="V48" s="2">
        <v>1</v>
      </c>
      <c r="W48" s="2">
        <v>1</v>
      </c>
      <c r="X48" s="2"/>
      <c r="Y48" s="2">
        <v>1</v>
      </c>
      <c r="Z48" s="2">
        <v>1</v>
      </c>
      <c r="AA48" s="2">
        <v>1</v>
      </c>
      <c r="AB48" s="2">
        <v>4</v>
      </c>
      <c r="AC48" s="2">
        <v>1</v>
      </c>
      <c r="AD48" s="2">
        <v>1</v>
      </c>
      <c r="AE48" s="2">
        <v>1</v>
      </c>
      <c r="AF48" s="2">
        <v>4</v>
      </c>
      <c r="AG48" s="2">
        <v>2</v>
      </c>
      <c r="AH48" s="2">
        <v>2</v>
      </c>
      <c r="AI48" s="2">
        <v>1</v>
      </c>
      <c r="AJ48" s="2">
        <v>3</v>
      </c>
      <c r="AK48" s="2">
        <v>2</v>
      </c>
      <c r="AL48" s="2">
        <v>2</v>
      </c>
      <c r="AM48" s="2">
        <v>3</v>
      </c>
      <c r="AN48" s="2">
        <v>2</v>
      </c>
      <c r="AO48" s="2">
        <v>5</v>
      </c>
      <c r="AP48" s="2">
        <v>4</v>
      </c>
      <c r="AQ48" s="2">
        <v>3</v>
      </c>
      <c r="AR48" s="2">
        <v>2</v>
      </c>
      <c r="AS48" s="2">
        <v>2</v>
      </c>
      <c r="AT48" s="2">
        <v>2</v>
      </c>
      <c r="AU48" s="2">
        <v>1</v>
      </c>
      <c r="AV48" s="2"/>
      <c r="AW48" s="2">
        <v>1</v>
      </c>
      <c r="AX48" s="2">
        <v>2</v>
      </c>
      <c r="AY48" s="2">
        <v>3</v>
      </c>
      <c r="AZ48" s="2">
        <v>3</v>
      </c>
      <c r="BA48" s="2">
        <v>3</v>
      </c>
      <c r="BB48" s="2">
        <v>2</v>
      </c>
      <c r="BC48" s="2">
        <v>2</v>
      </c>
      <c r="BD48" s="2">
        <v>3</v>
      </c>
      <c r="BE48" s="2">
        <v>2</v>
      </c>
      <c r="BF48" s="2">
        <v>0</v>
      </c>
      <c r="BG48" s="2">
        <v>1</v>
      </c>
      <c r="BH48" s="2">
        <v>1</v>
      </c>
      <c r="BI48" s="2"/>
      <c r="BJ48" s="2">
        <v>1</v>
      </c>
      <c r="BK48" s="2">
        <v>2</v>
      </c>
      <c r="BL48" s="2">
        <v>3</v>
      </c>
      <c r="BM48" s="2">
        <v>3</v>
      </c>
      <c r="BN48" s="2">
        <v>9</v>
      </c>
      <c r="BO48" s="2">
        <v>9</v>
      </c>
      <c r="BP48" s="2"/>
      <c r="BQ48" s="2"/>
      <c r="BR48" s="2"/>
      <c r="BS48" s="2"/>
      <c r="BT48" s="2"/>
      <c r="BU48" s="2"/>
      <c r="BV48" s="2"/>
      <c r="BW48" s="2"/>
      <c r="BX48" s="2" t="s">
        <v>191</v>
      </c>
      <c r="BY48" s="2" t="s">
        <v>188</v>
      </c>
      <c r="BZ48" s="2" t="s">
        <v>191</v>
      </c>
      <c r="CA48" s="2" t="s">
        <v>191</v>
      </c>
      <c r="CB48" s="2" t="s">
        <v>188</v>
      </c>
      <c r="CC48" s="2" t="s">
        <v>188</v>
      </c>
      <c r="CD48" s="2" t="s">
        <v>189</v>
      </c>
      <c r="CE48" s="2" t="s">
        <v>190</v>
      </c>
      <c r="CF48" s="2" t="s">
        <v>189</v>
      </c>
      <c r="CG48" s="2" t="s">
        <v>190</v>
      </c>
      <c r="CH48" s="2" t="s">
        <v>188</v>
      </c>
      <c r="CI48" s="2" t="s">
        <v>188</v>
      </c>
      <c r="CJ48" s="2" t="s">
        <v>189</v>
      </c>
      <c r="CK48" s="2" t="s">
        <v>189</v>
      </c>
      <c r="CL48" s="2" t="s">
        <v>191</v>
      </c>
      <c r="CM48" s="2" t="s">
        <v>192</v>
      </c>
      <c r="CN48" s="2" t="s">
        <v>193</v>
      </c>
      <c r="CO48" s="2" t="s">
        <v>200</v>
      </c>
      <c r="CP48" s="2" t="s">
        <v>192</v>
      </c>
      <c r="CQ48" s="2" t="s">
        <v>200</v>
      </c>
      <c r="CR48" s="2" t="s">
        <v>193</v>
      </c>
      <c r="CS48" s="2" t="s">
        <v>193</v>
      </c>
      <c r="CT48" s="2" t="s">
        <v>193</v>
      </c>
      <c r="CU48" s="2" t="s">
        <v>192</v>
      </c>
      <c r="CV48" s="2" t="s">
        <v>200</v>
      </c>
      <c r="CW48" s="2" t="s">
        <v>192</v>
      </c>
      <c r="CX48" s="2" t="s">
        <v>192</v>
      </c>
      <c r="CY48" s="2" t="s">
        <v>200</v>
      </c>
      <c r="CZ48" s="2" t="s">
        <v>192</v>
      </c>
      <c r="DA48" s="2" t="s">
        <v>200</v>
      </c>
      <c r="DB48" s="2" t="s">
        <v>192</v>
      </c>
      <c r="DC48" s="2" t="s">
        <v>192</v>
      </c>
      <c r="DD48" s="2" t="s">
        <v>192</v>
      </c>
      <c r="DE48" s="2" t="s">
        <v>192</v>
      </c>
      <c r="DF48" s="2" t="s">
        <v>192</v>
      </c>
      <c r="DG48" s="2" t="s">
        <v>194</v>
      </c>
      <c r="DH48" s="2" t="s">
        <v>194</v>
      </c>
      <c r="DI48" s="2" t="s">
        <v>194</v>
      </c>
      <c r="DJ48" s="2" t="s">
        <v>194</v>
      </c>
      <c r="DK48" s="2" t="s">
        <v>196</v>
      </c>
      <c r="DL48" s="2" t="s">
        <v>195</v>
      </c>
      <c r="DM48" s="2" t="s">
        <v>201</v>
      </c>
      <c r="DN48" s="2" t="s">
        <v>220</v>
      </c>
      <c r="DO48" s="2" t="s">
        <v>196</v>
      </c>
      <c r="DP48" s="2" t="s">
        <v>196</v>
      </c>
      <c r="DQ48" s="2" t="s">
        <v>194</v>
      </c>
      <c r="DR48" s="2" t="s">
        <v>195</v>
      </c>
      <c r="DS48" s="2" t="s">
        <v>198</v>
      </c>
      <c r="DT48" s="2" t="s">
        <v>197</v>
      </c>
      <c r="DU48" s="2" t="s">
        <v>197</v>
      </c>
      <c r="DV48" s="2" t="s">
        <v>197</v>
      </c>
      <c r="DW48" s="2" t="s">
        <v>197</v>
      </c>
      <c r="DX48" s="2" t="s">
        <v>197</v>
      </c>
      <c r="DY48" s="2" t="s">
        <v>197</v>
      </c>
      <c r="DZ48" s="2"/>
      <c r="EA48" s="2">
        <v>0</v>
      </c>
      <c r="EB48" s="2">
        <v>0</v>
      </c>
      <c r="EC48" s="2">
        <v>1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1</v>
      </c>
      <c r="EJ48" s="2">
        <v>0</v>
      </c>
      <c r="EK48" s="2">
        <v>1</v>
      </c>
      <c r="EL48" s="2">
        <v>0</v>
      </c>
      <c r="EM48" s="2">
        <v>1</v>
      </c>
      <c r="EN48" s="2">
        <v>0</v>
      </c>
      <c r="EO48" s="2">
        <v>1</v>
      </c>
      <c r="EP48" s="2">
        <v>1</v>
      </c>
      <c r="EQ48" s="2">
        <v>0</v>
      </c>
      <c r="ER48" s="2">
        <v>1</v>
      </c>
      <c r="ES48" s="2">
        <v>0</v>
      </c>
      <c r="ET48" s="2">
        <v>0</v>
      </c>
      <c r="EU48" s="2">
        <v>1</v>
      </c>
      <c r="EV48" s="2">
        <v>0</v>
      </c>
      <c r="EW48" s="2">
        <v>1</v>
      </c>
      <c r="EX48" s="2">
        <v>0</v>
      </c>
      <c r="EY48" s="2">
        <v>1</v>
      </c>
      <c r="EZ48" s="2">
        <v>0</v>
      </c>
      <c r="FA48" s="2">
        <v>0</v>
      </c>
      <c r="FB48" s="2">
        <v>0</v>
      </c>
      <c r="FC48" s="2">
        <v>1</v>
      </c>
      <c r="FD48" s="2">
        <v>0</v>
      </c>
      <c r="FE48" s="2">
        <v>0</v>
      </c>
      <c r="FF48" s="2">
        <v>0</v>
      </c>
      <c r="FG48" s="2">
        <v>1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1</v>
      </c>
      <c r="FP48" s="2">
        <v>0</v>
      </c>
      <c r="FQ48" s="2">
        <v>1</v>
      </c>
      <c r="FR48" s="2">
        <v>0</v>
      </c>
      <c r="FS48" s="2">
        <v>0</v>
      </c>
      <c r="FT48" s="2">
        <v>1</v>
      </c>
      <c r="FU48" s="2">
        <v>0</v>
      </c>
      <c r="FV48" s="2">
        <v>1</v>
      </c>
      <c r="FW48" s="2">
        <v>0</v>
      </c>
      <c r="FX48" s="2">
        <v>1</v>
      </c>
      <c r="FY48" s="2">
        <v>0</v>
      </c>
      <c r="FZ48" s="2"/>
      <c r="GA48" s="2">
        <v>3</v>
      </c>
      <c r="GB48" s="2">
        <v>2</v>
      </c>
      <c r="GC48" s="2">
        <v>5</v>
      </c>
      <c r="GD48" s="2">
        <v>4</v>
      </c>
      <c r="GE48" s="2">
        <v>3</v>
      </c>
      <c r="GG48" s="2">
        <v>3</v>
      </c>
      <c r="GH48" s="2">
        <v>3</v>
      </c>
      <c r="GI48" s="2">
        <v>2</v>
      </c>
      <c r="GJ48" s="2">
        <v>2</v>
      </c>
      <c r="GK48" s="2">
        <v>3</v>
      </c>
      <c r="GM48" s="2">
        <f t="shared" si="0"/>
        <v>17</v>
      </c>
      <c r="GN48" s="2">
        <f t="shared" si="1"/>
        <v>13</v>
      </c>
      <c r="GO48" s="2"/>
      <c r="GP48" s="2">
        <v>2</v>
      </c>
      <c r="GQ48" s="2">
        <v>2</v>
      </c>
      <c r="GR48" s="2">
        <v>2</v>
      </c>
      <c r="GS48" s="2">
        <v>1</v>
      </c>
      <c r="GU48" s="2">
        <v>1</v>
      </c>
      <c r="GV48" s="2">
        <v>2</v>
      </c>
      <c r="GW48" s="2">
        <v>3</v>
      </c>
      <c r="GY48" s="2">
        <v>2</v>
      </c>
      <c r="GZ48" s="2">
        <v>0</v>
      </c>
      <c r="HA48" s="2">
        <v>1</v>
      </c>
      <c r="HB48" s="2">
        <v>1</v>
      </c>
      <c r="HD48" s="2">
        <v>1</v>
      </c>
      <c r="HE48" s="2">
        <v>2</v>
      </c>
      <c r="HF48" s="2">
        <v>3</v>
      </c>
      <c r="HH48" s="2">
        <f t="shared" si="2"/>
        <v>13</v>
      </c>
      <c r="HI48" s="2">
        <f t="shared" si="3"/>
        <v>10</v>
      </c>
      <c r="HJ48" s="2"/>
      <c r="HK48" s="2">
        <v>9</v>
      </c>
      <c r="HL48" s="2">
        <v>9</v>
      </c>
      <c r="HM48" s="2"/>
      <c r="HN48" s="2"/>
    </row>
    <row r="49" spans="1:222" ht="15.75" customHeight="1" x14ac:dyDescent="0.2">
      <c r="A49" s="3" t="e">
        <f>VLOOKUP(B49,#REF!,1,FALSE)</f>
        <v>#REF!</v>
      </c>
      <c r="B49" s="3">
        <v>44642.498603252316</v>
      </c>
      <c r="C49" s="2">
        <v>52</v>
      </c>
      <c r="D49" s="2" t="s">
        <v>185</v>
      </c>
      <c r="E49" s="2">
        <v>0</v>
      </c>
      <c r="F49" s="2" t="s">
        <v>186</v>
      </c>
      <c r="G49" s="2">
        <v>8</v>
      </c>
      <c r="H49" s="2">
        <v>2</v>
      </c>
      <c r="I49" s="2">
        <v>1</v>
      </c>
      <c r="J49" s="2">
        <v>1</v>
      </c>
      <c r="K49" s="2">
        <v>0</v>
      </c>
      <c r="L49" s="2">
        <v>4</v>
      </c>
      <c r="M49" s="2" t="s">
        <v>213</v>
      </c>
      <c r="N49" s="2">
        <v>2</v>
      </c>
      <c r="O49" s="2">
        <v>4</v>
      </c>
      <c r="P49" s="2">
        <v>0</v>
      </c>
      <c r="Q49" s="2">
        <v>0</v>
      </c>
      <c r="R49" s="2">
        <v>3</v>
      </c>
      <c r="S49" s="2">
        <v>1</v>
      </c>
      <c r="T49" s="2">
        <v>1</v>
      </c>
      <c r="U49" s="2">
        <v>1</v>
      </c>
      <c r="V49" s="2">
        <v>0</v>
      </c>
      <c r="W49" s="2">
        <v>0</v>
      </c>
      <c r="X49" s="2"/>
      <c r="Y49" s="2">
        <v>1</v>
      </c>
      <c r="Z49" s="2">
        <v>0</v>
      </c>
      <c r="AA49" s="2">
        <v>0</v>
      </c>
      <c r="AB49" s="2">
        <v>4</v>
      </c>
      <c r="AC49" s="2">
        <v>1</v>
      </c>
      <c r="AD49" s="2">
        <v>1</v>
      </c>
      <c r="AE49" s="2">
        <v>2</v>
      </c>
      <c r="AF49" s="2">
        <v>1</v>
      </c>
      <c r="AG49" s="2">
        <v>3</v>
      </c>
      <c r="AH49" s="2">
        <v>3</v>
      </c>
      <c r="AI49" s="2">
        <v>2</v>
      </c>
      <c r="AJ49" s="2">
        <v>2</v>
      </c>
      <c r="AK49" s="2">
        <v>3</v>
      </c>
      <c r="AL49" s="2">
        <v>2</v>
      </c>
      <c r="AM49" s="2">
        <v>3</v>
      </c>
      <c r="AN49" s="2">
        <v>3</v>
      </c>
      <c r="AO49" s="2">
        <v>3</v>
      </c>
      <c r="AP49" s="2">
        <v>1</v>
      </c>
      <c r="AQ49" s="2">
        <v>3</v>
      </c>
      <c r="AR49" s="2">
        <v>1</v>
      </c>
      <c r="AS49" s="2">
        <v>1</v>
      </c>
      <c r="AT49" s="2">
        <v>3</v>
      </c>
      <c r="AU49" s="2">
        <v>3</v>
      </c>
      <c r="AV49" s="2"/>
      <c r="AW49" s="2">
        <v>3</v>
      </c>
      <c r="AX49" s="2">
        <v>1</v>
      </c>
      <c r="AY49" s="2">
        <v>-1</v>
      </c>
      <c r="AZ49" s="2">
        <v>4</v>
      </c>
      <c r="BA49" s="2">
        <v>4</v>
      </c>
      <c r="BB49" s="2">
        <v>4</v>
      </c>
      <c r="BC49" s="2">
        <v>4</v>
      </c>
      <c r="BD49" s="2">
        <v>2</v>
      </c>
      <c r="BE49" s="2">
        <v>2</v>
      </c>
      <c r="BF49" s="2">
        <v>2</v>
      </c>
      <c r="BG49" s="2">
        <v>2</v>
      </c>
      <c r="BH49" s="2">
        <v>2</v>
      </c>
      <c r="BI49" s="2"/>
      <c r="BJ49" s="2">
        <v>1</v>
      </c>
      <c r="BK49" s="2">
        <v>1</v>
      </c>
      <c r="BL49" s="2">
        <v>0</v>
      </c>
      <c r="BM49" s="2">
        <v>9</v>
      </c>
      <c r="BN49" s="2">
        <v>8</v>
      </c>
      <c r="BO49" s="2">
        <v>7</v>
      </c>
      <c r="BP49" s="2"/>
      <c r="BQ49" s="2"/>
      <c r="BR49" s="2" t="s">
        <v>348</v>
      </c>
      <c r="BS49" s="2" t="s">
        <v>349</v>
      </c>
      <c r="BT49" s="2" t="s">
        <v>350</v>
      </c>
      <c r="BU49" s="2" t="s">
        <v>351</v>
      </c>
      <c r="BV49" s="2" t="s">
        <v>352</v>
      </c>
      <c r="BW49" s="2" t="s">
        <v>353</v>
      </c>
      <c r="BX49" s="2" t="s">
        <v>190</v>
      </c>
      <c r="BY49" s="2" t="s">
        <v>190</v>
      </c>
      <c r="BZ49" s="2" t="s">
        <v>190</v>
      </c>
      <c r="CA49" s="2" t="s">
        <v>190</v>
      </c>
      <c r="CB49" s="2" t="s">
        <v>190</v>
      </c>
      <c r="CC49" s="2" t="s">
        <v>190</v>
      </c>
      <c r="CD49" s="2" t="s">
        <v>189</v>
      </c>
      <c r="CE49" s="2" t="s">
        <v>189</v>
      </c>
      <c r="CF49" s="2" t="s">
        <v>189</v>
      </c>
      <c r="CG49" s="2" t="s">
        <v>189</v>
      </c>
      <c r="CH49" s="2" t="s">
        <v>191</v>
      </c>
      <c r="CI49" s="2" t="s">
        <v>191</v>
      </c>
      <c r="CJ49" s="2" t="s">
        <v>191</v>
      </c>
      <c r="CK49" s="2" t="s">
        <v>189</v>
      </c>
      <c r="CL49" s="2" t="s">
        <v>189</v>
      </c>
      <c r="CM49" s="2" t="s">
        <v>192</v>
      </c>
      <c r="CN49" s="2" t="s">
        <v>193</v>
      </c>
      <c r="CO49" s="2" t="s">
        <v>192</v>
      </c>
      <c r="CP49" s="2" t="s">
        <v>200</v>
      </c>
      <c r="CQ49" s="2" t="s">
        <v>200</v>
      </c>
      <c r="CR49" s="2" t="s">
        <v>193</v>
      </c>
      <c r="CS49" s="2" t="s">
        <v>193</v>
      </c>
      <c r="CT49" s="2" t="s">
        <v>200</v>
      </c>
      <c r="CU49" s="2" t="s">
        <v>193</v>
      </c>
      <c r="CV49" s="2" t="s">
        <v>192</v>
      </c>
      <c r="CW49" s="2" t="s">
        <v>200</v>
      </c>
      <c r="CX49" s="2" t="s">
        <v>193</v>
      </c>
      <c r="CY49" s="2" t="s">
        <v>200</v>
      </c>
      <c r="CZ49" s="2" t="s">
        <v>200</v>
      </c>
      <c r="DA49" s="2" t="s">
        <v>193</v>
      </c>
      <c r="DB49" s="2" t="s">
        <v>200</v>
      </c>
      <c r="DC49" s="2" t="s">
        <v>200</v>
      </c>
      <c r="DD49" s="2" t="s">
        <v>193</v>
      </c>
      <c r="DE49" s="2" t="s">
        <v>200</v>
      </c>
      <c r="DF49" s="2" t="s">
        <v>193</v>
      </c>
      <c r="DG49" s="2" t="s">
        <v>196</v>
      </c>
      <c r="DH49" s="2" t="s">
        <v>196</v>
      </c>
      <c r="DI49" s="2" t="s">
        <v>194</v>
      </c>
      <c r="DJ49" s="2" t="s">
        <v>194</v>
      </c>
      <c r="DK49" s="2" t="s">
        <v>196</v>
      </c>
      <c r="DL49" s="2" t="s">
        <v>196</v>
      </c>
      <c r="DM49" s="2" t="s">
        <v>196</v>
      </c>
      <c r="DN49" s="2" t="s">
        <v>196</v>
      </c>
      <c r="DO49" s="2" t="s">
        <v>196</v>
      </c>
      <c r="DP49" s="2" t="s">
        <v>196</v>
      </c>
      <c r="DQ49" s="2" t="s">
        <v>196</v>
      </c>
      <c r="DR49" s="2" t="s">
        <v>196</v>
      </c>
      <c r="DS49" s="2" t="s">
        <v>198</v>
      </c>
      <c r="DT49" s="2" t="s">
        <v>198</v>
      </c>
      <c r="DU49" s="2" t="s">
        <v>221</v>
      </c>
      <c r="DV49" s="2" t="s">
        <v>221</v>
      </c>
      <c r="DW49" s="2" t="s">
        <v>222</v>
      </c>
      <c r="DX49" s="2" t="s">
        <v>222</v>
      </c>
      <c r="DY49" s="2" t="s">
        <v>222</v>
      </c>
      <c r="DZ49" s="2"/>
      <c r="EA49" s="2">
        <v>1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1</v>
      </c>
      <c r="EJ49" s="2">
        <v>1</v>
      </c>
      <c r="EK49" s="2">
        <v>0</v>
      </c>
      <c r="EL49" s="2">
        <v>1</v>
      </c>
      <c r="EM49" s="2">
        <v>0</v>
      </c>
      <c r="EN49" s="2">
        <v>1</v>
      </c>
      <c r="EO49" s="2">
        <v>0</v>
      </c>
      <c r="EP49" s="2">
        <v>1</v>
      </c>
      <c r="EQ49" s="2">
        <v>0</v>
      </c>
      <c r="ER49" s="2">
        <v>0</v>
      </c>
      <c r="ES49" s="2">
        <v>1</v>
      </c>
      <c r="ET49" s="2">
        <v>0</v>
      </c>
      <c r="EU49" s="2">
        <v>1</v>
      </c>
      <c r="EV49" s="2">
        <v>1</v>
      </c>
      <c r="EW49" s="2">
        <v>0</v>
      </c>
      <c r="EX49" s="2">
        <v>0</v>
      </c>
      <c r="EY49" s="2">
        <v>1</v>
      </c>
      <c r="EZ49" s="2">
        <v>1</v>
      </c>
      <c r="FA49" s="2">
        <v>0</v>
      </c>
      <c r="FB49" s="2">
        <v>1</v>
      </c>
      <c r="FC49" s="2">
        <v>0</v>
      </c>
      <c r="FD49" s="2">
        <v>0</v>
      </c>
      <c r="FE49" s="2">
        <v>0</v>
      </c>
      <c r="FF49" s="2">
        <v>0</v>
      </c>
      <c r="FG49" s="2">
        <v>1</v>
      </c>
      <c r="FH49" s="2">
        <v>1</v>
      </c>
      <c r="FI49" s="2">
        <v>0</v>
      </c>
      <c r="FJ49" s="2">
        <v>1</v>
      </c>
      <c r="FK49" s="2">
        <v>0</v>
      </c>
      <c r="FL49" s="2">
        <v>1</v>
      </c>
      <c r="FM49" s="2">
        <v>0</v>
      </c>
      <c r="FN49" s="2">
        <v>0</v>
      </c>
      <c r="FO49" s="2">
        <v>1</v>
      </c>
      <c r="FP49" s="2">
        <v>0</v>
      </c>
      <c r="FQ49" s="2">
        <v>1</v>
      </c>
      <c r="FR49" s="2">
        <v>0</v>
      </c>
      <c r="FS49" s="2">
        <v>1</v>
      </c>
      <c r="FT49" s="2">
        <v>1</v>
      </c>
      <c r="FU49" s="2">
        <v>0</v>
      </c>
      <c r="FV49" s="2">
        <v>0</v>
      </c>
      <c r="FW49" s="2">
        <v>1</v>
      </c>
      <c r="FX49" s="2">
        <v>0</v>
      </c>
      <c r="FY49" s="2">
        <v>1</v>
      </c>
      <c r="FZ49" s="2"/>
      <c r="GA49" s="2">
        <v>3</v>
      </c>
      <c r="GB49" s="2">
        <v>3</v>
      </c>
      <c r="GC49" s="2">
        <v>3</v>
      </c>
      <c r="GD49" s="2">
        <v>1</v>
      </c>
      <c r="GE49" s="2">
        <v>3</v>
      </c>
      <c r="GG49" s="2">
        <v>4</v>
      </c>
      <c r="GH49" s="2">
        <v>4</v>
      </c>
      <c r="GI49" s="2">
        <v>4</v>
      </c>
      <c r="GJ49" s="2">
        <v>4</v>
      </c>
      <c r="GK49" s="2">
        <v>2</v>
      </c>
      <c r="GM49" s="2">
        <f t="shared" si="0"/>
        <v>13</v>
      </c>
      <c r="GN49" s="2">
        <f t="shared" si="1"/>
        <v>18</v>
      </c>
      <c r="GO49" s="2"/>
      <c r="GP49" s="2">
        <v>1</v>
      </c>
      <c r="GQ49" s="2">
        <v>1</v>
      </c>
      <c r="GR49" s="2">
        <v>3</v>
      </c>
      <c r="GS49" s="2">
        <v>3</v>
      </c>
      <c r="GU49" s="2">
        <v>3</v>
      </c>
      <c r="GV49" s="2">
        <v>1</v>
      </c>
      <c r="GW49" s="2">
        <v>-1</v>
      </c>
      <c r="GY49" s="2">
        <v>2</v>
      </c>
      <c r="GZ49" s="2">
        <v>2</v>
      </c>
      <c r="HA49" s="2">
        <v>2</v>
      </c>
      <c r="HB49" s="2">
        <v>2</v>
      </c>
      <c r="HD49" s="2">
        <v>1</v>
      </c>
      <c r="HE49" s="2">
        <v>1</v>
      </c>
      <c r="HF49" s="2">
        <v>0</v>
      </c>
      <c r="HH49" s="2">
        <f t="shared" si="2"/>
        <v>11</v>
      </c>
      <c r="HI49" s="2">
        <f t="shared" si="3"/>
        <v>10</v>
      </c>
      <c r="HJ49" s="2"/>
      <c r="HK49" s="2">
        <v>8</v>
      </c>
      <c r="HL49" s="2">
        <v>7</v>
      </c>
      <c r="HM49" s="2"/>
      <c r="HN49" s="2"/>
    </row>
    <row r="50" spans="1:222" ht="15.75" customHeight="1" x14ac:dyDescent="0.2">
      <c r="A50" s="3" t="e">
        <f>VLOOKUP(B50,#REF!,1,FALSE)</f>
        <v>#REF!</v>
      </c>
      <c r="B50" s="3">
        <v>44642.511049120367</v>
      </c>
      <c r="C50" s="2">
        <v>53</v>
      </c>
      <c r="D50" s="2" t="s">
        <v>185</v>
      </c>
      <c r="E50" s="2">
        <v>0</v>
      </c>
      <c r="F50" s="2" t="s">
        <v>232</v>
      </c>
      <c r="G50" s="2">
        <v>8</v>
      </c>
      <c r="H50" s="2">
        <v>0.5</v>
      </c>
      <c r="I50" s="2">
        <v>1</v>
      </c>
      <c r="J50" s="2">
        <v>2</v>
      </c>
      <c r="K50" s="2">
        <v>0</v>
      </c>
      <c r="L50" s="2">
        <v>4</v>
      </c>
      <c r="M50" s="2" t="s">
        <v>187</v>
      </c>
      <c r="N50" s="2">
        <v>3</v>
      </c>
      <c r="O50" s="2">
        <v>4</v>
      </c>
      <c r="P50" s="2">
        <v>0</v>
      </c>
      <c r="Q50" s="2" t="s">
        <v>354</v>
      </c>
      <c r="R50" s="2">
        <v>3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/>
      <c r="Y50" s="2">
        <v>1</v>
      </c>
      <c r="Z50" s="2">
        <v>1</v>
      </c>
      <c r="AA50" s="2">
        <v>1</v>
      </c>
      <c r="AB50" s="2">
        <v>4</v>
      </c>
      <c r="AC50" s="2">
        <v>4</v>
      </c>
      <c r="AD50" s="2">
        <v>4</v>
      </c>
      <c r="AE50" s="2">
        <v>4</v>
      </c>
      <c r="AF50" s="2">
        <v>4</v>
      </c>
      <c r="AG50" s="2">
        <v>-1</v>
      </c>
      <c r="AH50" s="2">
        <v>1</v>
      </c>
      <c r="AI50" s="2">
        <v>2</v>
      </c>
      <c r="AJ50" s="2">
        <v>2</v>
      </c>
      <c r="AK50" s="2">
        <v>2</v>
      </c>
      <c r="AL50" s="2">
        <v>1</v>
      </c>
      <c r="AM50" s="2">
        <v>3</v>
      </c>
      <c r="AN50" s="2">
        <v>4</v>
      </c>
      <c r="AO50" s="2">
        <v>4</v>
      </c>
      <c r="AP50" s="2">
        <v>4</v>
      </c>
      <c r="AQ50" s="2">
        <v>4</v>
      </c>
      <c r="AR50" s="2">
        <v>3</v>
      </c>
      <c r="AS50" s="2">
        <v>2</v>
      </c>
      <c r="AT50" s="2">
        <v>3</v>
      </c>
      <c r="AU50" s="2">
        <v>2</v>
      </c>
      <c r="AV50" s="2"/>
      <c r="AW50" s="2">
        <v>3</v>
      </c>
      <c r="AX50" s="2">
        <v>2</v>
      </c>
      <c r="AY50" s="2">
        <v>1</v>
      </c>
      <c r="AZ50" s="2">
        <v>4</v>
      </c>
      <c r="BA50" s="2">
        <v>4</v>
      </c>
      <c r="BB50" s="2">
        <v>4</v>
      </c>
      <c r="BC50" s="2">
        <v>4</v>
      </c>
      <c r="BD50" s="2">
        <v>4</v>
      </c>
      <c r="BE50" s="2">
        <v>3</v>
      </c>
      <c r="BF50" s="2">
        <v>2</v>
      </c>
      <c r="BG50" s="2">
        <v>3</v>
      </c>
      <c r="BH50" s="2">
        <v>2</v>
      </c>
      <c r="BI50" s="2"/>
      <c r="BJ50" s="2">
        <v>3</v>
      </c>
      <c r="BK50" s="2">
        <v>3</v>
      </c>
      <c r="BL50" s="2">
        <v>1</v>
      </c>
      <c r="BM50" s="2">
        <v>8</v>
      </c>
      <c r="BN50" s="2">
        <v>8</v>
      </c>
      <c r="BO50" s="2">
        <v>8</v>
      </c>
      <c r="BP50" s="2"/>
      <c r="BQ50" s="2"/>
      <c r="BR50" s="2"/>
      <c r="BS50" s="2"/>
      <c r="BT50" s="2"/>
      <c r="BU50" s="2"/>
      <c r="BV50" s="2"/>
      <c r="BW50" s="2"/>
      <c r="BX50" s="2" t="s">
        <v>190</v>
      </c>
      <c r="BY50" s="2" t="s">
        <v>190</v>
      </c>
      <c r="BZ50" s="2" t="s">
        <v>191</v>
      </c>
      <c r="CA50" s="2" t="s">
        <v>191</v>
      </c>
      <c r="CB50" s="2" t="s">
        <v>191</v>
      </c>
      <c r="CC50" s="2" t="s">
        <v>191</v>
      </c>
      <c r="CD50" s="2" t="s">
        <v>189</v>
      </c>
      <c r="CE50" s="2" t="s">
        <v>189</v>
      </c>
      <c r="CF50" s="2" t="s">
        <v>189</v>
      </c>
      <c r="CG50" s="2" t="s">
        <v>189</v>
      </c>
      <c r="CH50" s="2" t="s">
        <v>189</v>
      </c>
      <c r="CI50" s="2" t="s">
        <v>189</v>
      </c>
      <c r="CJ50" s="2" t="s">
        <v>189</v>
      </c>
      <c r="CK50" s="2" t="s">
        <v>189</v>
      </c>
      <c r="CL50" s="2" t="s">
        <v>189</v>
      </c>
      <c r="CM50" s="2" t="s">
        <v>193</v>
      </c>
      <c r="CN50" s="2" t="s">
        <v>193</v>
      </c>
      <c r="CO50" s="2" t="s">
        <v>193</v>
      </c>
      <c r="CP50" s="2" t="s">
        <v>193</v>
      </c>
      <c r="CQ50" s="2" t="s">
        <v>200</v>
      </c>
      <c r="CR50" s="2" t="s">
        <v>192</v>
      </c>
      <c r="CS50" s="2" t="s">
        <v>193</v>
      </c>
      <c r="CT50" s="2" t="s">
        <v>192</v>
      </c>
      <c r="CU50" s="2" t="s">
        <v>192</v>
      </c>
      <c r="CV50" s="2" t="s">
        <v>192</v>
      </c>
      <c r="CW50" s="2" t="s">
        <v>200</v>
      </c>
      <c r="CX50" s="2" t="s">
        <v>192</v>
      </c>
      <c r="CY50" s="2" t="s">
        <v>193</v>
      </c>
      <c r="CZ50" s="2" t="s">
        <v>193</v>
      </c>
      <c r="DA50" s="2" t="s">
        <v>193</v>
      </c>
      <c r="DB50" s="2" t="s">
        <v>193</v>
      </c>
      <c r="DC50" s="2" t="s">
        <v>192</v>
      </c>
      <c r="DD50" s="2" t="s">
        <v>193</v>
      </c>
      <c r="DE50" s="2" t="s">
        <v>193</v>
      </c>
      <c r="DF50" s="2" t="s">
        <v>193</v>
      </c>
      <c r="DG50" s="2" t="s">
        <v>194</v>
      </c>
      <c r="DH50" s="2" t="s">
        <v>194</v>
      </c>
      <c r="DI50" s="2" t="s">
        <v>194</v>
      </c>
      <c r="DJ50" s="2" t="s">
        <v>194</v>
      </c>
      <c r="DK50" s="2" t="s">
        <v>194</v>
      </c>
      <c r="DL50" s="2" t="s">
        <v>194</v>
      </c>
      <c r="DM50" s="2" t="s">
        <v>194</v>
      </c>
      <c r="DN50" s="2" t="s">
        <v>194</v>
      </c>
      <c r="DO50" s="2" t="s">
        <v>194</v>
      </c>
      <c r="DP50" s="2" t="s">
        <v>194</v>
      </c>
      <c r="DQ50" s="2" t="s">
        <v>194</v>
      </c>
      <c r="DR50" s="2" t="s">
        <v>196</v>
      </c>
      <c r="DS50" s="2" t="s">
        <v>197</v>
      </c>
      <c r="DT50" s="2" t="s">
        <v>198</v>
      </c>
      <c r="DU50" s="2" t="s">
        <v>198</v>
      </c>
      <c r="DV50" s="2" t="s">
        <v>197</v>
      </c>
      <c r="DW50" s="2" t="s">
        <v>197</v>
      </c>
      <c r="DX50" s="2" t="s">
        <v>198</v>
      </c>
      <c r="DY50" s="2" t="s">
        <v>197</v>
      </c>
      <c r="DZ50" s="2"/>
      <c r="EA50" s="2">
        <v>0</v>
      </c>
      <c r="EB50" s="2">
        <v>1</v>
      </c>
      <c r="EC50" s="2">
        <v>0</v>
      </c>
      <c r="ED50" s="2">
        <v>1</v>
      </c>
      <c r="EE50" s="2">
        <v>1</v>
      </c>
      <c r="EF50" s="2">
        <v>0</v>
      </c>
      <c r="EG50" s="2">
        <v>0</v>
      </c>
      <c r="EH50" s="2">
        <v>0</v>
      </c>
      <c r="EI50" s="2">
        <v>1</v>
      </c>
      <c r="EJ50" s="2">
        <v>1</v>
      </c>
      <c r="EK50" s="2">
        <v>0</v>
      </c>
      <c r="EL50" s="2">
        <v>1</v>
      </c>
      <c r="EM50" s="2">
        <v>0</v>
      </c>
      <c r="EN50" s="2">
        <v>1</v>
      </c>
      <c r="EO50" s="2">
        <v>0</v>
      </c>
      <c r="EP50" s="2">
        <v>0</v>
      </c>
      <c r="EQ50" s="2">
        <v>1</v>
      </c>
      <c r="ER50" s="2">
        <v>0</v>
      </c>
      <c r="ES50" s="2">
        <v>1</v>
      </c>
      <c r="ET50" s="2">
        <v>0</v>
      </c>
      <c r="EU50" s="2">
        <v>1</v>
      </c>
      <c r="EV50" s="2">
        <v>0</v>
      </c>
      <c r="EW50" s="2">
        <v>1</v>
      </c>
      <c r="EX50" s="2">
        <v>0</v>
      </c>
      <c r="EY50" s="2">
        <v>1</v>
      </c>
      <c r="EZ50" s="2">
        <v>1</v>
      </c>
      <c r="FA50" s="2">
        <v>0</v>
      </c>
      <c r="FB50" s="2">
        <v>0</v>
      </c>
      <c r="FC50" s="2">
        <v>1</v>
      </c>
      <c r="FD50" s="2">
        <v>0</v>
      </c>
      <c r="FE50" s="2">
        <v>0</v>
      </c>
      <c r="FF50" s="2">
        <v>1</v>
      </c>
      <c r="FG50" s="2">
        <v>0</v>
      </c>
      <c r="FH50" s="2">
        <v>0</v>
      </c>
      <c r="FI50" s="2">
        <v>1</v>
      </c>
      <c r="FJ50" s="2">
        <v>1</v>
      </c>
      <c r="FK50" s="2">
        <v>0</v>
      </c>
      <c r="FL50" s="2">
        <v>1</v>
      </c>
      <c r="FM50" s="2">
        <v>0</v>
      </c>
      <c r="FN50" s="2">
        <v>1</v>
      </c>
      <c r="FO50" s="2">
        <v>0</v>
      </c>
      <c r="FP50" s="2">
        <v>1</v>
      </c>
      <c r="FQ50" s="2">
        <v>0</v>
      </c>
      <c r="FR50" s="2">
        <v>0</v>
      </c>
      <c r="FS50" s="2">
        <v>1</v>
      </c>
      <c r="FT50" s="2">
        <v>1</v>
      </c>
      <c r="FU50" s="2">
        <v>0</v>
      </c>
      <c r="FV50" s="2">
        <v>0</v>
      </c>
      <c r="FW50" s="2">
        <v>1</v>
      </c>
      <c r="FX50" s="2">
        <v>0</v>
      </c>
      <c r="FY50" s="2">
        <v>1</v>
      </c>
      <c r="FZ50" s="2"/>
      <c r="GA50" s="2">
        <v>3</v>
      </c>
      <c r="GB50" s="2">
        <v>4</v>
      </c>
      <c r="GC50" s="2">
        <v>4</v>
      </c>
      <c r="GD50" s="2">
        <v>4</v>
      </c>
      <c r="GE50" s="2">
        <v>4</v>
      </c>
      <c r="GG50" s="2">
        <v>4</v>
      </c>
      <c r="GH50" s="2">
        <v>4</v>
      </c>
      <c r="GI50" s="2">
        <v>4</v>
      </c>
      <c r="GJ50" s="2">
        <v>4</v>
      </c>
      <c r="GK50" s="2">
        <v>4</v>
      </c>
      <c r="GM50" s="2">
        <f t="shared" si="0"/>
        <v>19</v>
      </c>
      <c r="GN50" s="2">
        <f t="shared" si="1"/>
        <v>20</v>
      </c>
      <c r="GO50" s="2"/>
      <c r="GP50" s="2">
        <v>3</v>
      </c>
      <c r="GQ50" s="2">
        <v>2</v>
      </c>
      <c r="GR50" s="2">
        <v>3</v>
      </c>
      <c r="GS50" s="2">
        <v>2</v>
      </c>
      <c r="GU50" s="2">
        <v>3</v>
      </c>
      <c r="GV50" s="2">
        <v>2</v>
      </c>
      <c r="GW50" s="2">
        <v>1</v>
      </c>
      <c r="GY50" s="2">
        <v>3</v>
      </c>
      <c r="GZ50" s="2">
        <v>2</v>
      </c>
      <c r="HA50" s="2">
        <v>3</v>
      </c>
      <c r="HB50" s="2">
        <v>2</v>
      </c>
      <c r="HD50" s="2">
        <v>3</v>
      </c>
      <c r="HE50" s="2">
        <v>3</v>
      </c>
      <c r="HF50" s="2">
        <v>1</v>
      </c>
      <c r="HH50" s="2">
        <f t="shared" si="2"/>
        <v>16</v>
      </c>
      <c r="HI50" s="2">
        <f t="shared" si="3"/>
        <v>17</v>
      </c>
      <c r="HJ50" s="2"/>
      <c r="HK50" s="2">
        <v>8</v>
      </c>
      <c r="HL50" s="2">
        <v>8</v>
      </c>
      <c r="HM50" s="2"/>
      <c r="HN50" s="2"/>
    </row>
    <row r="51" spans="1:222" ht="15.75" customHeight="1" x14ac:dyDescent="0.2">
      <c r="A51" s="3" t="e">
        <f>VLOOKUP(B51,#REF!,1,FALSE)</f>
        <v>#REF!</v>
      </c>
      <c r="B51" s="3">
        <v>44642.518697893516</v>
      </c>
      <c r="C51" s="2">
        <v>54</v>
      </c>
      <c r="D51" s="2" t="s">
        <v>185</v>
      </c>
      <c r="E51" s="2">
        <v>0</v>
      </c>
      <c r="F51" s="2" t="s">
        <v>237</v>
      </c>
      <c r="G51" s="2">
        <v>2</v>
      </c>
      <c r="H51" s="2">
        <v>2</v>
      </c>
      <c r="I51" s="2">
        <v>1</v>
      </c>
      <c r="J51" s="2">
        <v>5</v>
      </c>
      <c r="K51" s="2">
        <v>0</v>
      </c>
      <c r="L51" s="2">
        <v>3</v>
      </c>
      <c r="M51" s="2" t="s">
        <v>187</v>
      </c>
      <c r="N51" s="2">
        <v>2</v>
      </c>
      <c r="O51" s="2">
        <v>4</v>
      </c>
      <c r="P51" s="2">
        <v>0</v>
      </c>
      <c r="Q51" s="2">
        <v>2</v>
      </c>
      <c r="R51" s="2">
        <v>3</v>
      </c>
      <c r="S51" s="2">
        <v>0</v>
      </c>
      <c r="T51" s="2">
        <v>-1</v>
      </c>
      <c r="U51" s="2">
        <v>1</v>
      </c>
      <c r="V51" s="2">
        <v>-1</v>
      </c>
      <c r="W51" s="2">
        <v>-1</v>
      </c>
      <c r="X51" s="2"/>
      <c r="Y51" s="2">
        <v>-1</v>
      </c>
      <c r="Z51" s="2">
        <v>1</v>
      </c>
      <c r="AA51" s="2">
        <v>1</v>
      </c>
      <c r="AB51" s="2">
        <v>2</v>
      </c>
      <c r="AC51" s="2">
        <v>0</v>
      </c>
      <c r="AD51" s="2">
        <v>2</v>
      </c>
      <c r="AE51" s="2">
        <v>2</v>
      </c>
      <c r="AF51" s="2">
        <v>2</v>
      </c>
      <c r="AG51" s="2">
        <v>3</v>
      </c>
      <c r="AH51" s="2">
        <v>3</v>
      </c>
      <c r="AI51" s="2">
        <v>2</v>
      </c>
      <c r="AJ51" s="2">
        <v>3</v>
      </c>
      <c r="AK51" s="2">
        <v>3</v>
      </c>
      <c r="AL51" s="2">
        <v>3</v>
      </c>
      <c r="AM51" s="2">
        <v>4</v>
      </c>
      <c r="AN51" s="2">
        <v>4</v>
      </c>
      <c r="AO51" s="2">
        <v>3</v>
      </c>
      <c r="AP51" s="2">
        <v>1</v>
      </c>
      <c r="AQ51" s="2">
        <v>3</v>
      </c>
      <c r="AR51" s="2">
        <v>3</v>
      </c>
      <c r="AS51" s="2">
        <v>1</v>
      </c>
      <c r="AT51" s="2">
        <v>2</v>
      </c>
      <c r="AU51" s="2">
        <v>0</v>
      </c>
      <c r="AV51" s="2"/>
      <c r="AW51" s="2">
        <v>3</v>
      </c>
      <c r="AX51" s="2">
        <v>0</v>
      </c>
      <c r="AY51" s="2">
        <v>2</v>
      </c>
      <c r="AZ51" s="2">
        <v>4</v>
      </c>
      <c r="BA51" s="2">
        <v>5</v>
      </c>
      <c r="BB51" s="2">
        <v>3</v>
      </c>
      <c r="BC51" s="2">
        <v>3</v>
      </c>
      <c r="BD51" s="2">
        <v>4</v>
      </c>
      <c r="BE51" s="2">
        <v>3</v>
      </c>
      <c r="BF51" s="2">
        <v>1</v>
      </c>
      <c r="BG51" s="2">
        <v>2</v>
      </c>
      <c r="BH51" s="2">
        <v>0</v>
      </c>
      <c r="BI51" s="2"/>
      <c r="BJ51" s="2">
        <v>1</v>
      </c>
      <c r="BK51" s="2">
        <v>0</v>
      </c>
      <c r="BL51" s="2">
        <v>2</v>
      </c>
      <c r="BM51" s="2">
        <v>8</v>
      </c>
      <c r="BN51" s="2">
        <v>9</v>
      </c>
      <c r="BO51" s="2">
        <v>9</v>
      </c>
      <c r="BP51" s="2" t="s">
        <v>355</v>
      </c>
      <c r="BQ51" s="2"/>
      <c r="BR51" s="2"/>
      <c r="BS51" s="2" t="s">
        <v>356</v>
      </c>
      <c r="BT51" s="2"/>
      <c r="BU51" s="2"/>
      <c r="BV51" s="2" t="s">
        <v>357</v>
      </c>
      <c r="BW51" s="2" t="s">
        <v>358</v>
      </c>
      <c r="BX51" s="2" t="s">
        <v>190</v>
      </c>
      <c r="BY51" s="2" t="s">
        <v>190</v>
      </c>
      <c r="BZ51" s="2" t="s">
        <v>190</v>
      </c>
      <c r="CA51" s="2" t="s">
        <v>189</v>
      </c>
      <c r="CB51" s="2" t="s">
        <v>188</v>
      </c>
      <c r="CC51" s="2" t="s">
        <v>189</v>
      </c>
      <c r="CD51" s="2" t="s">
        <v>189</v>
      </c>
      <c r="CE51" s="2" t="s">
        <v>189</v>
      </c>
      <c r="CF51" s="2" t="s">
        <v>189</v>
      </c>
      <c r="CG51" s="2" t="s">
        <v>189</v>
      </c>
      <c r="CH51" s="2" t="s">
        <v>189</v>
      </c>
      <c r="CI51" s="2" t="s">
        <v>189</v>
      </c>
      <c r="CJ51" s="2" t="s">
        <v>189</v>
      </c>
      <c r="CK51" s="2" t="s">
        <v>189</v>
      </c>
      <c r="CL51" s="2" t="s">
        <v>189</v>
      </c>
      <c r="CM51" s="2" t="s">
        <v>193</v>
      </c>
      <c r="CN51" s="2" t="s">
        <v>192</v>
      </c>
      <c r="CO51" s="2" t="s">
        <v>193</v>
      </c>
      <c r="CP51" s="2" t="s">
        <v>192</v>
      </c>
      <c r="CQ51" s="2" t="s">
        <v>192</v>
      </c>
      <c r="CR51" s="2" t="s">
        <v>193</v>
      </c>
      <c r="CS51" s="2" t="s">
        <v>193</v>
      </c>
      <c r="CT51" s="2" t="s">
        <v>193</v>
      </c>
      <c r="CU51" s="2" t="s">
        <v>193</v>
      </c>
      <c r="CV51" s="2" t="s">
        <v>200</v>
      </c>
      <c r="CW51" s="2" t="s">
        <v>193</v>
      </c>
      <c r="CX51" s="2" t="s">
        <v>200</v>
      </c>
      <c r="CY51" s="2" t="s">
        <v>200</v>
      </c>
      <c r="CZ51" s="2" t="s">
        <v>193</v>
      </c>
      <c r="DA51" s="2" t="s">
        <v>193</v>
      </c>
      <c r="DB51" s="2" t="s">
        <v>193</v>
      </c>
      <c r="DC51" s="2" t="s">
        <v>192</v>
      </c>
      <c r="DD51" s="2" t="s">
        <v>193</v>
      </c>
      <c r="DE51" s="2" t="s">
        <v>192</v>
      </c>
      <c r="DF51" s="2" t="s">
        <v>192</v>
      </c>
      <c r="DG51" s="2" t="s">
        <v>194</v>
      </c>
      <c r="DH51" s="2" t="s">
        <v>195</v>
      </c>
      <c r="DI51" s="2" t="s">
        <v>194</v>
      </c>
      <c r="DJ51" s="2" t="s">
        <v>194</v>
      </c>
      <c r="DK51" s="2" t="s">
        <v>196</v>
      </c>
      <c r="DL51" s="2" t="s">
        <v>195</v>
      </c>
      <c r="DM51" s="2" t="s">
        <v>195</v>
      </c>
      <c r="DN51" s="2" t="s">
        <v>196</v>
      </c>
      <c r="DO51" s="2" t="s">
        <v>220</v>
      </c>
      <c r="DP51" s="2" t="s">
        <v>194</v>
      </c>
      <c r="DQ51" s="2" t="s">
        <v>195</v>
      </c>
      <c r="DR51" s="2" t="s">
        <v>195</v>
      </c>
      <c r="DS51" s="2" t="s">
        <v>197</v>
      </c>
      <c r="DT51" s="2" t="s">
        <v>221</v>
      </c>
      <c r="DU51" s="2" t="s">
        <v>199</v>
      </c>
      <c r="DV51" s="2" t="s">
        <v>197</v>
      </c>
      <c r="DW51" s="2" t="s">
        <v>197</v>
      </c>
      <c r="DX51" s="2" t="s">
        <v>197</v>
      </c>
      <c r="DY51" s="2" t="s">
        <v>198</v>
      </c>
      <c r="DZ51" s="2"/>
      <c r="EA51" s="2">
        <v>0</v>
      </c>
      <c r="EB51" s="2">
        <v>1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1</v>
      </c>
      <c r="EI51" s="2">
        <v>0</v>
      </c>
      <c r="EJ51" s="2">
        <v>0</v>
      </c>
      <c r="EK51" s="2">
        <v>1</v>
      </c>
      <c r="EL51" s="2">
        <v>1</v>
      </c>
      <c r="EM51" s="2">
        <v>0</v>
      </c>
      <c r="EN51" s="2">
        <v>1</v>
      </c>
      <c r="EO51" s="2">
        <v>0</v>
      </c>
      <c r="EP51" s="2">
        <v>0</v>
      </c>
      <c r="EQ51" s="2">
        <v>1</v>
      </c>
      <c r="ER51" s="2">
        <v>0</v>
      </c>
      <c r="ES51" s="2">
        <v>1</v>
      </c>
      <c r="ET51" s="2">
        <v>0</v>
      </c>
      <c r="EU51" s="2">
        <v>1</v>
      </c>
      <c r="EV51" s="2">
        <v>1</v>
      </c>
      <c r="EW51" s="2">
        <v>0</v>
      </c>
      <c r="EX51" s="2">
        <v>0</v>
      </c>
      <c r="EY51" s="2">
        <v>1</v>
      </c>
      <c r="EZ51" s="2">
        <v>0</v>
      </c>
      <c r="FA51" s="2">
        <v>0</v>
      </c>
      <c r="FB51" s="2">
        <v>0</v>
      </c>
      <c r="FC51" s="2">
        <v>1</v>
      </c>
      <c r="FD51" s="2">
        <v>0</v>
      </c>
      <c r="FE51" s="2">
        <v>0</v>
      </c>
      <c r="FF51" s="2">
        <v>0</v>
      </c>
      <c r="FG51" s="2">
        <v>1</v>
      </c>
      <c r="FH51" s="2">
        <v>1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1</v>
      </c>
      <c r="FP51" s="2">
        <v>0</v>
      </c>
      <c r="FQ51" s="2">
        <v>1</v>
      </c>
      <c r="FR51" s="2">
        <v>0</v>
      </c>
      <c r="FS51" s="2">
        <v>1</v>
      </c>
      <c r="FT51" s="2">
        <v>0</v>
      </c>
      <c r="FU51" s="2">
        <v>1</v>
      </c>
      <c r="FV51" s="2">
        <v>0</v>
      </c>
      <c r="FW51" s="2">
        <v>1</v>
      </c>
      <c r="FX51" s="2">
        <v>0</v>
      </c>
      <c r="FY51" s="2">
        <v>1</v>
      </c>
      <c r="FZ51" s="2"/>
      <c r="GA51" s="2">
        <v>4</v>
      </c>
      <c r="GB51" s="2">
        <v>4</v>
      </c>
      <c r="GC51" s="2">
        <v>3</v>
      </c>
      <c r="GD51" s="2">
        <v>1</v>
      </c>
      <c r="GE51" s="2">
        <v>3</v>
      </c>
      <c r="GG51" s="2">
        <v>4</v>
      </c>
      <c r="GH51" s="2">
        <v>5</v>
      </c>
      <c r="GI51" s="2">
        <v>3</v>
      </c>
      <c r="GJ51" s="2">
        <v>3</v>
      </c>
      <c r="GK51" s="2">
        <v>4</v>
      </c>
      <c r="GM51" s="2">
        <f t="shared" si="0"/>
        <v>15</v>
      </c>
      <c r="GN51" s="2">
        <f t="shared" si="1"/>
        <v>19</v>
      </c>
      <c r="GO51" s="2"/>
      <c r="GP51" s="2">
        <v>3</v>
      </c>
      <c r="GQ51" s="2">
        <v>1</v>
      </c>
      <c r="GR51" s="2">
        <v>2</v>
      </c>
      <c r="GS51" s="2">
        <v>0</v>
      </c>
      <c r="GU51" s="2">
        <v>3</v>
      </c>
      <c r="GV51" s="2">
        <v>0</v>
      </c>
      <c r="GW51" s="2">
        <v>2</v>
      </c>
      <c r="GY51" s="2">
        <v>3</v>
      </c>
      <c r="GZ51" s="2">
        <v>1</v>
      </c>
      <c r="HA51" s="2">
        <v>2</v>
      </c>
      <c r="HB51" s="2">
        <v>0</v>
      </c>
      <c r="HD51" s="2">
        <v>1</v>
      </c>
      <c r="HE51" s="2">
        <v>0</v>
      </c>
      <c r="HF51" s="2">
        <v>2</v>
      </c>
      <c r="HH51" s="2">
        <f t="shared" si="2"/>
        <v>11</v>
      </c>
      <c r="HI51" s="2">
        <f t="shared" si="3"/>
        <v>9</v>
      </c>
      <c r="HJ51" s="2"/>
      <c r="HK51" s="2">
        <v>9</v>
      </c>
      <c r="HL51" s="2">
        <v>9</v>
      </c>
      <c r="HM51" s="2"/>
      <c r="HN51" s="2"/>
    </row>
    <row r="52" spans="1:222" ht="15.75" customHeight="1" x14ac:dyDescent="0.2">
      <c r="A52" s="3" t="e">
        <f>VLOOKUP(B52,#REF!,1,FALSE)</f>
        <v>#REF!</v>
      </c>
      <c r="B52" s="3">
        <v>44642.554059004629</v>
      </c>
      <c r="C52" s="2">
        <v>55</v>
      </c>
      <c r="D52" s="2" t="s">
        <v>185</v>
      </c>
      <c r="E52" s="2">
        <v>0</v>
      </c>
      <c r="F52" s="2" t="s">
        <v>232</v>
      </c>
      <c r="G52" s="2">
        <v>15</v>
      </c>
      <c r="H52" s="2">
        <v>2</v>
      </c>
      <c r="I52" s="2">
        <v>1</v>
      </c>
      <c r="J52" s="2">
        <v>2</v>
      </c>
      <c r="K52" s="2">
        <v>0</v>
      </c>
      <c r="L52" s="2">
        <v>5</v>
      </c>
      <c r="M52" s="2" t="s">
        <v>187</v>
      </c>
      <c r="N52" s="2">
        <v>2</v>
      </c>
      <c r="O52" s="2">
        <v>3</v>
      </c>
      <c r="P52" s="2">
        <v>0</v>
      </c>
      <c r="Q52" s="2">
        <v>0</v>
      </c>
      <c r="R52" s="2">
        <v>2</v>
      </c>
      <c r="S52" s="2">
        <v>0</v>
      </c>
      <c r="T52" s="2">
        <v>-1</v>
      </c>
      <c r="U52" s="2">
        <v>1</v>
      </c>
      <c r="V52" s="2">
        <v>-1</v>
      </c>
      <c r="W52" s="2">
        <v>-1</v>
      </c>
      <c r="X52" s="2"/>
      <c r="Y52" s="2">
        <v>-1</v>
      </c>
      <c r="Z52" s="2">
        <v>1</v>
      </c>
      <c r="AA52" s="2">
        <v>1</v>
      </c>
      <c r="AB52" s="2">
        <v>4</v>
      </c>
      <c r="AC52" s="2">
        <v>2</v>
      </c>
      <c r="AD52" s="2">
        <v>1</v>
      </c>
      <c r="AE52" s="2">
        <v>2</v>
      </c>
      <c r="AF52" s="2">
        <v>4</v>
      </c>
      <c r="AG52" s="2">
        <v>3</v>
      </c>
      <c r="AH52" s="2">
        <v>3</v>
      </c>
      <c r="AI52" s="2">
        <v>3</v>
      </c>
      <c r="AJ52" s="2">
        <v>3</v>
      </c>
      <c r="AK52" s="2">
        <v>3</v>
      </c>
      <c r="AL52" s="2">
        <v>2</v>
      </c>
      <c r="AM52" s="2">
        <v>2</v>
      </c>
      <c r="AN52" s="2">
        <v>2</v>
      </c>
      <c r="AO52" s="2">
        <v>3</v>
      </c>
      <c r="AP52" s="2">
        <v>4</v>
      </c>
      <c r="AQ52" s="2">
        <v>2</v>
      </c>
      <c r="AR52" s="2">
        <v>3</v>
      </c>
      <c r="AS52" s="2">
        <v>1</v>
      </c>
      <c r="AT52" s="2">
        <v>0</v>
      </c>
      <c r="AU52" s="2">
        <v>1</v>
      </c>
      <c r="AV52" s="2"/>
      <c r="AW52" s="2">
        <v>1</v>
      </c>
      <c r="AX52" s="2">
        <v>3</v>
      </c>
      <c r="AY52" s="2">
        <v>2</v>
      </c>
      <c r="AZ52" s="2">
        <v>3</v>
      </c>
      <c r="BA52" s="2">
        <v>3</v>
      </c>
      <c r="BB52" s="2">
        <v>3</v>
      </c>
      <c r="BC52" s="2">
        <v>4</v>
      </c>
      <c r="BD52" s="2">
        <v>3</v>
      </c>
      <c r="BE52" s="2">
        <v>3</v>
      </c>
      <c r="BF52" s="2">
        <v>1</v>
      </c>
      <c r="BG52" s="2">
        <v>0</v>
      </c>
      <c r="BH52" s="2">
        <v>1</v>
      </c>
      <c r="BI52" s="2"/>
      <c r="BJ52" s="2">
        <v>1</v>
      </c>
      <c r="BK52" s="2">
        <v>2</v>
      </c>
      <c r="BL52" s="2">
        <v>2</v>
      </c>
      <c r="BM52" s="2">
        <v>7</v>
      </c>
      <c r="BN52" s="2">
        <v>9</v>
      </c>
      <c r="BO52" s="2">
        <v>7</v>
      </c>
      <c r="BP52" s="2"/>
      <c r="BQ52" s="2"/>
      <c r="BR52" s="2"/>
      <c r="BS52" s="2"/>
      <c r="BT52" s="2"/>
      <c r="BU52" s="2"/>
      <c r="BV52" s="2" t="s">
        <v>359</v>
      </c>
      <c r="BW52" s="2" t="s">
        <v>360</v>
      </c>
      <c r="BX52" s="2" t="s">
        <v>191</v>
      </c>
      <c r="BY52" s="2" t="s">
        <v>190</v>
      </c>
      <c r="BZ52" s="2" t="s">
        <v>190</v>
      </c>
      <c r="CA52" s="2" t="s">
        <v>190</v>
      </c>
      <c r="CB52" s="2" t="s">
        <v>191</v>
      </c>
      <c r="CC52" s="2" t="s">
        <v>190</v>
      </c>
      <c r="CD52" s="2" t="s">
        <v>189</v>
      </c>
      <c r="CE52" s="2" t="s">
        <v>189</v>
      </c>
      <c r="CF52" s="2" t="s">
        <v>190</v>
      </c>
      <c r="CG52" s="2" t="s">
        <v>190</v>
      </c>
      <c r="CH52" s="2" t="s">
        <v>189</v>
      </c>
      <c r="CI52" s="2" t="s">
        <v>189</v>
      </c>
      <c r="CJ52" s="2" t="s">
        <v>191</v>
      </c>
      <c r="CK52" s="2" t="s">
        <v>190</v>
      </c>
      <c r="CL52" s="2" t="s">
        <v>190</v>
      </c>
      <c r="CM52" s="2" t="s">
        <v>192</v>
      </c>
      <c r="CN52" s="2" t="s">
        <v>193</v>
      </c>
      <c r="CO52" s="2" t="s">
        <v>192</v>
      </c>
      <c r="CP52" s="2" t="s">
        <v>192</v>
      </c>
      <c r="CQ52" s="2" t="s">
        <v>192</v>
      </c>
      <c r="CR52" s="2" t="s">
        <v>193</v>
      </c>
      <c r="CS52" s="2" t="s">
        <v>193</v>
      </c>
      <c r="CT52" s="2" t="s">
        <v>193</v>
      </c>
      <c r="CU52" s="2" t="s">
        <v>193</v>
      </c>
      <c r="CV52" s="2" t="s">
        <v>193</v>
      </c>
      <c r="CW52" s="2" t="s">
        <v>193</v>
      </c>
      <c r="CX52" s="2" t="s">
        <v>200</v>
      </c>
      <c r="CY52" s="2" t="s">
        <v>193</v>
      </c>
      <c r="CZ52" s="2" t="s">
        <v>193</v>
      </c>
      <c r="DA52" s="2" t="s">
        <v>193</v>
      </c>
      <c r="DB52" s="2" t="s">
        <v>192</v>
      </c>
      <c r="DC52" s="2" t="s">
        <v>192</v>
      </c>
      <c r="DD52" s="2" t="s">
        <v>193</v>
      </c>
      <c r="DE52" s="2" t="s">
        <v>192</v>
      </c>
      <c r="DF52" s="2" t="s">
        <v>193</v>
      </c>
      <c r="DG52" s="2" t="s">
        <v>195</v>
      </c>
      <c r="DH52" s="2" t="s">
        <v>195</v>
      </c>
      <c r="DI52" s="2" t="s">
        <v>195</v>
      </c>
      <c r="DJ52" s="2" t="s">
        <v>195</v>
      </c>
      <c r="DK52" s="2" t="s">
        <v>194</v>
      </c>
      <c r="DL52" s="2" t="s">
        <v>195</v>
      </c>
      <c r="DM52" s="2" t="s">
        <v>195</v>
      </c>
      <c r="DN52" s="2" t="s">
        <v>194</v>
      </c>
      <c r="DO52" s="2" t="s">
        <v>195</v>
      </c>
      <c r="DP52" s="2" t="s">
        <v>195</v>
      </c>
      <c r="DQ52" s="2" t="s">
        <v>195</v>
      </c>
      <c r="DR52" s="2" t="s">
        <v>195</v>
      </c>
      <c r="DS52" s="2" t="s">
        <v>197</v>
      </c>
      <c r="DT52" s="2" t="s">
        <v>198</v>
      </c>
      <c r="DU52" s="2" t="s">
        <v>198</v>
      </c>
      <c r="DV52" s="2" t="s">
        <v>197</v>
      </c>
      <c r="DW52" s="2" t="s">
        <v>197</v>
      </c>
      <c r="DX52" s="2" t="s">
        <v>198</v>
      </c>
      <c r="DY52" s="2" t="s">
        <v>197</v>
      </c>
      <c r="DZ52" s="2"/>
      <c r="EA52" s="2">
        <v>1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1</v>
      </c>
      <c r="EJ52" s="2">
        <v>1</v>
      </c>
      <c r="EK52" s="2">
        <v>0</v>
      </c>
      <c r="EL52" s="2">
        <v>0</v>
      </c>
      <c r="EM52" s="2">
        <v>1</v>
      </c>
      <c r="EN52" s="2">
        <v>1</v>
      </c>
      <c r="EO52" s="2">
        <v>0</v>
      </c>
      <c r="EP52" s="2">
        <v>0</v>
      </c>
      <c r="EQ52" s="2">
        <v>1</v>
      </c>
      <c r="ER52" s="2">
        <v>0</v>
      </c>
      <c r="ES52" s="2">
        <v>1</v>
      </c>
      <c r="ET52" s="2">
        <v>0</v>
      </c>
      <c r="EU52" s="2">
        <v>1</v>
      </c>
      <c r="EV52" s="2">
        <v>0</v>
      </c>
      <c r="EW52" s="2">
        <v>1</v>
      </c>
      <c r="EX52" s="2">
        <v>0</v>
      </c>
      <c r="EY52" s="2">
        <v>1</v>
      </c>
      <c r="EZ52" s="2">
        <v>1</v>
      </c>
      <c r="FA52" s="2">
        <v>0</v>
      </c>
      <c r="FB52" s="2">
        <v>0</v>
      </c>
      <c r="FC52" s="2">
        <v>1</v>
      </c>
      <c r="FD52" s="2">
        <v>0</v>
      </c>
      <c r="FE52" s="2">
        <v>0</v>
      </c>
      <c r="FF52" s="2">
        <v>1</v>
      </c>
      <c r="FG52" s="2">
        <v>0</v>
      </c>
      <c r="FH52" s="2">
        <v>1</v>
      </c>
      <c r="FI52" s="2">
        <v>0</v>
      </c>
      <c r="FJ52" s="2">
        <v>1</v>
      </c>
      <c r="FK52" s="2">
        <v>0</v>
      </c>
      <c r="FL52" s="2">
        <v>1</v>
      </c>
      <c r="FM52" s="2">
        <v>0</v>
      </c>
      <c r="FN52" s="2">
        <v>0</v>
      </c>
      <c r="FO52" s="2">
        <v>1</v>
      </c>
      <c r="FP52" s="2">
        <v>0</v>
      </c>
      <c r="FQ52" s="2">
        <v>1</v>
      </c>
      <c r="FR52" s="2">
        <v>0</v>
      </c>
      <c r="FS52" s="2">
        <v>1</v>
      </c>
      <c r="FT52" s="2">
        <v>0</v>
      </c>
      <c r="FU52" s="2">
        <v>1</v>
      </c>
      <c r="FV52" s="2">
        <v>0</v>
      </c>
      <c r="FW52" s="2">
        <v>1</v>
      </c>
      <c r="FX52" s="2">
        <v>0</v>
      </c>
      <c r="FY52" s="2">
        <v>1</v>
      </c>
      <c r="FZ52" s="2"/>
      <c r="GA52" s="2">
        <v>2</v>
      </c>
      <c r="GB52" s="2">
        <v>2</v>
      </c>
      <c r="GC52" s="2">
        <v>3</v>
      </c>
      <c r="GD52" s="2">
        <v>4</v>
      </c>
      <c r="GE52" s="2">
        <v>2</v>
      </c>
      <c r="GG52" s="2">
        <v>3</v>
      </c>
      <c r="GH52" s="2">
        <v>3</v>
      </c>
      <c r="GI52" s="2">
        <v>3</v>
      </c>
      <c r="GJ52" s="2">
        <v>4</v>
      </c>
      <c r="GK52" s="2">
        <v>3</v>
      </c>
      <c r="GM52" s="2">
        <f t="shared" si="0"/>
        <v>13</v>
      </c>
      <c r="GN52" s="2">
        <f t="shared" si="1"/>
        <v>16</v>
      </c>
      <c r="GO52" s="2"/>
      <c r="GP52" s="2">
        <v>3</v>
      </c>
      <c r="GQ52" s="2">
        <v>1</v>
      </c>
      <c r="GR52" s="2">
        <v>0</v>
      </c>
      <c r="GS52" s="2">
        <v>1</v>
      </c>
      <c r="GU52" s="2">
        <v>1</v>
      </c>
      <c r="GV52" s="2">
        <v>3</v>
      </c>
      <c r="GW52" s="2">
        <v>2</v>
      </c>
      <c r="GY52" s="2">
        <v>3</v>
      </c>
      <c r="GZ52" s="2">
        <v>1</v>
      </c>
      <c r="HA52" s="2">
        <v>0</v>
      </c>
      <c r="HB52" s="2">
        <v>1</v>
      </c>
      <c r="HD52" s="2">
        <v>1</v>
      </c>
      <c r="HE52" s="2">
        <v>2</v>
      </c>
      <c r="HF52" s="2">
        <v>2</v>
      </c>
      <c r="HH52" s="2">
        <f t="shared" si="2"/>
        <v>11</v>
      </c>
      <c r="HI52" s="2">
        <f t="shared" si="3"/>
        <v>10</v>
      </c>
      <c r="HJ52" s="2"/>
      <c r="HK52" s="2">
        <v>9</v>
      </c>
      <c r="HL52" s="2">
        <v>7</v>
      </c>
      <c r="HM52" s="2"/>
      <c r="HN52" s="2"/>
    </row>
    <row r="53" spans="1:222" ht="15.75" customHeight="1" x14ac:dyDescent="0.2">
      <c r="A53" s="3" t="e">
        <f>VLOOKUP(B53,#REF!,1,FALSE)</f>
        <v>#REF!</v>
      </c>
      <c r="B53" s="3">
        <v>44642.558951122686</v>
      </c>
      <c r="C53" s="2">
        <v>56</v>
      </c>
      <c r="D53" s="2" t="s">
        <v>185</v>
      </c>
      <c r="E53" s="2">
        <v>0</v>
      </c>
      <c r="F53" s="2" t="s">
        <v>186</v>
      </c>
      <c r="G53" s="2">
        <v>2</v>
      </c>
      <c r="H53" s="2">
        <v>2</v>
      </c>
      <c r="I53" s="2">
        <v>1</v>
      </c>
      <c r="J53" s="2">
        <v>3</v>
      </c>
      <c r="K53" s="2">
        <v>0</v>
      </c>
      <c r="L53" s="2">
        <v>5</v>
      </c>
      <c r="M53" s="2" t="s">
        <v>213</v>
      </c>
      <c r="N53" s="2">
        <v>3</v>
      </c>
      <c r="O53" s="2">
        <v>3</v>
      </c>
      <c r="P53" s="2">
        <v>0</v>
      </c>
      <c r="Q53" s="2">
        <v>0</v>
      </c>
      <c r="R53" s="2">
        <v>3</v>
      </c>
      <c r="S53" s="2">
        <v>-1</v>
      </c>
      <c r="T53" s="2">
        <v>-1</v>
      </c>
      <c r="U53" s="2">
        <v>-1</v>
      </c>
      <c r="V53" s="2">
        <v>-1</v>
      </c>
      <c r="W53" s="2">
        <v>-1</v>
      </c>
      <c r="X53" s="2"/>
      <c r="Y53" s="2">
        <v>1</v>
      </c>
      <c r="Z53" s="2">
        <v>1</v>
      </c>
      <c r="AA53" s="2">
        <v>1</v>
      </c>
      <c r="AB53" s="2">
        <v>4</v>
      </c>
      <c r="AC53" s="2">
        <v>2</v>
      </c>
      <c r="AD53" s="2">
        <v>2</v>
      </c>
      <c r="AE53" s="2">
        <v>4</v>
      </c>
      <c r="AF53" s="2">
        <v>0</v>
      </c>
      <c r="AG53" s="2">
        <v>1</v>
      </c>
      <c r="AH53" s="2">
        <v>1</v>
      </c>
      <c r="AI53" s="2">
        <v>-1</v>
      </c>
      <c r="AJ53" s="2">
        <v>-1</v>
      </c>
      <c r="AK53" s="2">
        <v>3</v>
      </c>
      <c r="AL53" s="2">
        <v>2</v>
      </c>
      <c r="AM53" s="2">
        <v>5</v>
      </c>
      <c r="AN53" s="2">
        <v>5</v>
      </c>
      <c r="AO53" s="2">
        <v>5</v>
      </c>
      <c r="AP53" s="2">
        <v>5</v>
      </c>
      <c r="AQ53" s="2">
        <v>5</v>
      </c>
      <c r="AR53" s="2">
        <v>4</v>
      </c>
      <c r="AS53" s="2">
        <v>1</v>
      </c>
      <c r="AT53" s="2">
        <v>1</v>
      </c>
      <c r="AU53" s="2">
        <v>2</v>
      </c>
      <c r="AV53" s="2"/>
      <c r="AW53" s="2">
        <v>2</v>
      </c>
      <c r="AX53" s="2">
        <v>1</v>
      </c>
      <c r="AY53" s="2">
        <v>3</v>
      </c>
      <c r="AZ53" s="2">
        <v>5</v>
      </c>
      <c r="BA53" s="2">
        <v>5</v>
      </c>
      <c r="BB53" s="2">
        <v>5</v>
      </c>
      <c r="BC53" s="2">
        <v>5</v>
      </c>
      <c r="BD53" s="2">
        <v>5</v>
      </c>
      <c r="BE53" s="2">
        <v>4</v>
      </c>
      <c r="BF53" s="2">
        <v>1</v>
      </c>
      <c r="BG53" s="2">
        <v>1</v>
      </c>
      <c r="BH53" s="2">
        <v>2</v>
      </c>
      <c r="BI53" s="2"/>
      <c r="BJ53" s="2">
        <v>2</v>
      </c>
      <c r="BK53" s="2">
        <v>1</v>
      </c>
      <c r="BL53" s="2">
        <v>3</v>
      </c>
      <c r="BM53" s="2">
        <v>6</v>
      </c>
      <c r="BN53" s="2">
        <v>10</v>
      </c>
      <c r="BO53" s="2">
        <v>10</v>
      </c>
      <c r="BP53" s="2"/>
      <c r="BQ53" s="2"/>
      <c r="BR53" s="2"/>
      <c r="BS53" s="2"/>
      <c r="BT53" s="2"/>
      <c r="BU53" s="2" t="s">
        <v>361</v>
      </c>
      <c r="BV53" s="2" t="s">
        <v>362</v>
      </c>
      <c r="BW53" s="2" t="s">
        <v>363</v>
      </c>
      <c r="BX53" s="2" t="s">
        <v>189</v>
      </c>
      <c r="BY53" s="2" t="s">
        <v>191</v>
      </c>
      <c r="BZ53" s="2" t="s">
        <v>191</v>
      </c>
      <c r="CA53" s="2" t="s">
        <v>189</v>
      </c>
      <c r="CB53" s="2" t="s">
        <v>188</v>
      </c>
      <c r="CC53" s="2" t="s">
        <v>191</v>
      </c>
      <c r="CD53" s="2" t="s">
        <v>189</v>
      </c>
      <c r="CE53" s="2" t="s">
        <v>189</v>
      </c>
      <c r="CF53" s="2" t="s">
        <v>191</v>
      </c>
      <c r="CG53" s="2" t="s">
        <v>189</v>
      </c>
      <c r="CH53" s="2" t="s">
        <v>189</v>
      </c>
      <c r="CI53" s="2" t="s">
        <v>189</v>
      </c>
      <c r="CJ53" s="2" t="s">
        <v>189</v>
      </c>
      <c r="CK53" s="2" t="s">
        <v>189</v>
      </c>
      <c r="CL53" s="2" t="s">
        <v>189</v>
      </c>
      <c r="CM53" s="2" t="s">
        <v>192</v>
      </c>
      <c r="CN53" s="2" t="s">
        <v>192</v>
      </c>
      <c r="CO53" s="2" t="s">
        <v>193</v>
      </c>
      <c r="CP53" s="2" t="s">
        <v>193</v>
      </c>
      <c r="CQ53" s="2" t="s">
        <v>200</v>
      </c>
      <c r="CR53" s="2" t="s">
        <v>200</v>
      </c>
      <c r="CS53" s="2" t="s">
        <v>193</v>
      </c>
      <c r="CT53" s="2" t="s">
        <v>192</v>
      </c>
      <c r="CU53" s="2" t="s">
        <v>193</v>
      </c>
      <c r="CV53" s="2" t="s">
        <v>192</v>
      </c>
      <c r="CW53" s="2" t="s">
        <v>193</v>
      </c>
      <c r="CX53" s="2" t="s">
        <v>193</v>
      </c>
      <c r="CY53" s="2" t="s">
        <v>192</v>
      </c>
      <c r="CZ53" s="2" t="s">
        <v>192</v>
      </c>
      <c r="DA53" s="2" t="s">
        <v>192</v>
      </c>
      <c r="DB53" s="2" t="s">
        <v>192</v>
      </c>
      <c r="DC53" s="2" t="s">
        <v>192</v>
      </c>
      <c r="DD53" s="2" t="s">
        <v>192</v>
      </c>
      <c r="DE53" s="2" t="s">
        <v>192</v>
      </c>
      <c r="DF53" s="2" t="s">
        <v>192</v>
      </c>
      <c r="DG53" s="2" t="s">
        <v>194</v>
      </c>
      <c r="DH53" s="2" t="s">
        <v>195</v>
      </c>
      <c r="DI53" s="2" t="s">
        <v>195</v>
      </c>
      <c r="DJ53" s="2" t="s">
        <v>195</v>
      </c>
      <c r="DK53" s="2" t="s">
        <v>220</v>
      </c>
      <c r="DL53" s="2" t="s">
        <v>194</v>
      </c>
      <c r="DM53" s="2" t="s">
        <v>194</v>
      </c>
      <c r="DN53" s="2" t="s">
        <v>194</v>
      </c>
      <c r="DO53" s="2" t="s">
        <v>194</v>
      </c>
      <c r="DP53" s="2" t="s">
        <v>194</v>
      </c>
      <c r="DQ53" s="2" t="s">
        <v>194</v>
      </c>
      <c r="DR53" s="2" t="s">
        <v>194</v>
      </c>
      <c r="DS53" s="2" t="s">
        <v>197</v>
      </c>
      <c r="DT53" s="2" t="s">
        <v>198</v>
      </c>
      <c r="DU53" s="2" t="s">
        <v>198</v>
      </c>
      <c r="DV53" s="2" t="s">
        <v>197</v>
      </c>
      <c r="DW53" s="2" t="s">
        <v>197</v>
      </c>
      <c r="DX53" s="2" t="s">
        <v>198</v>
      </c>
      <c r="DY53" s="2" t="s">
        <v>197</v>
      </c>
      <c r="DZ53" s="2"/>
      <c r="EA53" s="2">
        <v>1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1</v>
      </c>
      <c r="EI53" s="2">
        <v>1</v>
      </c>
      <c r="EJ53" s="2">
        <v>1</v>
      </c>
      <c r="EK53" s="2">
        <v>0</v>
      </c>
      <c r="EL53" s="2">
        <v>1</v>
      </c>
      <c r="EM53" s="2">
        <v>0</v>
      </c>
      <c r="EN53" s="2">
        <v>1</v>
      </c>
      <c r="EO53" s="2">
        <v>0</v>
      </c>
      <c r="EP53" s="2">
        <v>1</v>
      </c>
      <c r="EQ53" s="2">
        <v>0</v>
      </c>
      <c r="ER53" s="2">
        <v>1</v>
      </c>
      <c r="ES53" s="2">
        <v>1</v>
      </c>
      <c r="ET53" s="2">
        <v>1</v>
      </c>
      <c r="EU53" s="2">
        <v>1</v>
      </c>
      <c r="EV53" s="2">
        <v>1</v>
      </c>
      <c r="EW53" s="2">
        <v>0</v>
      </c>
      <c r="EX53" s="2">
        <v>1</v>
      </c>
      <c r="EY53" s="2">
        <v>1</v>
      </c>
      <c r="EZ53" s="2">
        <v>1</v>
      </c>
      <c r="FA53" s="2">
        <v>1</v>
      </c>
      <c r="FB53" s="2">
        <v>1</v>
      </c>
      <c r="FC53" s="2">
        <v>1</v>
      </c>
      <c r="FD53" s="2">
        <v>0</v>
      </c>
      <c r="FE53" s="2">
        <v>0</v>
      </c>
      <c r="FF53" s="2">
        <v>1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1</v>
      </c>
      <c r="FO53" s="2">
        <v>0</v>
      </c>
      <c r="FP53" s="2">
        <v>1</v>
      </c>
      <c r="FQ53" s="2">
        <v>1</v>
      </c>
      <c r="FR53" s="2">
        <v>1</v>
      </c>
      <c r="FS53" s="2">
        <v>1</v>
      </c>
      <c r="FT53" s="2">
        <v>1</v>
      </c>
      <c r="FU53" s="2">
        <v>1</v>
      </c>
      <c r="FV53" s="2">
        <v>1</v>
      </c>
      <c r="FW53" s="2">
        <v>1</v>
      </c>
      <c r="FX53" s="2">
        <v>1</v>
      </c>
      <c r="FY53" s="2">
        <v>1</v>
      </c>
      <c r="FZ53" s="2"/>
      <c r="GA53" s="2">
        <v>5</v>
      </c>
      <c r="GB53" s="2">
        <v>5</v>
      </c>
      <c r="GC53" s="2">
        <v>5</v>
      </c>
      <c r="GD53" s="2">
        <v>5</v>
      </c>
      <c r="GE53" s="2">
        <v>5</v>
      </c>
      <c r="GG53" s="2">
        <v>5</v>
      </c>
      <c r="GH53" s="2">
        <v>5</v>
      </c>
      <c r="GI53" s="2">
        <v>5</v>
      </c>
      <c r="GJ53" s="2">
        <v>5</v>
      </c>
      <c r="GK53" s="2">
        <v>5</v>
      </c>
      <c r="GM53" s="2">
        <f t="shared" si="0"/>
        <v>25</v>
      </c>
      <c r="GN53" s="2">
        <f t="shared" si="1"/>
        <v>25</v>
      </c>
      <c r="GO53" s="2"/>
      <c r="GP53" s="2">
        <v>4</v>
      </c>
      <c r="GQ53" s="2">
        <v>1</v>
      </c>
      <c r="GR53" s="2">
        <v>1</v>
      </c>
      <c r="GS53" s="2">
        <v>2</v>
      </c>
      <c r="GU53" s="2">
        <v>2</v>
      </c>
      <c r="GV53" s="2">
        <v>1</v>
      </c>
      <c r="GW53" s="2">
        <v>3</v>
      </c>
      <c r="GY53" s="2">
        <v>4</v>
      </c>
      <c r="GZ53" s="2">
        <v>1</v>
      </c>
      <c r="HA53" s="2">
        <v>1</v>
      </c>
      <c r="HB53" s="2">
        <v>2</v>
      </c>
      <c r="HD53" s="2">
        <v>2</v>
      </c>
      <c r="HE53" s="2">
        <v>1</v>
      </c>
      <c r="HF53" s="2">
        <v>3</v>
      </c>
      <c r="HH53" s="2">
        <f t="shared" si="2"/>
        <v>14</v>
      </c>
      <c r="HI53" s="2">
        <f t="shared" si="3"/>
        <v>14</v>
      </c>
      <c r="HJ53" s="2"/>
      <c r="HK53" s="2">
        <v>10</v>
      </c>
      <c r="HL53" s="2">
        <v>10</v>
      </c>
      <c r="HM53" s="2"/>
      <c r="HN53" s="2"/>
    </row>
    <row r="54" spans="1:222" ht="15.75" customHeight="1" x14ac:dyDescent="0.2">
      <c r="A54" s="3" t="e">
        <f>VLOOKUP(B54,#REF!,1,FALSE)</f>
        <v>#REF!</v>
      </c>
      <c r="B54" s="3">
        <v>44642.56454835648</v>
      </c>
      <c r="C54" s="2">
        <v>57</v>
      </c>
      <c r="D54" s="2" t="s">
        <v>185</v>
      </c>
      <c r="E54" s="2">
        <v>0</v>
      </c>
      <c r="F54" s="2" t="s">
        <v>186</v>
      </c>
      <c r="G54" s="2">
        <v>2</v>
      </c>
      <c r="H54" s="2">
        <v>2</v>
      </c>
      <c r="I54" s="2">
        <v>1</v>
      </c>
      <c r="J54" s="2">
        <v>6</v>
      </c>
      <c r="K54" s="2">
        <v>2</v>
      </c>
      <c r="L54" s="2">
        <v>2</v>
      </c>
      <c r="M54" s="2" t="s">
        <v>187</v>
      </c>
      <c r="N54" s="2">
        <v>2</v>
      </c>
      <c r="O54" s="2">
        <v>3</v>
      </c>
      <c r="P54" s="2">
        <v>0</v>
      </c>
      <c r="Q54" s="2">
        <v>3</v>
      </c>
      <c r="R54" s="2">
        <v>1</v>
      </c>
      <c r="S54" s="2">
        <v>-1</v>
      </c>
      <c r="T54" s="2">
        <v>1</v>
      </c>
      <c r="U54" s="2">
        <v>1</v>
      </c>
      <c r="V54" s="2">
        <v>-1</v>
      </c>
      <c r="W54" s="2">
        <v>-1</v>
      </c>
      <c r="X54" s="2"/>
      <c r="Y54" s="2">
        <v>1</v>
      </c>
      <c r="Z54" s="2">
        <v>1</v>
      </c>
      <c r="AA54" s="2">
        <v>1</v>
      </c>
      <c r="AB54" s="2">
        <v>4</v>
      </c>
      <c r="AC54" s="2">
        <v>0</v>
      </c>
      <c r="AD54" s="2">
        <v>2</v>
      </c>
      <c r="AE54" s="2">
        <v>2</v>
      </c>
      <c r="AF54" s="2">
        <v>2</v>
      </c>
      <c r="AG54" s="2">
        <v>1</v>
      </c>
      <c r="AH54" s="2">
        <v>2</v>
      </c>
      <c r="AI54" s="2">
        <v>2</v>
      </c>
      <c r="AJ54" s="2">
        <v>2</v>
      </c>
      <c r="AK54" s="2">
        <v>2</v>
      </c>
      <c r="AL54" s="2">
        <v>1</v>
      </c>
      <c r="AM54" s="2">
        <v>5</v>
      </c>
      <c r="AN54" s="2">
        <v>5</v>
      </c>
      <c r="AO54" s="2">
        <v>5</v>
      </c>
      <c r="AP54" s="2">
        <v>5</v>
      </c>
      <c r="AQ54" s="2">
        <v>5</v>
      </c>
      <c r="AR54" s="2">
        <v>3</v>
      </c>
      <c r="AS54" s="2">
        <v>1</v>
      </c>
      <c r="AT54" s="2">
        <v>0</v>
      </c>
      <c r="AU54" s="2">
        <v>1</v>
      </c>
      <c r="AV54" s="2"/>
      <c r="AW54" s="2">
        <v>1</v>
      </c>
      <c r="AX54" s="2">
        <v>2</v>
      </c>
      <c r="AY54" s="2">
        <v>1</v>
      </c>
      <c r="AZ54" s="2">
        <v>3</v>
      </c>
      <c r="BA54" s="2">
        <v>3</v>
      </c>
      <c r="BB54" s="2">
        <v>3</v>
      </c>
      <c r="BC54" s="2">
        <v>3</v>
      </c>
      <c r="BD54" s="2"/>
      <c r="BE54" s="2">
        <v>3</v>
      </c>
      <c r="BF54" s="2">
        <v>0</v>
      </c>
      <c r="BG54" s="2">
        <v>0</v>
      </c>
      <c r="BH54" s="2">
        <v>0</v>
      </c>
      <c r="BI54" s="2"/>
      <c r="BJ54" s="2"/>
      <c r="BK54" s="2">
        <v>0</v>
      </c>
      <c r="BL54" s="2">
        <v>1</v>
      </c>
      <c r="BM54" s="2">
        <v>8</v>
      </c>
      <c r="BN54" s="2">
        <v>8</v>
      </c>
      <c r="BO54" s="2">
        <v>7</v>
      </c>
      <c r="BP54" s="2"/>
      <c r="BQ54" s="2"/>
      <c r="BR54" s="2"/>
      <c r="BS54" s="2"/>
      <c r="BT54" s="2"/>
      <c r="BU54" s="2"/>
      <c r="BV54" s="2"/>
      <c r="BW54" s="2"/>
      <c r="BX54" s="2" t="s">
        <v>191</v>
      </c>
      <c r="BY54" s="2" t="s">
        <v>191</v>
      </c>
      <c r="BZ54" s="2" t="s">
        <v>191</v>
      </c>
      <c r="CA54" s="2" t="s">
        <v>191</v>
      </c>
      <c r="CB54" s="2" t="s">
        <v>191</v>
      </c>
      <c r="CC54" s="2" t="s">
        <v>191</v>
      </c>
      <c r="CD54" s="2" t="s">
        <v>191</v>
      </c>
      <c r="CE54" s="2" t="s">
        <v>191</v>
      </c>
      <c r="CF54" s="2" t="s">
        <v>191</v>
      </c>
      <c r="CG54" s="2" t="s">
        <v>191</v>
      </c>
      <c r="CH54" s="2" t="s">
        <v>191</v>
      </c>
      <c r="CI54" s="2" t="s">
        <v>191</v>
      </c>
      <c r="CJ54" s="2" t="s">
        <v>191</v>
      </c>
      <c r="CK54" s="2" t="s">
        <v>191</v>
      </c>
      <c r="CL54" s="2" t="s">
        <v>191</v>
      </c>
      <c r="CM54" s="2" t="s">
        <v>192</v>
      </c>
      <c r="CN54" s="2" t="s">
        <v>192</v>
      </c>
      <c r="CO54" s="2" t="s">
        <v>192</v>
      </c>
      <c r="CP54" s="2" t="s">
        <v>192</v>
      </c>
      <c r="CQ54" s="2" t="s">
        <v>192</v>
      </c>
      <c r="CR54" s="2" t="s">
        <v>192</v>
      </c>
      <c r="CS54" s="2" t="s">
        <v>192</v>
      </c>
      <c r="CT54" s="2" t="s">
        <v>192</v>
      </c>
      <c r="CU54" s="2" t="s">
        <v>192</v>
      </c>
      <c r="CV54" s="2" t="s">
        <v>192</v>
      </c>
      <c r="CW54" s="2" t="s">
        <v>192</v>
      </c>
      <c r="CX54" s="2" t="s">
        <v>193</v>
      </c>
      <c r="CY54" s="2" t="s">
        <v>192</v>
      </c>
      <c r="CZ54" s="2" t="s">
        <v>192</v>
      </c>
      <c r="DA54" s="2" t="s">
        <v>192</v>
      </c>
      <c r="DB54" s="2" t="s">
        <v>192</v>
      </c>
      <c r="DC54" s="2" t="s">
        <v>192</v>
      </c>
      <c r="DD54" s="2" t="s">
        <v>192</v>
      </c>
      <c r="DE54" s="2" t="s">
        <v>192</v>
      </c>
      <c r="DF54" s="2" t="s">
        <v>192</v>
      </c>
      <c r="DG54" s="2" t="s">
        <v>194</v>
      </c>
      <c r="DH54" s="2" t="s">
        <v>194</v>
      </c>
      <c r="DI54" s="2" t="s">
        <v>194</v>
      </c>
      <c r="DJ54" s="2" t="s">
        <v>194</v>
      </c>
      <c r="DK54" s="2" t="s">
        <v>194</v>
      </c>
      <c r="DL54" s="2" t="s">
        <v>194</v>
      </c>
      <c r="DM54" s="2" t="s">
        <v>194</v>
      </c>
      <c r="DN54" s="2" t="s">
        <v>194</v>
      </c>
      <c r="DO54" s="2" t="s">
        <v>194</v>
      </c>
      <c r="DP54" s="2" t="s">
        <v>194</v>
      </c>
      <c r="DQ54" s="2" t="s">
        <v>194</v>
      </c>
      <c r="DR54" s="2" t="s">
        <v>194</v>
      </c>
      <c r="DS54" s="2" t="s">
        <v>197</v>
      </c>
      <c r="DT54" s="2" t="s">
        <v>197</v>
      </c>
      <c r="DU54" s="2" t="s">
        <v>222</v>
      </c>
      <c r="DV54" s="2" t="s">
        <v>197</v>
      </c>
      <c r="DW54" s="2" t="s">
        <v>199</v>
      </c>
      <c r="DX54" s="2" t="s">
        <v>199</v>
      </c>
      <c r="DY54" s="2" t="s">
        <v>199</v>
      </c>
      <c r="DZ54" s="2"/>
      <c r="EA54" s="2">
        <v>0</v>
      </c>
      <c r="EB54" s="2">
        <v>0</v>
      </c>
      <c r="EC54" s="2">
        <v>1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1</v>
      </c>
      <c r="EJ54" s="2">
        <v>0</v>
      </c>
      <c r="EK54" s="2">
        <v>1</v>
      </c>
      <c r="EL54" s="2">
        <v>0</v>
      </c>
      <c r="EM54" s="2">
        <v>1</v>
      </c>
      <c r="EN54" s="2">
        <v>1</v>
      </c>
      <c r="EO54" s="2">
        <v>0</v>
      </c>
      <c r="EP54" s="2">
        <v>0</v>
      </c>
      <c r="EQ54" s="2">
        <v>1</v>
      </c>
      <c r="ER54" s="2">
        <v>0</v>
      </c>
      <c r="ES54" s="2">
        <v>1</v>
      </c>
      <c r="ET54" s="2">
        <v>0</v>
      </c>
      <c r="EU54" s="2">
        <v>1</v>
      </c>
      <c r="EV54" s="2">
        <v>0</v>
      </c>
      <c r="EW54" s="2">
        <v>1</v>
      </c>
      <c r="EX54" s="2">
        <v>0</v>
      </c>
      <c r="EY54" s="2">
        <v>1</v>
      </c>
      <c r="EZ54" s="2">
        <v>1</v>
      </c>
      <c r="FA54" s="2">
        <v>0</v>
      </c>
      <c r="FB54" s="2">
        <v>1</v>
      </c>
      <c r="FC54" s="2">
        <v>0</v>
      </c>
      <c r="FD54" s="2">
        <v>0</v>
      </c>
      <c r="FE54" s="2">
        <v>0</v>
      </c>
      <c r="FF54" s="2">
        <v>1</v>
      </c>
      <c r="FG54" s="2">
        <v>0</v>
      </c>
      <c r="FH54" s="2">
        <v>1</v>
      </c>
      <c r="FI54" s="2">
        <v>0</v>
      </c>
      <c r="FJ54" s="2">
        <v>1</v>
      </c>
      <c r="FK54" s="2">
        <v>0</v>
      </c>
      <c r="FL54" s="2">
        <v>1</v>
      </c>
      <c r="FM54" s="2">
        <v>0</v>
      </c>
      <c r="FN54" s="2">
        <v>0</v>
      </c>
      <c r="FO54" s="2">
        <v>1</v>
      </c>
      <c r="FP54" s="2">
        <v>0</v>
      </c>
      <c r="FQ54" s="2">
        <v>1</v>
      </c>
      <c r="FR54" s="2">
        <v>0</v>
      </c>
      <c r="FS54" s="2">
        <v>1</v>
      </c>
      <c r="FT54" s="2">
        <v>0</v>
      </c>
      <c r="FU54" s="2">
        <v>1</v>
      </c>
      <c r="FV54" s="2">
        <v>0</v>
      </c>
      <c r="FW54" s="2">
        <v>1</v>
      </c>
      <c r="FX54" s="2">
        <v>0</v>
      </c>
      <c r="FY54" s="2">
        <v>1</v>
      </c>
      <c r="FZ54" s="2"/>
      <c r="GA54" s="7">
        <v>5</v>
      </c>
      <c r="GB54" s="7">
        <v>5</v>
      </c>
      <c r="GC54" s="7">
        <v>5</v>
      </c>
      <c r="GD54" s="7">
        <v>5</v>
      </c>
      <c r="GE54" s="7">
        <v>5</v>
      </c>
      <c r="GF54" s="7"/>
      <c r="GG54" s="7">
        <v>3</v>
      </c>
      <c r="GH54" s="7">
        <v>3</v>
      </c>
      <c r="GI54" s="7">
        <v>3</v>
      </c>
      <c r="GJ54" s="7">
        <v>3</v>
      </c>
      <c r="GK54" s="7"/>
      <c r="GL54" s="7"/>
      <c r="GM54" s="7">
        <f t="shared" si="0"/>
        <v>25</v>
      </c>
      <c r="GN54" s="7">
        <f t="shared" si="1"/>
        <v>12</v>
      </c>
      <c r="GO54" s="7"/>
      <c r="GP54" s="2">
        <v>3</v>
      </c>
      <c r="GQ54" s="2">
        <v>1</v>
      </c>
      <c r="GR54" s="2">
        <v>0</v>
      </c>
      <c r="GS54" s="2">
        <v>1</v>
      </c>
      <c r="GU54" s="2">
        <v>1</v>
      </c>
      <c r="GV54" s="2">
        <v>2</v>
      </c>
      <c r="GW54" s="2">
        <v>1</v>
      </c>
      <c r="GY54" s="2">
        <v>3</v>
      </c>
      <c r="GZ54" s="2">
        <v>0</v>
      </c>
      <c r="HA54" s="2">
        <v>0</v>
      </c>
      <c r="HB54" s="2">
        <v>0</v>
      </c>
      <c r="HE54" s="2">
        <v>0</v>
      </c>
      <c r="HF54" s="2">
        <v>1</v>
      </c>
      <c r="HH54" s="2">
        <f t="shared" si="2"/>
        <v>9</v>
      </c>
      <c r="HI54" s="2">
        <f t="shared" si="3"/>
        <v>4</v>
      </c>
      <c r="HJ54" s="2"/>
      <c r="HK54" s="2">
        <v>8</v>
      </c>
      <c r="HL54" s="2">
        <v>7</v>
      </c>
      <c r="HM54" s="2"/>
      <c r="HN54" s="2"/>
    </row>
    <row r="55" spans="1:222" ht="15.75" customHeight="1" x14ac:dyDescent="0.2">
      <c r="A55" s="3" t="e">
        <f>VLOOKUP(B55,#REF!,1,FALSE)</f>
        <v>#REF!</v>
      </c>
      <c r="B55" s="3">
        <v>44642.573938287038</v>
      </c>
      <c r="C55" s="2">
        <v>59</v>
      </c>
      <c r="D55" s="2" t="s">
        <v>185</v>
      </c>
      <c r="E55" s="2">
        <v>0</v>
      </c>
      <c r="F55" s="2" t="s">
        <v>186</v>
      </c>
      <c r="G55" s="2">
        <v>2</v>
      </c>
      <c r="H55" s="2">
        <v>0.5</v>
      </c>
      <c r="I55" s="2">
        <v>1</v>
      </c>
      <c r="J55" s="2">
        <v>5</v>
      </c>
      <c r="K55" s="2">
        <v>0</v>
      </c>
      <c r="L55" s="2">
        <v>2</v>
      </c>
      <c r="M55" s="2" t="s">
        <v>208</v>
      </c>
      <c r="N55" s="2">
        <v>2</v>
      </c>
      <c r="O55" s="2">
        <v>6</v>
      </c>
      <c r="P55" s="2">
        <v>0</v>
      </c>
      <c r="Q55" s="2">
        <v>3</v>
      </c>
      <c r="R55" s="2">
        <v>3</v>
      </c>
      <c r="S55" s="2">
        <v>1</v>
      </c>
      <c r="T55" s="2">
        <v>1</v>
      </c>
      <c r="U55" s="2">
        <v>1</v>
      </c>
      <c r="V55" s="2">
        <v>0</v>
      </c>
      <c r="W55" s="2">
        <v>0</v>
      </c>
      <c r="X55" s="2"/>
      <c r="Y55" s="2">
        <v>-1</v>
      </c>
      <c r="Z55" s="2">
        <v>1</v>
      </c>
      <c r="AA55" s="2">
        <v>1</v>
      </c>
      <c r="AB55" s="2">
        <v>4</v>
      </c>
      <c r="AC55" s="2">
        <v>1</v>
      </c>
      <c r="AD55" s="2">
        <v>1</v>
      </c>
      <c r="AE55" s="2">
        <v>1</v>
      </c>
      <c r="AF55" s="2">
        <v>0</v>
      </c>
      <c r="AG55" s="2">
        <v>-1</v>
      </c>
      <c r="AH55" s="2">
        <v>2</v>
      </c>
      <c r="AI55" s="2">
        <v>2</v>
      </c>
      <c r="AJ55" s="2">
        <v>2</v>
      </c>
      <c r="AK55" s="2">
        <v>2</v>
      </c>
      <c r="AL55" s="2">
        <v>3</v>
      </c>
      <c r="AM55" s="2">
        <v>4</v>
      </c>
      <c r="AN55" s="2">
        <v>4</v>
      </c>
      <c r="AO55" s="2">
        <v>4</v>
      </c>
      <c r="AP55" s="2">
        <v>3</v>
      </c>
      <c r="AQ55" s="2">
        <v>3</v>
      </c>
      <c r="AR55" s="2">
        <v>2</v>
      </c>
      <c r="AS55" s="2">
        <v>2</v>
      </c>
      <c r="AT55" s="2">
        <v>0</v>
      </c>
      <c r="AU55" s="2">
        <v>1</v>
      </c>
      <c r="AV55" s="2"/>
      <c r="AW55" s="2">
        <v>2</v>
      </c>
      <c r="AX55" s="2">
        <v>3</v>
      </c>
      <c r="AY55" s="2">
        <v>2</v>
      </c>
      <c r="AZ55" s="2">
        <v>5</v>
      </c>
      <c r="BA55" s="2">
        <v>5</v>
      </c>
      <c r="BB55" s="2">
        <v>4</v>
      </c>
      <c r="BC55" s="2">
        <v>3</v>
      </c>
      <c r="BD55" s="2">
        <v>3</v>
      </c>
      <c r="BE55" s="2">
        <v>3</v>
      </c>
      <c r="BF55" s="2">
        <v>1</v>
      </c>
      <c r="BG55" s="2">
        <v>2</v>
      </c>
      <c r="BH55" s="2">
        <v>1</v>
      </c>
      <c r="BI55" s="2"/>
      <c r="BJ55" s="2">
        <v>3</v>
      </c>
      <c r="BK55" s="2">
        <v>3</v>
      </c>
      <c r="BL55" s="2">
        <v>2</v>
      </c>
      <c r="BM55" s="2">
        <v>5</v>
      </c>
      <c r="BN55" s="2">
        <v>8</v>
      </c>
      <c r="BO55" s="2">
        <v>8</v>
      </c>
      <c r="BP55" s="2"/>
      <c r="BQ55" s="2"/>
      <c r="BR55" s="2"/>
      <c r="BS55" s="2"/>
      <c r="BT55" s="2"/>
      <c r="BU55" s="2"/>
      <c r="BV55" s="2"/>
      <c r="BW55" s="2"/>
      <c r="BX55" s="2" t="s">
        <v>189</v>
      </c>
      <c r="BY55" s="2" t="s">
        <v>188</v>
      </c>
      <c r="BZ55" s="2" t="s">
        <v>190</v>
      </c>
      <c r="CA55" s="2" t="s">
        <v>190</v>
      </c>
      <c r="CB55" s="2" t="s">
        <v>188</v>
      </c>
      <c r="CC55" s="2" t="s">
        <v>190</v>
      </c>
      <c r="CD55" s="2" t="s">
        <v>189</v>
      </c>
      <c r="CE55" s="2" t="s">
        <v>189</v>
      </c>
      <c r="CF55" s="2" t="s">
        <v>188</v>
      </c>
      <c r="CG55" s="2" t="s">
        <v>191</v>
      </c>
      <c r="CH55" s="2" t="s">
        <v>188</v>
      </c>
      <c r="CI55" s="2" t="s">
        <v>190</v>
      </c>
      <c r="CJ55" s="2" t="s">
        <v>189</v>
      </c>
      <c r="CK55" s="2" t="s">
        <v>189</v>
      </c>
      <c r="CL55" s="2" t="s">
        <v>189</v>
      </c>
      <c r="CM55" s="2" t="s">
        <v>192</v>
      </c>
      <c r="CN55" s="2" t="s">
        <v>193</v>
      </c>
      <c r="CO55" s="2" t="s">
        <v>200</v>
      </c>
      <c r="CP55" s="2" t="s">
        <v>193</v>
      </c>
      <c r="CQ55" s="2" t="s">
        <v>193</v>
      </c>
      <c r="CR55" s="2" t="s">
        <v>200</v>
      </c>
      <c r="CS55" s="2" t="s">
        <v>193</v>
      </c>
      <c r="CT55" s="2" t="s">
        <v>193</v>
      </c>
      <c r="CU55" s="2" t="s">
        <v>192</v>
      </c>
      <c r="CV55" s="2" t="s">
        <v>200</v>
      </c>
      <c r="CW55" s="2" t="s">
        <v>192</v>
      </c>
      <c r="CX55" s="2" t="s">
        <v>193</v>
      </c>
      <c r="CY55" s="2" t="s">
        <v>192</v>
      </c>
      <c r="CZ55" s="2" t="s">
        <v>193</v>
      </c>
      <c r="DA55" s="2" t="s">
        <v>200</v>
      </c>
      <c r="DB55" s="2" t="s">
        <v>192</v>
      </c>
      <c r="DC55" s="2" t="s">
        <v>192</v>
      </c>
      <c r="DD55" s="2" t="s">
        <v>193</v>
      </c>
      <c r="DE55" s="2" t="s">
        <v>193</v>
      </c>
      <c r="DF55" s="2" t="s">
        <v>193</v>
      </c>
      <c r="DG55" s="2" t="s">
        <v>195</v>
      </c>
      <c r="DH55" s="2" t="s">
        <v>201</v>
      </c>
      <c r="DI55" s="2" t="s">
        <v>195</v>
      </c>
      <c r="DJ55" s="2" t="s">
        <v>195</v>
      </c>
      <c r="DK55" s="2" t="s">
        <v>196</v>
      </c>
      <c r="DL55" s="2" t="s">
        <v>195</v>
      </c>
      <c r="DM55" s="2" t="s">
        <v>194</v>
      </c>
      <c r="DN55" s="2" t="s">
        <v>196</v>
      </c>
      <c r="DO55" s="2" t="s">
        <v>196</v>
      </c>
      <c r="DP55" s="2" t="s">
        <v>196</v>
      </c>
      <c r="DQ55" s="2" t="s">
        <v>195</v>
      </c>
      <c r="DR55" s="2" t="s">
        <v>196</v>
      </c>
      <c r="DS55" s="2" t="s">
        <v>197</v>
      </c>
      <c r="DT55" s="2"/>
      <c r="DU55" s="2" t="s">
        <v>199</v>
      </c>
      <c r="DV55" s="2" t="s">
        <v>197</v>
      </c>
      <c r="DW55" s="2" t="s">
        <v>197</v>
      </c>
      <c r="DX55" s="2" t="s">
        <v>198</v>
      </c>
      <c r="DY55" s="2" t="s">
        <v>197</v>
      </c>
      <c r="DZ55" s="2"/>
      <c r="EA55" s="2">
        <v>0</v>
      </c>
      <c r="EB55" s="2">
        <v>0</v>
      </c>
      <c r="EC55" s="2">
        <v>1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1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1</v>
      </c>
      <c r="ET55" s="2">
        <v>0</v>
      </c>
      <c r="EU55" s="2">
        <v>1</v>
      </c>
      <c r="EV55" s="2">
        <v>0</v>
      </c>
      <c r="EW55" s="2">
        <v>1</v>
      </c>
      <c r="EX55" s="2">
        <v>0</v>
      </c>
      <c r="EY55" s="2">
        <v>1</v>
      </c>
      <c r="EZ55" s="2">
        <v>0</v>
      </c>
      <c r="FA55" s="2">
        <v>0</v>
      </c>
      <c r="FB55" s="2">
        <v>1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1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1</v>
      </c>
      <c r="FR55" s="2">
        <v>0</v>
      </c>
      <c r="FS55" s="2">
        <v>1</v>
      </c>
      <c r="FT55" s="2">
        <v>0</v>
      </c>
      <c r="FU55" s="2">
        <v>0</v>
      </c>
      <c r="FV55" s="2">
        <v>0</v>
      </c>
      <c r="FW55" s="2">
        <v>1</v>
      </c>
      <c r="FX55" s="2">
        <v>0</v>
      </c>
      <c r="FY55" s="2">
        <v>1</v>
      </c>
      <c r="FZ55" s="2"/>
      <c r="GA55" s="2">
        <v>4</v>
      </c>
      <c r="GB55" s="2">
        <v>4</v>
      </c>
      <c r="GC55" s="2">
        <v>4</v>
      </c>
      <c r="GD55" s="2">
        <v>3</v>
      </c>
      <c r="GE55" s="2">
        <v>3</v>
      </c>
      <c r="GG55" s="2">
        <v>5</v>
      </c>
      <c r="GH55" s="2">
        <v>5</v>
      </c>
      <c r="GI55" s="2">
        <v>4</v>
      </c>
      <c r="GJ55" s="2">
        <v>3</v>
      </c>
      <c r="GK55" s="2">
        <v>3</v>
      </c>
      <c r="GM55" s="2">
        <f t="shared" si="0"/>
        <v>18</v>
      </c>
      <c r="GN55" s="2">
        <f t="shared" si="1"/>
        <v>20</v>
      </c>
      <c r="GO55" s="2"/>
      <c r="GP55" s="2">
        <v>2</v>
      </c>
      <c r="GQ55" s="2">
        <v>2</v>
      </c>
      <c r="GR55" s="2">
        <v>0</v>
      </c>
      <c r="GS55" s="2">
        <v>1</v>
      </c>
      <c r="GU55" s="2">
        <v>2</v>
      </c>
      <c r="GV55" s="2">
        <v>3</v>
      </c>
      <c r="GW55" s="2">
        <v>2</v>
      </c>
      <c r="GY55" s="2">
        <v>3</v>
      </c>
      <c r="GZ55" s="2">
        <v>1</v>
      </c>
      <c r="HA55" s="2">
        <v>2</v>
      </c>
      <c r="HB55" s="2">
        <v>1</v>
      </c>
      <c r="HD55" s="2">
        <v>3</v>
      </c>
      <c r="HE55" s="2">
        <v>3</v>
      </c>
      <c r="HF55" s="2">
        <v>2</v>
      </c>
      <c r="HH55" s="2">
        <f t="shared" si="2"/>
        <v>12</v>
      </c>
      <c r="HI55" s="2">
        <f t="shared" si="3"/>
        <v>15</v>
      </c>
      <c r="HJ55" s="2"/>
      <c r="HK55" s="2">
        <v>8</v>
      </c>
      <c r="HL55" s="2">
        <v>8</v>
      </c>
      <c r="HM55" s="2"/>
      <c r="HN55" s="2"/>
    </row>
    <row r="56" spans="1:222" ht="15.75" customHeight="1" x14ac:dyDescent="0.2">
      <c r="A56" s="3" t="e">
        <f>VLOOKUP(B56,#REF!,1,FALSE)</f>
        <v>#REF!</v>
      </c>
      <c r="B56" s="3">
        <v>44642.576383402775</v>
      </c>
      <c r="C56" s="2">
        <v>60</v>
      </c>
      <c r="D56" s="2" t="s">
        <v>185</v>
      </c>
      <c r="E56" s="2">
        <v>0</v>
      </c>
      <c r="F56" s="2" t="s">
        <v>237</v>
      </c>
      <c r="G56" s="2">
        <v>2</v>
      </c>
      <c r="H56" s="2">
        <v>2</v>
      </c>
      <c r="I56" s="2">
        <v>1</v>
      </c>
      <c r="J56" s="2">
        <v>4</v>
      </c>
      <c r="K56" s="2">
        <v>0</v>
      </c>
      <c r="L56" s="2">
        <v>3</v>
      </c>
      <c r="M56" s="2" t="s">
        <v>187</v>
      </c>
      <c r="N56" s="2">
        <v>2</v>
      </c>
      <c r="O56" s="2">
        <v>3</v>
      </c>
      <c r="P56" s="2">
        <v>0</v>
      </c>
      <c r="Q56" s="2">
        <v>2</v>
      </c>
      <c r="R56" s="2">
        <v>3</v>
      </c>
      <c r="S56" s="2">
        <v>-1</v>
      </c>
      <c r="T56" s="2">
        <v>0</v>
      </c>
      <c r="U56" s="2">
        <v>0</v>
      </c>
      <c r="V56" s="2">
        <v>-1</v>
      </c>
      <c r="W56" s="2">
        <v>-1</v>
      </c>
      <c r="X56" s="2"/>
      <c r="Y56" s="2">
        <v>-1</v>
      </c>
      <c r="Z56" s="2">
        <v>1</v>
      </c>
      <c r="AA56" s="2">
        <v>1</v>
      </c>
      <c r="AB56" s="2">
        <v>4</v>
      </c>
      <c r="AC56" s="2">
        <v>2</v>
      </c>
      <c r="AD56" s="2">
        <v>1</v>
      </c>
      <c r="AE56" s="2">
        <v>1</v>
      </c>
      <c r="AF56" s="2">
        <v>2</v>
      </c>
      <c r="AG56" s="2">
        <v>2</v>
      </c>
      <c r="AH56" s="2">
        <v>2</v>
      </c>
      <c r="AI56" s="2">
        <v>1</v>
      </c>
      <c r="AJ56" s="2">
        <v>2</v>
      </c>
      <c r="AK56" s="2">
        <v>-1</v>
      </c>
      <c r="AL56" s="2">
        <v>2</v>
      </c>
      <c r="AM56" s="2">
        <v>3</v>
      </c>
      <c r="AN56" s="2">
        <v>3</v>
      </c>
      <c r="AO56" s="2">
        <v>4</v>
      </c>
      <c r="AP56" s="2">
        <v>2</v>
      </c>
      <c r="AQ56" s="2">
        <v>3</v>
      </c>
      <c r="AR56" s="2">
        <v>3</v>
      </c>
      <c r="AS56" s="2">
        <v>1</v>
      </c>
      <c r="AT56" s="2">
        <v>1</v>
      </c>
      <c r="AU56" s="2">
        <v>1</v>
      </c>
      <c r="AV56" s="2"/>
      <c r="AW56" s="2">
        <v>1</v>
      </c>
      <c r="AX56" s="2">
        <v>2</v>
      </c>
      <c r="AY56" s="2">
        <v>0</v>
      </c>
      <c r="AZ56" s="2">
        <v>3</v>
      </c>
      <c r="BA56" s="2">
        <v>3</v>
      </c>
      <c r="BB56" s="2">
        <v>3</v>
      </c>
      <c r="BC56" s="2">
        <v>4</v>
      </c>
      <c r="BD56" s="2">
        <v>2</v>
      </c>
      <c r="BE56" s="2">
        <v>3</v>
      </c>
      <c r="BF56" s="2">
        <v>1</v>
      </c>
      <c r="BG56" s="2">
        <v>1</v>
      </c>
      <c r="BH56" s="2">
        <v>1</v>
      </c>
      <c r="BI56" s="2"/>
      <c r="BJ56" s="2">
        <v>1</v>
      </c>
      <c r="BK56" s="2">
        <v>2</v>
      </c>
      <c r="BL56" s="2">
        <v>0</v>
      </c>
      <c r="BM56" s="2">
        <v>6</v>
      </c>
      <c r="BN56" s="2">
        <v>8</v>
      </c>
      <c r="BO56" s="2">
        <v>9</v>
      </c>
      <c r="BP56" s="2"/>
      <c r="BQ56" s="2"/>
      <c r="BR56" s="2"/>
      <c r="BS56" s="2"/>
      <c r="BT56" s="2"/>
      <c r="BU56" s="2"/>
      <c r="BV56" s="2"/>
      <c r="BW56" s="2"/>
      <c r="BX56" s="2" t="s">
        <v>190</v>
      </c>
      <c r="BY56" s="2" t="s">
        <v>188</v>
      </c>
      <c r="BZ56" s="2" t="s">
        <v>188</v>
      </c>
      <c r="CA56" s="2" t="s">
        <v>190</v>
      </c>
      <c r="CB56" s="2" t="s">
        <v>191</v>
      </c>
      <c r="CC56" s="2" t="s">
        <v>190</v>
      </c>
      <c r="CD56" s="2" t="s">
        <v>189</v>
      </c>
      <c r="CE56" s="2" t="s">
        <v>189</v>
      </c>
      <c r="CF56" s="2" t="s">
        <v>188</v>
      </c>
      <c r="CG56" s="2" t="s">
        <v>190</v>
      </c>
      <c r="CH56" s="2" t="s">
        <v>191</v>
      </c>
      <c r="CI56" s="2" t="s">
        <v>189</v>
      </c>
      <c r="CJ56" s="2" t="s">
        <v>189</v>
      </c>
      <c r="CK56" s="2" t="s">
        <v>189</v>
      </c>
      <c r="CL56" s="2" t="s">
        <v>189</v>
      </c>
      <c r="CM56" s="2" t="s">
        <v>192</v>
      </c>
      <c r="CN56" s="2" t="s">
        <v>192</v>
      </c>
      <c r="CO56" s="2" t="s">
        <v>200</v>
      </c>
      <c r="CP56" s="2" t="s">
        <v>192</v>
      </c>
      <c r="CQ56" s="2" t="s">
        <v>192</v>
      </c>
      <c r="CR56" s="2" t="s">
        <v>192</v>
      </c>
      <c r="CS56" s="2" t="s">
        <v>192</v>
      </c>
      <c r="CT56" s="2" t="s">
        <v>192</v>
      </c>
      <c r="CU56" s="2" t="s">
        <v>192</v>
      </c>
      <c r="CV56" s="2" t="s">
        <v>200</v>
      </c>
      <c r="CW56" s="2" t="s">
        <v>200</v>
      </c>
      <c r="CX56" s="2" t="s">
        <v>200</v>
      </c>
      <c r="CY56" s="2" t="s">
        <v>192</v>
      </c>
      <c r="CZ56" s="2" t="s">
        <v>192</v>
      </c>
      <c r="DA56" s="2" t="s">
        <v>200</v>
      </c>
      <c r="DB56" s="2" t="s">
        <v>192</v>
      </c>
      <c r="DC56" s="2" t="s">
        <v>192</v>
      </c>
      <c r="DD56" s="2" t="s">
        <v>200</v>
      </c>
      <c r="DE56" s="2" t="s">
        <v>192</v>
      </c>
      <c r="DF56" s="2" t="s">
        <v>193</v>
      </c>
      <c r="DG56" s="2" t="s">
        <v>196</v>
      </c>
      <c r="DH56" s="2" t="s">
        <v>196</v>
      </c>
      <c r="DI56" s="2" t="s">
        <v>196</v>
      </c>
      <c r="DJ56" s="2" t="s">
        <v>195</v>
      </c>
      <c r="DK56" s="2" t="s">
        <v>196</v>
      </c>
      <c r="DL56" s="2" t="s">
        <v>194</v>
      </c>
      <c r="DM56" s="2" t="s">
        <v>194</v>
      </c>
      <c r="DN56" s="2" t="s">
        <v>220</v>
      </c>
      <c r="DO56" s="2" t="s">
        <v>220</v>
      </c>
      <c r="DP56" s="2" t="s">
        <v>194</v>
      </c>
      <c r="DQ56" s="2" t="s">
        <v>201</v>
      </c>
      <c r="DR56" s="2" t="s">
        <v>194</v>
      </c>
      <c r="DS56" s="2" t="s">
        <v>197</v>
      </c>
      <c r="DT56" s="2" t="s">
        <v>197</v>
      </c>
      <c r="DU56" s="2" t="s">
        <v>197</v>
      </c>
      <c r="DV56" s="2" t="s">
        <v>199</v>
      </c>
      <c r="DW56" s="2" t="s">
        <v>199</v>
      </c>
      <c r="DX56" s="2" t="s">
        <v>197</v>
      </c>
      <c r="DY56" s="2" t="s">
        <v>199</v>
      </c>
      <c r="DZ56" s="2"/>
      <c r="EA56" s="2">
        <v>0</v>
      </c>
      <c r="EB56" s="2">
        <v>1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1</v>
      </c>
      <c r="EJ56" s="2">
        <v>0</v>
      </c>
      <c r="EK56" s="2">
        <v>1</v>
      </c>
      <c r="EL56" s="2">
        <v>0</v>
      </c>
      <c r="EM56" s="2">
        <v>1</v>
      </c>
      <c r="EN56" s="2">
        <v>1</v>
      </c>
      <c r="EO56" s="2">
        <v>0</v>
      </c>
      <c r="EP56" s="2">
        <v>1</v>
      </c>
      <c r="EQ56" s="2">
        <v>0</v>
      </c>
      <c r="ER56" s="2">
        <v>0</v>
      </c>
      <c r="ES56" s="2">
        <v>1</v>
      </c>
      <c r="ET56" s="2">
        <v>0</v>
      </c>
      <c r="EU56" s="2">
        <v>1</v>
      </c>
      <c r="EV56" s="2">
        <v>1</v>
      </c>
      <c r="EW56" s="2">
        <v>0</v>
      </c>
      <c r="EX56" s="2">
        <v>0</v>
      </c>
      <c r="EY56" s="2">
        <v>1</v>
      </c>
      <c r="EZ56" s="2">
        <v>1</v>
      </c>
      <c r="FA56" s="2">
        <v>0</v>
      </c>
      <c r="FB56" s="2">
        <v>1</v>
      </c>
      <c r="FC56" s="2">
        <v>0</v>
      </c>
      <c r="FD56" s="2">
        <v>0</v>
      </c>
      <c r="FE56" s="2">
        <v>0</v>
      </c>
      <c r="FF56" s="2">
        <v>0</v>
      </c>
      <c r="FG56" s="2">
        <v>1</v>
      </c>
      <c r="FH56" s="2">
        <v>0</v>
      </c>
      <c r="FI56" s="2">
        <v>1</v>
      </c>
      <c r="FJ56" s="2">
        <v>1</v>
      </c>
      <c r="FK56" s="2">
        <v>0</v>
      </c>
      <c r="FL56" s="2">
        <v>1</v>
      </c>
      <c r="FM56" s="2">
        <v>0</v>
      </c>
      <c r="FN56" s="2">
        <v>1</v>
      </c>
      <c r="FO56" s="2">
        <v>0</v>
      </c>
      <c r="FP56" s="2">
        <v>1</v>
      </c>
      <c r="FQ56" s="2">
        <v>0</v>
      </c>
      <c r="FR56" s="2">
        <v>1</v>
      </c>
      <c r="FS56" s="2">
        <v>0</v>
      </c>
      <c r="FT56" s="2">
        <v>1</v>
      </c>
      <c r="FU56" s="2">
        <v>0</v>
      </c>
      <c r="FV56" s="2">
        <v>1</v>
      </c>
      <c r="FW56" s="2">
        <v>0</v>
      </c>
      <c r="FX56" s="2">
        <v>1</v>
      </c>
      <c r="FY56" s="2">
        <v>0</v>
      </c>
      <c r="FZ56" s="2"/>
      <c r="GA56" s="2">
        <v>3</v>
      </c>
      <c r="GB56" s="2">
        <v>3</v>
      </c>
      <c r="GC56" s="2">
        <v>4</v>
      </c>
      <c r="GD56" s="2">
        <v>2</v>
      </c>
      <c r="GE56" s="2">
        <v>3</v>
      </c>
      <c r="GG56" s="2">
        <v>3</v>
      </c>
      <c r="GH56" s="2">
        <v>3</v>
      </c>
      <c r="GI56" s="2">
        <v>3</v>
      </c>
      <c r="GJ56" s="2">
        <v>4</v>
      </c>
      <c r="GK56" s="2">
        <v>2</v>
      </c>
      <c r="GM56" s="2">
        <f t="shared" si="0"/>
        <v>15</v>
      </c>
      <c r="GN56" s="2">
        <f t="shared" si="1"/>
        <v>15</v>
      </c>
      <c r="GO56" s="2"/>
      <c r="GP56" s="2">
        <v>3</v>
      </c>
      <c r="GQ56" s="2">
        <v>1</v>
      </c>
      <c r="GR56" s="2">
        <v>1</v>
      </c>
      <c r="GS56" s="2">
        <v>1</v>
      </c>
      <c r="GU56" s="2">
        <v>1</v>
      </c>
      <c r="GV56" s="2">
        <v>2</v>
      </c>
      <c r="GW56" s="2">
        <v>0</v>
      </c>
      <c r="GY56" s="2">
        <v>3</v>
      </c>
      <c r="GZ56" s="2">
        <v>1</v>
      </c>
      <c r="HA56" s="2">
        <v>1</v>
      </c>
      <c r="HB56" s="2">
        <v>1</v>
      </c>
      <c r="HD56" s="2">
        <v>1</v>
      </c>
      <c r="HE56" s="2">
        <v>2</v>
      </c>
      <c r="HF56" s="2">
        <v>0</v>
      </c>
      <c r="HH56" s="2">
        <f t="shared" si="2"/>
        <v>9</v>
      </c>
      <c r="HI56" s="2">
        <f t="shared" si="3"/>
        <v>9</v>
      </c>
      <c r="HJ56" s="2"/>
      <c r="HK56" s="2">
        <v>8</v>
      </c>
      <c r="HL56" s="2">
        <v>9</v>
      </c>
      <c r="HM56" s="2"/>
      <c r="HN56" s="2"/>
    </row>
    <row r="57" spans="1:222" ht="15.75" customHeight="1" x14ac:dyDescent="0.2">
      <c r="A57" s="3" t="e">
        <f>VLOOKUP(B57,#REF!,1,FALSE)</f>
        <v>#REF!</v>
      </c>
      <c r="B57" s="3">
        <v>44642.588191793984</v>
      </c>
      <c r="C57" s="2">
        <v>61</v>
      </c>
      <c r="D57" s="2" t="s">
        <v>185</v>
      </c>
      <c r="E57" s="2">
        <v>0</v>
      </c>
      <c r="F57" s="2" t="s">
        <v>364</v>
      </c>
      <c r="G57" s="2">
        <v>15</v>
      </c>
      <c r="H57" s="2">
        <v>2</v>
      </c>
      <c r="I57" s="2">
        <v>1</v>
      </c>
      <c r="J57" s="2">
        <v>2</v>
      </c>
      <c r="K57" s="2">
        <v>0</v>
      </c>
      <c r="L57" s="2">
        <v>4</v>
      </c>
      <c r="M57" s="2" t="s">
        <v>213</v>
      </c>
      <c r="N57" s="2">
        <v>3</v>
      </c>
      <c r="O57" s="2">
        <v>3</v>
      </c>
      <c r="P57" s="2">
        <v>0</v>
      </c>
      <c r="Q57" s="2">
        <v>0</v>
      </c>
      <c r="R57" s="2">
        <v>3</v>
      </c>
      <c r="S57" s="2">
        <v>1</v>
      </c>
      <c r="T57" s="2">
        <v>-1</v>
      </c>
      <c r="U57" s="2">
        <v>1</v>
      </c>
      <c r="V57" s="2">
        <v>0</v>
      </c>
      <c r="W57" s="2">
        <v>-1</v>
      </c>
      <c r="X57" s="2"/>
      <c r="Y57" s="2">
        <v>-1</v>
      </c>
      <c r="Z57" s="2">
        <v>1</v>
      </c>
      <c r="AA57" s="2">
        <v>1</v>
      </c>
      <c r="AB57" s="2">
        <v>2</v>
      </c>
      <c r="AC57" s="2">
        <v>2</v>
      </c>
      <c r="AD57" s="2">
        <v>4</v>
      </c>
      <c r="AE57" s="2">
        <v>4</v>
      </c>
      <c r="AF57" s="2">
        <v>2</v>
      </c>
      <c r="AG57" s="2">
        <v>3</v>
      </c>
      <c r="AH57" s="2">
        <v>3</v>
      </c>
      <c r="AI57" s="2">
        <v>3</v>
      </c>
      <c r="AJ57" s="2">
        <v>3</v>
      </c>
      <c r="AK57" s="2">
        <v>3</v>
      </c>
      <c r="AL57" s="2">
        <v>2</v>
      </c>
      <c r="AM57" s="2">
        <v>4</v>
      </c>
      <c r="AN57" s="2">
        <v>3</v>
      </c>
      <c r="AO57" s="2">
        <v>4</v>
      </c>
      <c r="AP57" s="2">
        <v>3</v>
      </c>
      <c r="AQ57" s="2">
        <v>5</v>
      </c>
      <c r="AR57" s="2">
        <v>3</v>
      </c>
      <c r="AS57" s="2">
        <v>2</v>
      </c>
      <c r="AT57" s="2">
        <v>1</v>
      </c>
      <c r="AU57" s="2">
        <v>0</v>
      </c>
      <c r="AV57" s="2"/>
      <c r="AW57" s="2">
        <v>2</v>
      </c>
      <c r="AX57" s="2">
        <v>0</v>
      </c>
      <c r="AY57" s="2">
        <v>2</v>
      </c>
      <c r="AZ57" s="2">
        <v>4</v>
      </c>
      <c r="BA57" s="2">
        <v>4</v>
      </c>
      <c r="BB57" s="2">
        <v>3</v>
      </c>
      <c r="BC57" s="2">
        <v>4</v>
      </c>
      <c r="BD57" s="2">
        <v>2</v>
      </c>
      <c r="BE57" s="2">
        <v>2</v>
      </c>
      <c r="BF57" s="2">
        <v>1</v>
      </c>
      <c r="BG57" s="2">
        <v>3</v>
      </c>
      <c r="BH57" s="2">
        <v>0</v>
      </c>
      <c r="BI57" s="2"/>
      <c r="BJ57" s="2">
        <v>3</v>
      </c>
      <c r="BK57" s="2">
        <v>0</v>
      </c>
      <c r="BL57" s="2">
        <v>0</v>
      </c>
      <c r="BM57" s="2">
        <v>9</v>
      </c>
      <c r="BN57" s="2">
        <v>9</v>
      </c>
      <c r="BO57" s="2">
        <v>8</v>
      </c>
      <c r="BP57" s="2" t="s">
        <v>365</v>
      </c>
      <c r="BQ57" s="2" t="s">
        <v>366</v>
      </c>
      <c r="BR57" s="2" t="s">
        <v>366</v>
      </c>
      <c r="BS57" s="2" t="s">
        <v>367</v>
      </c>
      <c r="BT57" s="2" t="s">
        <v>368</v>
      </c>
      <c r="BU57" s="2" t="s">
        <v>368</v>
      </c>
      <c r="BV57" s="2" t="s">
        <v>369</v>
      </c>
      <c r="BW57" s="2" t="s">
        <v>370</v>
      </c>
      <c r="BX57" s="2" t="s">
        <v>190</v>
      </c>
      <c r="BY57" s="2" t="s">
        <v>190</v>
      </c>
      <c r="BZ57" s="2" t="s">
        <v>190</v>
      </c>
      <c r="CA57" s="2" t="s">
        <v>190</v>
      </c>
      <c r="CB57" s="2" t="s">
        <v>190</v>
      </c>
      <c r="CC57" s="2" t="s">
        <v>190</v>
      </c>
      <c r="CD57" s="2" t="s">
        <v>189</v>
      </c>
      <c r="CE57" s="2" t="s">
        <v>190</v>
      </c>
      <c r="CF57" s="2" t="s">
        <v>188</v>
      </c>
      <c r="CG57" s="2" t="s">
        <v>190</v>
      </c>
      <c r="CH57" s="2" t="s">
        <v>190</v>
      </c>
      <c r="CI57" s="2" t="s">
        <v>188</v>
      </c>
      <c r="CJ57" s="2" t="s">
        <v>188</v>
      </c>
      <c r="CK57" s="2" t="s">
        <v>189</v>
      </c>
      <c r="CL57" s="2" t="s">
        <v>190</v>
      </c>
      <c r="CM57" s="2" t="s">
        <v>192</v>
      </c>
      <c r="CN57" s="2" t="s">
        <v>192</v>
      </c>
      <c r="CO57" s="2" t="s">
        <v>193</v>
      </c>
      <c r="CP57" s="2" t="s">
        <v>192</v>
      </c>
      <c r="CQ57" s="2" t="s">
        <v>192</v>
      </c>
      <c r="CR57" s="2" t="s">
        <v>192</v>
      </c>
      <c r="CS57" s="2" t="s">
        <v>193</v>
      </c>
      <c r="CT57" s="2" t="s">
        <v>193</v>
      </c>
      <c r="CU57" s="2" t="s">
        <v>192</v>
      </c>
      <c r="CV57" s="2" t="s">
        <v>192</v>
      </c>
      <c r="CW57" s="2" t="s">
        <v>200</v>
      </c>
      <c r="CX57" s="2" t="s">
        <v>200</v>
      </c>
      <c r="CY57" s="2" t="s">
        <v>193</v>
      </c>
      <c r="CZ57" s="2" t="s">
        <v>193</v>
      </c>
      <c r="DA57" s="2" t="s">
        <v>192</v>
      </c>
      <c r="DB57" s="2" t="s">
        <v>192</v>
      </c>
      <c r="DC57" s="2" t="s">
        <v>192</v>
      </c>
      <c r="DD57" s="2" t="s">
        <v>192</v>
      </c>
      <c r="DE57" s="2" t="s">
        <v>192</v>
      </c>
      <c r="DF57" s="2" t="s">
        <v>192</v>
      </c>
      <c r="DG57" s="2" t="s">
        <v>220</v>
      </c>
      <c r="DH57" s="2" t="s">
        <v>196</v>
      </c>
      <c r="DI57" s="2" t="s">
        <v>195</v>
      </c>
      <c r="DJ57" s="2" t="s">
        <v>201</v>
      </c>
      <c r="DK57" s="2" t="s">
        <v>196</v>
      </c>
      <c r="DL57" s="2" t="s">
        <v>195</v>
      </c>
      <c r="DM57" s="2" t="s">
        <v>195</v>
      </c>
      <c r="DN57" s="2" t="s">
        <v>194</v>
      </c>
      <c r="DO57" s="2" t="s">
        <v>196</v>
      </c>
      <c r="DP57" s="2" t="s">
        <v>195</v>
      </c>
      <c r="DQ57" s="2" t="s">
        <v>201</v>
      </c>
      <c r="DR57" s="2" t="s">
        <v>196</v>
      </c>
      <c r="DS57" s="2" t="s">
        <v>197</v>
      </c>
      <c r="DT57" s="2" t="s">
        <v>199</v>
      </c>
      <c r="DU57" s="2" t="s">
        <v>222</v>
      </c>
      <c r="DV57" s="2" t="s">
        <v>197</v>
      </c>
      <c r="DW57" s="2" t="s">
        <v>197</v>
      </c>
      <c r="DX57" s="2" t="s">
        <v>221</v>
      </c>
      <c r="DY57" s="2" t="s">
        <v>197</v>
      </c>
      <c r="DZ57" s="2"/>
      <c r="EA57" s="2">
        <v>1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1</v>
      </c>
      <c r="EJ57" s="2">
        <v>1</v>
      </c>
      <c r="EK57" s="2">
        <v>0</v>
      </c>
      <c r="EL57" s="2">
        <v>0</v>
      </c>
      <c r="EM57" s="2">
        <v>1</v>
      </c>
      <c r="EN57" s="2">
        <v>1</v>
      </c>
      <c r="EO57" s="2">
        <v>0</v>
      </c>
      <c r="EP57" s="2">
        <v>1</v>
      </c>
      <c r="EQ57" s="2">
        <v>0</v>
      </c>
      <c r="ER57" s="2">
        <v>0</v>
      </c>
      <c r="ES57" s="2">
        <v>1</v>
      </c>
      <c r="ET57" s="2">
        <v>0</v>
      </c>
      <c r="EU57" s="2">
        <v>1</v>
      </c>
      <c r="EV57" s="2">
        <v>0</v>
      </c>
      <c r="EW57" s="2">
        <v>1</v>
      </c>
      <c r="EX57" s="2">
        <v>0</v>
      </c>
      <c r="EY57" s="2">
        <v>1</v>
      </c>
      <c r="EZ57" s="2">
        <v>1</v>
      </c>
      <c r="FA57" s="2">
        <v>0</v>
      </c>
      <c r="FB57" s="2">
        <v>0</v>
      </c>
      <c r="FC57" s="2">
        <v>1</v>
      </c>
      <c r="FD57" s="2">
        <v>0</v>
      </c>
      <c r="FE57" s="2">
        <v>0</v>
      </c>
      <c r="FF57" s="2">
        <v>1</v>
      </c>
      <c r="FG57" s="2">
        <v>0</v>
      </c>
      <c r="FH57" s="2">
        <v>1</v>
      </c>
      <c r="FI57" s="2">
        <v>0</v>
      </c>
      <c r="FJ57" s="2">
        <v>1</v>
      </c>
      <c r="FK57" s="2">
        <v>0</v>
      </c>
      <c r="FL57" s="2">
        <v>1</v>
      </c>
      <c r="FM57" s="2">
        <v>0</v>
      </c>
      <c r="FN57" s="2">
        <v>1</v>
      </c>
      <c r="FO57" s="2">
        <v>0</v>
      </c>
      <c r="FP57" s="2">
        <v>0</v>
      </c>
      <c r="FQ57" s="2">
        <v>1</v>
      </c>
      <c r="FR57" s="2">
        <v>0</v>
      </c>
      <c r="FS57" s="2">
        <v>1</v>
      </c>
      <c r="FT57" s="2">
        <v>0</v>
      </c>
      <c r="FU57" s="2">
        <v>1</v>
      </c>
      <c r="FV57" s="2">
        <v>0</v>
      </c>
      <c r="FW57" s="2">
        <v>1</v>
      </c>
      <c r="FX57" s="2">
        <v>0</v>
      </c>
      <c r="FY57" s="2">
        <v>1</v>
      </c>
      <c r="FZ57" s="2"/>
      <c r="GA57" s="2">
        <v>4</v>
      </c>
      <c r="GB57" s="2">
        <v>3</v>
      </c>
      <c r="GC57" s="2">
        <v>4</v>
      </c>
      <c r="GD57" s="2">
        <v>3</v>
      </c>
      <c r="GE57" s="2">
        <v>5</v>
      </c>
      <c r="GG57" s="2">
        <v>4</v>
      </c>
      <c r="GH57" s="2">
        <v>4</v>
      </c>
      <c r="GI57" s="2">
        <v>3</v>
      </c>
      <c r="GJ57" s="2">
        <v>4</v>
      </c>
      <c r="GK57" s="2">
        <v>2</v>
      </c>
      <c r="GM57" s="2">
        <f t="shared" si="0"/>
        <v>19</v>
      </c>
      <c r="GN57" s="2">
        <f t="shared" si="1"/>
        <v>17</v>
      </c>
      <c r="GO57" s="2"/>
      <c r="GP57" s="2">
        <v>3</v>
      </c>
      <c r="GQ57" s="2">
        <v>2</v>
      </c>
      <c r="GR57" s="2">
        <v>1</v>
      </c>
      <c r="GS57" s="2">
        <v>0</v>
      </c>
      <c r="GU57" s="2">
        <v>2</v>
      </c>
      <c r="GV57" s="2">
        <v>0</v>
      </c>
      <c r="GW57" s="2">
        <v>2</v>
      </c>
      <c r="GY57" s="2">
        <v>2</v>
      </c>
      <c r="GZ57" s="2">
        <v>1</v>
      </c>
      <c r="HA57" s="2">
        <v>3</v>
      </c>
      <c r="HB57" s="2">
        <v>0</v>
      </c>
      <c r="HD57" s="2">
        <v>3</v>
      </c>
      <c r="HE57" s="2">
        <v>0</v>
      </c>
      <c r="HF57" s="2">
        <v>0</v>
      </c>
      <c r="HH57" s="2">
        <f t="shared" si="2"/>
        <v>10</v>
      </c>
      <c r="HI57" s="2">
        <f t="shared" si="3"/>
        <v>9</v>
      </c>
      <c r="HJ57" s="2"/>
      <c r="HK57" s="2">
        <v>9</v>
      </c>
      <c r="HL57" s="2">
        <v>8</v>
      </c>
      <c r="HM57" s="2"/>
      <c r="HN57" s="2"/>
    </row>
    <row r="58" spans="1:222" ht="15.75" customHeight="1" x14ac:dyDescent="0.2">
      <c r="A58" s="3" t="e">
        <f>VLOOKUP(B58,#REF!,1,FALSE)</f>
        <v>#REF!</v>
      </c>
      <c r="B58" s="3">
        <v>44642.589095324074</v>
      </c>
      <c r="C58" s="2">
        <v>62</v>
      </c>
      <c r="D58" s="2" t="s">
        <v>185</v>
      </c>
      <c r="E58" s="2">
        <v>0</v>
      </c>
      <c r="F58" s="2" t="s">
        <v>186</v>
      </c>
      <c r="G58" s="2">
        <v>15</v>
      </c>
      <c r="H58" s="2">
        <v>2</v>
      </c>
      <c r="I58" s="2">
        <v>1</v>
      </c>
      <c r="J58" s="2">
        <v>4</v>
      </c>
      <c r="K58" s="2">
        <v>2</v>
      </c>
      <c r="L58" s="2">
        <v>6</v>
      </c>
      <c r="M58" s="2" t="s">
        <v>187</v>
      </c>
      <c r="N58" s="2">
        <v>3</v>
      </c>
      <c r="O58" s="2">
        <v>3</v>
      </c>
      <c r="P58" s="2">
        <v>0</v>
      </c>
      <c r="Q58" s="2">
        <v>5</v>
      </c>
      <c r="R58" s="2">
        <v>3</v>
      </c>
      <c r="S58" s="2">
        <v>1</v>
      </c>
      <c r="T58" s="2">
        <v>1</v>
      </c>
      <c r="U58" s="2">
        <v>1</v>
      </c>
      <c r="V58" s="2">
        <v>0</v>
      </c>
      <c r="W58" s="2">
        <v>0</v>
      </c>
      <c r="X58" s="2"/>
      <c r="Y58" s="2">
        <v>0</v>
      </c>
      <c r="Z58" s="2">
        <v>0</v>
      </c>
      <c r="AA58" s="2">
        <v>1</v>
      </c>
      <c r="AB58" s="2">
        <v>4</v>
      </c>
      <c r="AC58" s="2">
        <v>1</v>
      </c>
      <c r="AD58" s="2">
        <v>2</v>
      </c>
      <c r="AE58" s="2">
        <v>4</v>
      </c>
      <c r="AF58" s="2">
        <v>4</v>
      </c>
      <c r="AG58" s="2">
        <v>1</v>
      </c>
      <c r="AH58" s="2">
        <v>2</v>
      </c>
      <c r="AI58" s="2">
        <v>2</v>
      </c>
      <c r="AJ58" s="2">
        <v>2</v>
      </c>
      <c r="AK58" s="2">
        <v>1</v>
      </c>
      <c r="AL58" s="2">
        <v>1</v>
      </c>
      <c r="AM58" s="2">
        <v>3</v>
      </c>
      <c r="AN58" s="2">
        <v>3</v>
      </c>
      <c r="AO58" s="2">
        <v>4</v>
      </c>
      <c r="AP58" s="2">
        <v>2</v>
      </c>
      <c r="AQ58" s="2">
        <v>2</v>
      </c>
      <c r="AR58" s="2">
        <v>2</v>
      </c>
      <c r="AS58" s="2">
        <v>2</v>
      </c>
      <c r="AT58" s="2">
        <v>2</v>
      </c>
      <c r="AU58" s="2">
        <v>1</v>
      </c>
      <c r="AV58" s="2"/>
      <c r="AW58" s="2">
        <v>2</v>
      </c>
      <c r="AX58" s="2">
        <v>2</v>
      </c>
      <c r="AY58" s="2">
        <v>1</v>
      </c>
      <c r="AZ58" s="2">
        <v>3</v>
      </c>
      <c r="BA58" s="2">
        <v>3</v>
      </c>
      <c r="BB58" s="2">
        <v>2</v>
      </c>
      <c r="BC58" s="2">
        <v>4</v>
      </c>
      <c r="BD58" s="2">
        <v>3</v>
      </c>
      <c r="BE58" s="2">
        <v>2</v>
      </c>
      <c r="BF58" s="2">
        <v>2</v>
      </c>
      <c r="BG58" s="2">
        <v>1</v>
      </c>
      <c r="BH58" s="2">
        <v>1</v>
      </c>
      <c r="BI58" s="2"/>
      <c r="BJ58" s="2">
        <v>1</v>
      </c>
      <c r="BK58" s="2">
        <v>1</v>
      </c>
      <c r="BL58" s="2">
        <v>1</v>
      </c>
      <c r="BM58" s="2">
        <v>6</v>
      </c>
      <c r="BN58" s="2">
        <v>6</v>
      </c>
      <c r="BO58" s="2">
        <v>6</v>
      </c>
      <c r="BP58" s="2" t="s">
        <v>371</v>
      </c>
      <c r="BQ58" s="2"/>
      <c r="BR58" s="2"/>
      <c r="BS58" s="2"/>
      <c r="BT58" s="2"/>
      <c r="BU58" s="2"/>
      <c r="BV58" s="2" t="s">
        <v>372</v>
      </c>
      <c r="BW58" s="2" t="s">
        <v>373</v>
      </c>
      <c r="BX58" s="2" t="s">
        <v>188</v>
      </c>
      <c r="BY58" s="2" t="s">
        <v>190</v>
      </c>
      <c r="BZ58" s="2" t="s">
        <v>190</v>
      </c>
      <c r="CA58" s="2" t="s">
        <v>190</v>
      </c>
      <c r="CB58" s="2" t="s">
        <v>191</v>
      </c>
      <c r="CC58" s="2" t="s">
        <v>188</v>
      </c>
      <c r="CD58" s="2" t="s">
        <v>189</v>
      </c>
      <c r="CE58" s="2" t="s">
        <v>189</v>
      </c>
      <c r="CF58" s="2" t="s">
        <v>191</v>
      </c>
      <c r="CG58" s="2" t="s">
        <v>191</v>
      </c>
      <c r="CH58" s="2" t="s">
        <v>191</v>
      </c>
      <c r="CI58" s="2" t="s">
        <v>189</v>
      </c>
      <c r="CJ58" s="2" t="s">
        <v>190</v>
      </c>
      <c r="CK58" s="2" t="s">
        <v>189</v>
      </c>
      <c r="CL58" s="2" t="s">
        <v>190</v>
      </c>
      <c r="CM58" s="2" t="s">
        <v>200</v>
      </c>
      <c r="CN58" s="2" t="s">
        <v>192</v>
      </c>
      <c r="CO58" s="2" t="s">
        <v>192</v>
      </c>
      <c r="CP58" s="2" t="s">
        <v>193</v>
      </c>
      <c r="CQ58" s="2" t="s">
        <v>193</v>
      </c>
      <c r="CR58" s="2" t="s">
        <v>193</v>
      </c>
      <c r="CS58" s="2" t="s">
        <v>193</v>
      </c>
      <c r="CT58" s="2" t="s">
        <v>200</v>
      </c>
      <c r="CU58" s="2" t="s">
        <v>193</v>
      </c>
      <c r="CV58" s="2" t="s">
        <v>193</v>
      </c>
      <c r="CW58" s="2" t="s">
        <v>193</v>
      </c>
      <c r="CX58" s="2" t="s">
        <v>200</v>
      </c>
      <c r="CY58" s="2" t="s">
        <v>192</v>
      </c>
      <c r="CZ58" s="2" t="s">
        <v>193</v>
      </c>
      <c r="DA58" s="2" t="s">
        <v>193</v>
      </c>
      <c r="DB58" s="2" t="s">
        <v>193</v>
      </c>
      <c r="DC58" s="2" t="s">
        <v>193</v>
      </c>
      <c r="DD58" s="2" t="s">
        <v>193</v>
      </c>
      <c r="DE58" s="2" t="s">
        <v>193</v>
      </c>
      <c r="DF58" s="2" t="s">
        <v>193</v>
      </c>
      <c r="DG58" s="2" t="s">
        <v>195</v>
      </c>
      <c r="DH58" s="2" t="s">
        <v>195</v>
      </c>
      <c r="DI58" s="2" t="s">
        <v>195</v>
      </c>
      <c r="DJ58" s="2" t="s">
        <v>195</v>
      </c>
      <c r="DK58" s="2" t="s">
        <v>194</v>
      </c>
      <c r="DL58" s="2" t="s">
        <v>195</v>
      </c>
      <c r="DM58" s="2" t="s">
        <v>195</v>
      </c>
      <c r="DN58" s="2" t="s">
        <v>196</v>
      </c>
      <c r="DO58" s="2" t="s">
        <v>196</v>
      </c>
      <c r="DP58" s="2" t="s">
        <v>194</v>
      </c>
      <c r="DQ58" s="2" t="s">
        <v>220</v>
      </c>
      <c r="DR58" s="2" t="s">
        <v>194</v>
      </c>
      <c r="DS58" s="2" t="s">
        <v>197</v>
      </c>
      <c r="DT58" s="2" t="s">
        <v>197</v>
      </c>
      <c r="DU58" s="2" t="s">
        <v>197</v>
      </c>
      <c r="DV58" s="2" t="s">
        <v>197</v>
      </c>
      <c r="DW58" s="2" t="s">
        <v>197</v>
      </c>
      <c r="DX58" s="2" t="s">
        <v>197</v>
      </c>
      <c r="DY58" s="2" t="s">
        <v>197</v>
      </c>
      <c r="DZ58" s="2"/>
      <c r="EA58" s="2">
        <v>0</v>
      </c>
      <c r="EB58" s="2">
        <v>0</v>
      </c>
      <c r="EC58" s="2">
        <v>0</v>
      </c>
      <c r="ED58" s="2">
        <v>1</v>
      </c>
      <c r="EE58" s="2">
        <v>0</v>
      </c>
      <c r="EF58" s="2">
        <v>0</v>
      </c>
      <c r="EG58" s="2">
        <v>0</v>
      </c>
      <c r="EH58" s="2">
        <v>0</v>
      </c>
      <c r="EI58" s="2">
        <v>1</v>
      </c>
      <c r="EJ58" s="2">
        <v>0</v>
      </c>
      <c r="EK58" s="2">
        <v>1</v>
      </c>
      <c r="EL58" s="2">
        <v>0</v>
      </c>
      <c r="EM58" s="2">
        <v>1</v>
      </c>
      <c r="EN58" s="2">
        <v>1</v>
      </c>
      <c r="EO58" s="2">
        <v>0</v>
      </c>
      <c r="EP58" s="2">
        <v>0</v>
      </c>
      <c r="EQ58" s="2">
        <v>1</v>
      </c>
      <c r="ER58" s="2">
        <v>0</v>
      </c>
      <c r="ES58" s="2">
        <v>1</v>
      </c>
      <c r="ET58" s="2">
        <v>0</v>
      </c>
      <c r="EU58" s="2">
        <v>1</v>
      </c>
      <c r="EV58" s="2">
        <v>1</v>
      </c>
      <c r="EW58" s="2">
        <v>0</v>
      </c>
      <c r="EX58" s="2">
        <v>0</v>
      </c>
      <c r="EY58" s="2">
        <v>1</v>
      </c>
      <c r="EZ58" s="2">
        <v>1</v>
      </c>
      <c r="FA58" s="2">
        <v>0</v>
      </c>
      <c r="FB58" s="2">
        <v>1</v>
      </c>
      <c r="FC58" s="2">
        <v>0</v>
      </c>
      <c r="FD58" s="2">
        <v>0</v>
      </c>
      <c r="FE58" s="2">
        <v>0</v>
      </c>
      <c r="FF58" s="2">
        <v>1</v>
      </c>
      <c r="FG58" s="2">
        <v>0</v>
      </c>
      <c r="FH58" s="2">
        <v>1</v>
      </c>
      <c r="FI58" s="2">
        <v>0</v>
      </c>
      <c r="FJ58" s="2">
        <v>1</v>
      </c>
      <c r="FK58" s="2">
        <v>0</v>
      </c>
      <c r="FL58" s="2">
        <v>1</v>
      </c>
      <c r="FM58" s="2">
        <v>0</v>
      </c>
      <c r="FN58" s="2">
        <v>1</v>
      </c>
      <c r="FO58" s="2">
        <v>0</v>
      </c>
      <c r="FP58" s="2">
        <v>0</v>
      </c>
      <c r="FQ58" s="2">
        <v>1</v>
      </c>
      <c r="FR58" s="2">
        <v>0</v>
      </c>
      <c r="FS58" s="2">
        <v>1</v>
      </c>
      <c r="FT58" s="2">
        <v>0</v>
      </c>
      <c r="FU58" s="2">
        <v>1</v>
      </c>
      <c r="FV58" s="2">
        <v>0</v>
      </c>
      <c r="FW58" s="2">
        <v>1</v>
      </c>
      <c r="FX58" s="2">
        <v>0</v>
      </c>
      <c r="FY58" s="2">
        <v>1</v>
      </c>
      <c r="FZ58" s="2"/>
      <c r="GA58" s="2">
        <v>3</v>
      </c>
      <c r="GB58" s="2">
        <v>3</v>
      </c>
      <c r="GC58" s="2">
        <v>4</v>
      </c>
      <c r="GD58" s="2">
        <v>2</v>
      </c>
      <c r="GE58" s="2">
        <v>2</v>
      </c>
      <c r="GG58" s="2">
        <v>3</v>
      </c>
      <c r="GH58" s="2">
        <v>3</v>
      </c>
      <c r="GI58" s="2">
        <v>2</v>
      </c>
      <c r="GJ58" s="2">
        <v>4</v>
      </c>
      <c r="GK58" s="2">
        <v>3</v>
      </c>
      <c r="GM58" s="2">
        <f t="shared" si="0"/>
        <v>14</v>
      </c>
      <c r="GN58" s="2">
        <f t="shared" si="1"/>
        <v>15</v>
      </c>
      <c r="GO58" s="2"/>
      <c r="GP58" s="2">
        <v>2</v>
      </c>
      <c r="GQ58" s="2">
        <v>2</v>
      </c>
      <c r="GR58" s="2">
        <v>2</v>
      </c>
      <c r="GS58" s="2">
        <v>1</v>
      </c>
      <c r="GU58" s="2">
        <v>2</v>
      </c>
      <c r="GV58" s="2">
        <v>2</v>
      </c>
      <c r="GW58" s="2">
        <v>1</v>
      </c>
      <c r="GY58" s="2">
        <v>2</v>
      </c>
      <c r="GZ58" s="2">
        <v>2</v>
      </c>
      <c r="HA58" s="2">
        <v>1</v>
      </c>
      <c r="HB58" s="2">
        <v>1</v>
      </c>
      <c r="HD58" s="2">
        <v>1</v>
      </c>
      <c r="HE58" s="2">
        <v>1</v>
      </c>
      <c r="HF58" s="2">
        <v>1</v>
      </c>
      <c r="HH58" s="2">
        <f t="shared" si="2"/>
        <v>12</v>
      </c>
      <c r="HI58" s="2">
        <f t="shared" si="3"/>
        <v>9</v>
      </c>
      <c r="HJ58" s="2"/>
      <c r="HK58" s="2">
        <v>6</v>
      </c>
      <c r="HL58" s="2">
        <v>6</v>
      </c>
      <c r="HM58" s="2"/>
      <c r="HN58" s="2"/>
    </row>
    <row r="59" spans="1:222" ht="15.75" customHeight="1" x14ac:dyDescent="0.2">
      <c r="A59" s="3" t="e">
        <f>VLOOKUP(B59,#REF!,1,FALSE)</f>
        <v>#REF!</v>
      </c>
      <c r="B59" s="3">
        <v>44642.595713136572</v>
      </c>
      <c r="C59" s="2">
        <v>63</v>
      </c>
      <c r="D59" s="2" t="s">
        <v>185</v>
      </c>
      <c r="E59" s="2">
        <v>0</v>
      </c>
      <c r="F59" s="2" t="s">
        <v>186</v>
      </c>
      <c r="G59" s="2">
        <v>2</v>
      </c>
      <c r="H59" s="2">
        <v>2</v>
      </c>
      <c r="I59" s="2">
        <v>1</v>
      </c>
      <c r="J59" s="2">
        <v>2</v>
      </c>
      <c r="K59" s="2">
        <v>0</v>
      </c>
      <c r="L59" s="2">
        <v>2</v>
      </c>
      <c r="M59" s="2" t="s">
        <v>213</v>
      </c>
      <c r="N59" s="2">
        <v>2</v>
      </c>
      <c r="O59" s="2">
        <v>3</v>
      </c>
      <c r="P59" s="2">
        <v>0</v>
      </c>
      <c r="Q59" s="2">
        <v>0</v>
      </c>
      <c r="R59" s="2">
        <v>3</v>
      </c>
      <c r="S59" s="2">
        <v>0</v>
      </c>
      <c r="T59" s="2">
        <v>-1</v>
      </c>
      <c r="U59" s="2">
        <v>-1</v>
      </c>
      <c r="V59" s="2">
        <v>0</v>
      </c>
      <c r="W59" s="2">
        <v>-1</v>
      </c>
      <c r="X59" s="2"/>
      <c r="Y59" s="2">
        <v>-1</v>
      </c>
      <c r="Z59" s="2">
        <v>1</v>
      </c>
      <c r="AA59" s="2">
        <v>1</v>
      </c>
      <c r="AB59" s="2">
        <v>2</v>
      </c>
      <c r="AC59" s="2">
        <v>2</v>
      </c>
      <c r="AD59" s="2">
        <v>4</v>
      </c>
      <c r="AE59" s="2">
        <v>4</v>
      </c>
      <c r="AF59" s="2">
        <v>2</v>
      </c>
      <c r="AG59" s="2">
        <v>3</v>
      </c>
      <c r="AH59" s="2">
        <v>3</v>
      </c>
      <c r="AI59" s="2">
        <v>3</v>
      </c>
      <c r="AJ59" s="2">
        <v>3</v>
      </c>
      <c r="AK59" s="2">
        <v>2</v>
      </c>
      <c r="AL59" s="2">
        <v>2</v>
      </c>
      <c r="AM59" s="2">
        <v>5</v>
      </c>
      <c r="AN59" s="2">
        <v>5</v>
      </c>
      <c r="AO59" s="2">
        <v>5</v>
      </c>
      <c r="AP59" s="2">
        <v>5</v>
      </c>
      <c r="AQ59" s="2">
        <v>5</v>
      </c>
      <c r="AR59" s="2">
        <v>3</v>
      </c>
      <c r="AS59" s="2">
        <v>2</v>
      </c>
      <c r="AT59" s="2">
        <v>1</v>
      </c>
      <c r="AU59" s="2">
        <v>0</v>
      </c>
      <c r="AV59" s="2"/>
      <c r="AW59" s="2">
        <v>1</v>
      </c>
      <c r="AX59" s="2">
        <v>0</v>
      </c>
      <c r="AY59" s="2">
        <v>2</v>
      </c>
      <c r="AZ59" s="2">
        <v>3</v>
      </c>
      <c r="BA59" s="2">
        <v>4</v>
      </c>
      <c r="BB59" s="2">
        <v>4</v>
      </c>
      <c r="BC59" s="2">
        <v>5</v>
      </c>
      <c r="BD59" s="2">
        <v>4</v>
      </c>
      <c r="BE59" s="2">
        <v>3</v>
      </c>
      <c r="BF59" s="2">
        <v>3</v>
      </c>
      <c r="BG59" s="2">
        <v>0</v>
      </c>
      <c r="BH59" s="2">
        <v>0</v>
      </c>
      <c r="BI59" s="2"/>
      <c r="BJ59" s="2">
        <v>0</v>
      </c>
      <c r="BK59" s="2">
        <v>0</v>
      </c>
      <c r="BL59" s="2">
        <v>2</v>
      </c>
      <c r="BM59" s="2">
        <v>8</v>
      </c>
      <c r="BN59" s="2">
        <v>8</v>
      </c>
      <c r="BO59" s="2">
        <v>8</v>
      </c>
      <c r="BP59" s="2"/>
      <c r="BQ59" s="2" t="s">
        <v>258</v>
      </c>
      <c r="BR59" s="2" t="s">
        <v>262</v>
      </c>
      <c r="BS59" s="2" t="s">
        <v>262</v>
      </c>
      <c r="BT59" s="2" t="s">
        <v>258</v>
      </c>
      <c r="BU59" s="2" t="s">
        <v>374</v>
      </c>
      <c r="BV59" s="2" t="s">
        <v>375</v>
      </c>
      <c r="BW59" s="2" t="s">
        <v>376</v>
      </c>
      <c r="BX59" s="2" t="s">
        <v>190</v>
      </c>
      <c r="BY59" s="2" t="s">
        <v>188</v>
      </c>
      <c r="BZ59" s="2" t="s">
        <v>191</v>
      </c>
      <c r="CA59" s="2" t="s">
        <v>190</v>
      </c>
      <c r="CB59" s="2" t="s">
        <v>190</v>
      </c>
      <c r="CC59" s="2" t="s">
        <v>190</v>
      </c>
      <c r="CD59" s="2" t="s">
        <v>190</v>
      </c>
      <c r="CE59" s="2" t="s">
        <v>190</v>
      </c>
      <c r="CF59" s="2" t="s">
        <v>190</v>
      </c>
      <c r="CG59" s="2" t="s">
        <v>190</v>
      </c>
      <c r="CH59" s="2" t="s">
        <v>188</v>
      </c>
      <c r="CI59" s="2" t="s">
        <v>190</v>
      </c>
      <c r="CJ59" s="2" t="s">
        <v>190</v>
      </c>
      <c r="CK59" s="2" t="s">
        <v>189</v>
      </c>
      <c r="CL59" s="2" t="s">
        <v>189</v>
      </c>
      <c r="CM59" s="2" t="s">
        <v>192</v>
      </c>
      <c r="CN59" s="2" t="s">
        <v>192</v>
      </c>
      <c r="CO59" s="2" t="s">
        <v>193</v>
      </c>
      <c r="CP59" s="2" t="s">
        <v>192</v>
      </c>
      <c r="CQ59" s="2" t="s">
        <v>192</v>
      </c>
      <c r="CR59" s="2" t="s">
        <v>200</v>
      </c>
      <c r="CS59" s="2" t="s">
        <v>193</v>
      </c>
      <c r="CT59" s="2" t="s">
        <v>192</v>
      </c>
      <c r="CU59" s="2" t="s">
        <v>192</v>
      </c>
      <c r="CV59" s="2" t="s">
        <v>193</v>
      </c>
      <c r="CW59" s="2" t="s">
        <v>192</v>
      </c>
      <c r="CX59" s="2" t="s">
        <v>193</v>
      </c>
      <c r="CY59" s="2" t="s">
        <v>192</v>
      </c>
      <c r="CZ59" s="2" t="s">
        <v>192</v>
      </c>
      <c r="DA59" s="2" t="s">
        <v>200</v>
      </c>
      <c r="DB59" s="2" t="s">
        <v>192</v>
      </c>
      <c r="DC59" s="2" t="s">
        <v>192</v>
      </c>
      <c r="DD59" s="2" t="s">
        <v>193</v>
      </c>
      <c r="DE59" s="2" t="s">
        <v>192</v>
      </c>
      <c r="DF59" s="2" t="s">
        <v>192</v>
      </c>
      <c r="DG59" s="2" t="s">
        <v>194</v>
      </c>
      <c r="DH59" s="2" t="s">
        <v>195</v>
      </c>
      <c r="DI59" s="2" t="s">
        <v>194</v>
      </c>
      <c r="DJ59" s="2" t="s">
        <v>194</v>
      </c>
      <c r="DK59" s="2" t="s">
        <v>196</v>
      </c>
      <c r="DL59" s="2" t="s">
        <v>196</v>
      </c>
      <c r="DM59" s="2" t="s">
        <v>220</v>
      </c>
      <c r="DN59" s="2" t="s">
        <v>196</v>
      </c>
      <c r="DO59" s="2" t="s">
        <v>194</v>
      </c>
      <c r="DP59" s="2" t="s">
        <v>196</v>
      </c>
      <c r="DQ59" s="2" t="s">
        <v>194</v>
      </c>
      <c r="DR59" s="2" t="s">
        <v>220</v>
      </c>
      <c r="DS59" s="2" t="s">
        <v>221</v>
      </c>
      <c r="DT59" s="2" t="s">
        <v>221</v>
      </c>
      <c r="DU59" s="2" t="s">
        <v>221</v>
      </c>
      <c r="DV59" s="2" t="s">
        <v>221</v>
      </c>
      <c r="DW59" s="2" t="s">
        <v>221</v>
      </c>
      <c r="DX59" s="2" t="s">
        <v>222</v>
      </c>
      <c r="DY59" s="2" t="s">
        <v>221</v>
      </c>
      <c r="DZ59" s="2"/>
      <c r="EA59" s="2">
        <v>1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1</v>
      </c>
      <c r="EI59" s="2">
        <v>0</v>
      </c>
      <c r="EJ59" s="2">
        <v>0</v>
      </c>
      <c r="EK59" s="2">
        <v>1</v>
      </c>
      <c r="EL59" s="2">
        <v>0</v>
      </c>
      <c r="EM59" s="2">
        <v>1</v>
      </c>
      <c r="EN59" s="2">
        <v>1</v>
      </c>
      <c r="EO59" s="2">
        <v>0</v>
      </c>
      <c r="EP59" s="2">
        <v>1</v>
      </c>
      <c r="EQ59" s="2">
        <v>1</v>
      </c>
      <c r="ER59" s="2">
        <v>0</v>
      </c>
      <c r="ES59" s="2">
        <v>1</v>
      </c>
      <c r="ET59" s="2">
        <v>0</v>
      </c>
      <c r="EU59" s="2">
        <v>1</v>
      </c>
      <c r="EV59" s="2">
        <v>1</v>
      </c>
      <c r="EW59" s="2">
        <v>1</v>
      </c>
      <c r="EX59" s="2">
        <v>0</v>
      </c>
      <c r="EY59" s="2">
        <v>1</v>
      </c>
      <c r="EZ59" s="2">
        <v>1</v>
      </c>
      <c r="FA59" s="2">
        <v>0</v>
      </c>
      <c r="FB59" s="2">
        <v>0</v>
      </c>
      <c r="FC59" s="2">
        <v>1</v>
      </c>
      <c r="FD59" s="2">
        <v>0</v>
      </c>
      <c r="FE59" s="2">
        <v>0</v>
      </c>
      <c r="FF59" s="2">
        <v>0</v>
      </c>
      <c r="FG59" s="2">
        <v>1</v>
      </c>
      <c r="FH59" s="2">
        <v>0</v>
      </c>
      <c r="FI59" s="2">
        <v>1</v>
      </c>
      <c r="FJ59" s="2">
        <v>1</v>
      </c>
      <c r="FK59" s="2">
        <v>0</v>
      </c>
      <c r="FL59" s="2">
        <v>0</v>
      </c>
      <c r="FM59" s="2">
        <v>1</v>
      </c>
      <c r="FN59" s="2">
        <v>0</v>
      </c>
      <c r="FO59" s="2">
        <v>1</v>
      </c>
      <c r="FP59" s="2">
        <v>0</v>
      </c>
      <c r="FQ59" s="2">
        <v>1</v>
      </c>
      <c r="FR59" s="2">
        <v>0</v>
      </c>
      <c r="FS59" s="2">
        <v>1</v>
      </c>
      <c r="FT59" s="2">
        <v>0</v>
      </c>
      <c r="FU59" s="2">
        <v>1</v>
      </c>
      <c r="FV59" s="2">
        <v>1</v>
      </c>
      <c r="FW59" s="2">
        <v>0</v>
      </c>
      <c r="FX59" s="2">
        <v>0</v>
      </c>
      <c r="FY59" s="2">
        <v>1</v>
      </c>
      <c r="FZ59" s="2"/>
      <c r="GA59" s="2">
        <v>5</v>
      </c>
      <c r="GB59" s="2">
        <v>5</v>
      </c>
      <c r="GC59" s="2">
        <v>5</v>
      </c>
      <c r="GD59" s="2">
        <v>5</v>
      </c>
      <c r="GE59" s="2">
        <v>5</v>
      </c>
      <c r="GG59" s="2">
        <v>3</v>
      </c>
      <c r="GH59" s="2">
        <v>4</v>
      </c>
      <c r="GI59" s="2">
        <v>4</v>
      </c>
      <c r="GJ59" s="2">
        <v>5</v>
      </c>
      <c r="GK59" s="2">
        <v>4</v>
      </c>
      <c r="GM59" s="2">
        <f t="shared" si="0"/>
        <v>25</v>
      </c>
      <c r="GN59" s="2">
        <f t="shared" si="1"/>
        <v>20</v>
      </c>
      <c r="GO59" s="2"/>
      <c r="GP59" s="2">
        <v>3</v>
      </c>
      <c r="GQ59" s="2">
        <v>2</v>
      </c>
      <c r="GR59" s="2">
        <v>1</v>
      </c>
      <c r="GS59" s="2">
        <v>0</v>
      </c>
      <c r="GU59" s="2">
        <v>1</v>
      </c>
      <c r="GV59" s="2">
        <v>0</v>
      </c>
      <c r="GW59" s="2">
        <v>2</v>
      </c>
      <c r="GY59" s="2">
        <v>3</v>
      </c>
      <c r="GZ59" s="2">
        <v>3</v>
      </c>
      <c r="HA59" s="2">
        <v>0</v>
      </c>
      <c r="HB59" s="2">
        <v>0</v>
      </c>
      <c r="HD59" s="2">
        <v>0</v>
      </c>
      <c r="HE59" s="2">
        <v>0</v>
      </c>
      <c r="HF59" s="2">
        <v>2</v>
      </c>
      <c r="HH59" s="2">
        <f t="shared" si="2"/>
        <v>9</v>
      </c>
      <c r="HI59" s="2">
        <f t="shared" si="3"/>
        <v>8</v>
      </c>
      <c r="HJ59" s="2"/>
      <c r="HK59" s="2">
        <v>8</v>
      </c>
      <c r="HL59" s="2">
        <v>8</v>
      </c>
      <c r="HM59" s="2"/>
      <c r="HN59" s="2"/>
    </row>
    <row r="60" spans="1:222" ht="15.75" customHeight="1" x14ac:dyDescent="0.2">
      <c r="A60" s="3" t="e">
        <f>VLOOKUP(B60,#REF!,1,FALSE)</f>
        <v>#REF!</v>
      </c>
      <c r="B60" s="3">
        <v>44642.619802557871</v>
      </c>
      <c r="C60" s="2">
        <v>65</v>
      </c>
      <c r="D60" s="2" t="s">
        <v>185</v>
      </c>
      <c r="E60" s="2">
        <v>0</v>
      </c>
      <c r="F60" s="2" t="s">
        <v>347</v>
      </c>
      <c r="G60" s="2">
        <v>15</v>
      </c>
      <c r="H60" s="2">
        <v>2</v>
      </c>
      <c r="I60" s="2">
        <v>1</v>
      </c>
      <c r="J60" s="2">
        <v>3</v>
      </c>
      <c r="K60" s="2">
        <v>1</v>
      </c>
      <c r="L60" s="2">
        <v>4</v>
      </c>
      <c r="M60" s="2" t="s">
        <v>187</v>
      </c>
      <c r="N60" s="2">
        <v>2</v>
      </c>
      <c r="O60" s="2">
        <v>3</v>
      </c>
      <c r="P60" s="2">
        <v>0</v>
      </c>
      <c r="Q60" s="2">
        <v>0</v>
      </c>
      <c r="R60" s="2">
        <v>3</v>
      </c>
      <c r="S60" s="2">
        <v>1</v>
      </c>
      <c r="T60" s="2">
        <v>-1</v>
      </c>
      <c r="U60" s="2">
        <v>-1</v>
      </c>
      <c r="V60" s="2">
        <v>-1</v>
      </c>
      <c r="W60" s="2">
        <v>-1</v>
      </c>
      <c r="X60" s="2"/>
      <c r="Y60" s="2">
        <v>1</v>
      </c>
      <c r="Z60" s="2">
        <v>1</v>
      </c>
      <c r="AA60" s="2">
        <v>1</v>
      </c>
      <c r="AB60" s="2">
        <v>4</v>
      </c>
      <c r="AC60" s="2">
        <v>-99</v>
      </c>
      <c r="AD60" s="2">
        <v>4</v>
      </c>
      <c r="AE60" s="2">
        <v>2</v>
      </c>
      <c r="AF60" s="2">
        <v>4</v>
      </c>
      <c r="AG60" s="2">
        <v>3</v>
      </c>
      <c r="AH60" s="2">
        <v>3</v>
      </c>
      <c r="AI60" s="2">
        <v>3</v>
      </c>
      <c r="AJ60" s="2">
        <v>3</v>
      </c>
      <c r="AK60" s="2">
        <v>2</v>
      </c>
      <c r="AL60" s="2">
        <v>2</v>
      </c>
      <c r="AM60" s="2">
        <v>4</v>
      </c>
      <c r="AN60" s="2">
        <v>4</v>
      </c>
      <c r="AO60" s="2">
        <v>3</v>
      </c>
      <c r="AP60" s="2">
        <v>3</v>
      </c>
      <c r="AQ60" s="2">
        <v>3</v>
      </c>
      <c r="AR60" s="2">
        <v>3</v>
      </c>
      <c r="AS60" s="2">
        <v>0</v>
      </c>
      <c r="AT60" s="2">
        <v>0</v>
      </c>
      <c r="AU60" s="2">
        <v>1</v>
      </c>
      <c r="AV60" s="2"/>
      <c r="AW60" s="2">
        <v>2</v>
      </c>
      <c r="AX60" s="2">
        <v>0</v>
      </c>
      <c r="AY60" s="2">
        <v>0</v>
      </c>
      <c r="AZ60" s="2">
        <v>3</v>
      </c>
      <c r="BA60" s="2">
        <v>3</v>
      </c>
      <c r="BB60" s="2">
        <v>3</v>
      </c>
      <c r="BC60" s="2">
        <v>3</v>
      </c>
      <c r="BD60" s="2">
        <v>3</v>
      </c>
      <c r="BE60" s="2">
        <v>2</v>
      </c>
      <c r="BF60" s="2">
        <v>1</v>
      </c>
      <c r="BG60" s="2">
        <v>0</v>
      </c>
      <c r="BH60" s="2">
        <v>1</v>
      </c>
      <c r="BI60" s="2"/>
      <c r="BJ60" s="2">
        <v>2</v>
      </c>
      <c r="BK60" s="2">
        <v>0</v>
      </c>
      <c r="BL60" s="2">
        <v>0</v>
      </c>
      <c r="BM60" s="2">
        <v>6</v>
      </c>
      <c r="BN60" s="2">
        <v>8</v>
      </c>
      <c r="BO60" s="2">
        <v>7</v>
      </c>
      <c r="BP60" s="2" t="s">
        <v>377</v>
      </c>
      <c r="BQ60" s="2"/>
      <c r="BR60" s="2"/>
      <c r="BS60" s="2"/>
      <c r="BT60" s="2"/>
      <c r="BU60" s="2"/>
      <c r="BV60" s="2" t="s">
        <v>378</v>
      </c>
      <c r="BW60" s="2" t="s">
        <v>379</v>
      </c>
      <c r="BX60" s="2" t="s">
        <v>188</v>
      </c>
      <c r="BY60" s="2" t="s">
        <v>190</v>
      </c>
      <c r="BZ60" s="2" t="s">
        <v>188</v>
      </c>
      <c r="CA60" s="2" t="s">
        <v>188</v>
      </c>
      <c r="CB60" s="2" t="s">
        <v>188</v>
      </c>
      <c r="CC60" s="2" t="s">
        <v>190</v>
      </c>
      <c r="CD60" s="2" t="s">
        <v>189</v>
      </c>
      <c r="CE60" s="2" t="s">
        <v>189</v>
      </c>
      <c r="CF60" s="2" t="s">
        <v>188</v>
      </c>
      <c r="CG60" s="2" t="s">
        <v>188</v>
      </c>
      <c r="CH60" s="2" t="s">
        <v>188</v>
      </c>
      <c r="CI60" s="2" t="s">
        <v>189</v>
      </c>
      <c r="CJ60" s="2" t="s">
        <v>189</v>
      </c>
      <c r="CK60" s="2" t="s">
        <v>189</v>
      </c>
      <c r="CL60" s="2" t="s">
        <v>188</v>
      </c>
      <c r="CM60" s="2" t="s">
        <v>192</v>
      </c>
      <c r="CN60" s="2" t="s">
        <v>200</v>
      </c>
      <c r="CO60" s="2" t="s">
        <v>193</v>
      </c>
      <c r="CP60" s="2" t="s">
        <v>192</v>
      </c>
      <c r="CQ60" s="2" t="s">
        <v>200</v>
      </c>
      <c r="CR60" s="2" t="s">
        <v>200</v>
      </c>
      <c r="CS60" s="2" t="s">
        <v>200</v>
      </c>
      <c r="CT60" s="2" t="s">
        <v>200</v>
      </c>
      <c r="CU60" s="2" t="s">
        <v>192</v>
      </c>
      <c r="CV60" s="2" t="s">
        <v>200</v>
      </c>
      <c r="CW60" s="2" t="s">
        <v>200</v>
      </c>
      <c r="CX60" s="2" t="s">
        <v>200</v>
      </c>
      <c r="CY60" s="2" t="s">
        <v>200</v>
      </c>
      <c r="CZ60" s="2" t="s">
        <v>200</v>
      </c>
      <c r="DA60" s="2" t="s">
        <v>200</v>
      </c>
      <c r="DB60" s="2" t="s">
        <v>193</v>
      </c>
      <c r="DC60" s="2" t="s">
        <v>192</v>
      </c>
      <c r="DD60" s="2" t="s">
        <v>192</v>
      </c>
      <c r="DE60" s="2" t="s">
        <v>192</v>
      </c>
      <c r="DF60" s="2" t="s">
        <v>200</v>
      </c>
      <c r="DG60" s="2" t="s">
        <v>195</v>
      </c>
      <c r="DH60" s="2" t="s">
        <v>195</v>
      </c>
      <c r="DI60" s="2" t="s">
        <v>195</v>
      </c>
      <c r="DJ60" s="2" t="s">
        <v>201</v>
      </c>
      <c r="DK60" s="2" t="s">
        <v>194</v>
      </c>
      <c r="DL60" s="2" t="s">
        <v>194</v>
      </c>
      <c r="DM60" s="2" t="s">
        <v>194</v>
      </c>
      <c r="DN60" s="2"/>
      <c r="DO60" s="2" t="s">
        <v>220</v>
      </c>
      <c r="DP60" s="2" t="s">
        <v>194</v>
      </c>
      <c r="DQ60" s="2" t="s">
        <v>195</v>
      </c>
      <c r="DR60" s="2" t="s">
        <v>195</v>
      </c>
      <c r="DS60" s="2" t="s">
        <v>198</v>
      </c>
      <c r="DT60" s="2" t="s">
        <v>221</v>
      </c>
      <c r="DU60" s="2" t="s">
        <v>221</v>
      </c>
      <c r="DV60" s="2" t="s">
        <v>198</v>
      </c>
      <c r="DW60" s="2" t="s">
        <v>198</v>
      </c>
      <c r="DX60" s="2" t="s">
        <v>221</v>
      </c>
      <c r="DY60" s="2" t="s">
        <v>198</v>
      </c>
      <c r="DZ60" s="2"/>
      <c r="EA60" s="2">
        <v>1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1</v>
      </c>
      <c r="EJ60" s="2">
        <v>1</v>
      </c>
      <c r="EK60" s="2">
        <v>0</v>
      </c>
      <c r="EL60" s="2">
        <v>0</v>
      </c>
      <c r="EM60" s="2">
        <v>1</v>
      </c>
      <c r="EN60" s="2">
        <v>0</v>
      </c>
      <c r="EO60" s="2">
        <v>1</v>
      </c>
      <c r="EP60" s="2">
        <v>0</v>
      </c>
      <c r="EQ60" s="2">
        <v>1</v>
      </c>
      <c r="ER60" s="2">
        <v>0</v>
      </c>
      <c r="ES60" s="2">
        <v>1</v>
      </c>
      <c r="ET60" s="2">
        <v>0</v>
      </c>
      <c r="EU60" s="2">
        <v>1</v>
      </c>
      <c r="EV60" s="2">
        <v>0</v>
      </c>
      <c r="EW60" s="2">
        <v>1</v>
      </c>
      <c r="EX60" s="2">
        <v>0</v>
      </c>
      <c r="EY60" s="2">
        <v>1</v>
      </c>
      <c r="EZ60" s="2">
        <v>1</v>
      </c>
      <c r="FA60" s="2">
        <v>0</v>
      </c>
      <c r="FB60" s="2">
        <v>0</v>
      </c>
      <c r="FC60" s="2">
        <v>1</v>
      </c>
      <c r="FD60" s="2">
        <v>0</v>
      </c>
      <c r="FE60" s="2">
        <v>0</v>
      </c>
      <c r="FF60" s="2">
        <v>1</v>
      </c>
      <c r="FG60" s="2">
        <v>0</v>
      </c>
      <c r="FH60" s="2">
        <v>0</v>
      </c>
      <c r="FI60" s="2">
        <v>1</v>
      </c>
      <c r="FJ60" s="2">
        <v>1</v>
      </c>
      <c r="FK60" s="2">
        <v>0</v>
      </c>
      <c r="FL60" s="2">
        <v>1</v>
      </c>
      <c r="FM60" s="2">
        <v>0</v>
      </c>
      <c r="FN60" s="2">
        <v>0</v>
      </c>
      <c r="FO60" s="2">
        <v>1</v>
      </c>
      <c r="FP60" s="2">
        <v>0</v>
      </c>
      <c r="FQ60" s="2">
        <v>1</v>
      </c>
      <c r="FR60" s="2">
        <v>0</v>
      </c>
      <c r="FS60" s="2">
        <v>1</v>
      </c>
      <c r="FT60" s="2">
        <v>0</v>
      </c>
      <c r="FU60" s="2">
        <v>1</v>
      </c>
      <c r="FV60" s="2">
        <v>0</v>
      </c>
      <c r="FW60" s="2">
        <v>1</v>
      </c>
      <c r="FX60" s="2">
        <v>0</v>
      </c>
      <c r="FY60" s="2">
        <v>1</v>
      </c>
      <c r="FZ60" s="2"/>
      <c r="GA60" s="2">
        <v>4</v>
      </c>
      <c r="GB60" s="2">
        <v>4</v>
      </c>
      <c r="GC60" s="2">
        <v>3</v>
      </c>
      <c r="GD60" s="2">
        <v>3</v>
      </c>
      <c r="GE60" s="2">
        <v>3</v>
      </c>
      <c r="GG60" s="2">
        <v>3</v>
      </c>
      <c r="GH60" s="2">
        <v>3</v>
      </c>
      <c r="GI60" s="2">
        <v>3</v>
      </c>
      <c r="GJ60" s="2">
        <v>3</v>
      </c>
      <c r="GK60" s="2">
        <v>3</v>
      </c>
      <c r="GM60" s="2">
        <f t="shared" si="0"/>
        <v>17</v>
      </c>
      <c r="GN60" s="2">
        <f t="shared" si="1"/>
        <v>15</v>
      </c>
      <c r="GO60" s="2"/>
      <c r="GP60" s="2">
        <v>3</v>
      </c>
      <c r="GQ60" s="2">
        <v>0</v>
      </c>
      <c r="GR60" s="2">
        <v>0</v>
      </c>
      <c r="GS60" s="2">
        <v>1</v>
      </c>
      <c r="GU60" s="2">
        <v>2</v>
      </c>
      <c r="GV60" s="2">
        <v>0</v>
      </c>
      <c r="GW60" s="2">
        <v>0</v>
      </c>
      <c r="GY60" s="2">
        <v>2</v>
      </c>
      <c r="GZ60" s="2">
        <v>1</v>
      </c>
      <c r="HA60" s="2">
        <v>0</v>
      </c>
      <c r="HB60" s="2">
        <v>1</v>
      </c>
      <c r="HD60" s="2">
        <v>2</v>
      </c>
      <c r="HE60" s="2">
        <v>0</v>
      </c>
      <c r="HF60" s="2">
        <v>0</v>
      </c>
      <c r="HH60" s="2">
        <f t="shared" si="2"/>
        <v>6</v>
      </c>
      <c r="HI60" s="2">
        <f t="shared" si="3"/>
        <v>6</v>
      </c>
      <c r="HJ60" s="2"/>
      <c r="HK60" s="2">
        <v>8</v>
      </c>
      <c r="HL60" s="2">
        <v>7</v>
      </c>
      <c r="HM60" s="2"/>
      <c r="HN60" s="2"/>
    </row>
    <row r="61" spans="1:222" ht="15.75" customHeight="1" x14ac:dyDescent="0.2">
      <c r="A61" s="3" t="e">
        <f>VLOOKUP(B61,#REF!,1,FALSE)</f>
        <v>#REF!</v>
      </c>
      <c r="B61" s="3">
        <v>44642.634883622683</v>
      </c>
      <c r="C61" s="2">
        <v>66</v>
      </c>
      <c r="D61" s="2" t="s">
        <v>185</v>
      </c>
      <c r="E61" s="2">
        <v>0</v>
      </c>
      <c r="F61" s="2" t="s">
        <v>237</v>
      </c>
      <c r="G61" s="2">
        <v>2</v>
      </c>
      <c r="H61" s="2">
        <v>2</v>
      </c>
      <c r="I61" s="2">
        <v>1</v>
      </c>
      <c r="J61" s="2">
        <v>3</v>
      </c>
      <c r="K61" s="2">
        <v>0</v>
      </c>
      <c r="L61" s="2">
        <v>3</v>
      </c>
      <c r="M61" s="2" t="s">
        <v>213</v>
      </c>
      <c r="N61" s="2">
        <v>2</v>
      </c>
      <c r="O61" s="2">
        <v>2</v>
      </c>
      <c r="P61" s="2">
        <v>0</v>
      </c>
      <c r="Q61" s="2">
        <v>0</v>
      </c>
      <c r="R61" s="2">
        <v>3</v>
      </c>
      <c r="S61" s="2">
        <v>0</v>
      </c>
      <c r="T61" s="2">
        <v>-1</v>
      </c>
      <c r="U61" s="2">
        <v>-1</v>
      </c>
      <c r="V61" s="2">
        <v>0</v>
      </c>
      <c r="W61" s="2">
        <v>0</v>
      </c>
      <c r="X61" s="2"/>
      <c r="Y61" s="2">
        <v>1</v>
      </c>
      <c r="Z61" s="2">
        <v>1</v>
      </c>
      <c r="AA61" s="2">
        <v>1</v>
      </c>
      <c r="AB61" s="2">
        <v>1</v>
      </c>
      <c r="AC61" s="2">
        <v>0</v>
      </c>
      <c r="AD61" s="2">
        <v>1</v>
      </c>
      <c r="AE61" s="2">
        <v>2</v>
      </c>
      <c r="AF61" s="2">
        <v>-99</v>
      </c>
      <c r="AG61" s="2">
        <v>1</v>
      </c>
      <c r="AH61" s="2">
        <v>2</v>
      </c>
      <c r="AI61" s="2">
        <v>-1</v>
      </c>
      <c r="AJ61" s="2">
        <v>-1</v>
      </c>
      <c r="AK61" s="2">
        <v>-2</v>
      </c>
      <c r="AL61" s="2">
        <v>-1</v>
      </c>
      <c r="AM61" s="2">
        <v>3</v>
      </c>
      <c r="AN61" s="2">
        <v>3</v>
      </c>
      <c r="AO61" s="2">
        <v>2</v>
      </c>
      <c r="AP61" s="2">
        <v>1</v>
      </c>
      <c r="AQ61" s="2">
        <v>1</v>
      </c>
      <c r="AR61" s="2">
        <v>3</v>
      </c>
      <c r="AS61" s="2">
        <v>2</v>
      </c>
      <c r="AT61" s="2">
        <v>3</v>
      </c>
      <c r="AU61" s="2">
        <v>3</v>
      </c>
      <c r="AV61" s="2"/>
      <c r="AW61" s="2">
        <v>3</v>
      </c>
      <c r="AX61" s="2">
        <v>1</v>
      </c>
      <c r="AY61" s="2">
        <v>0</v>
      </c>
      <c r="AZ61" s="2">
        <v>3</v>
      </c>
      <c r="BA61" s="2">
        <v>4</v>
      </c>
      <c r="BB61" s="2">
        <v>2</v>
      </c>
      <c r="BC61" s="2">
        <v>3</v>
      </c>
      <c r="BD61" s="2">
        <v>2</v>
      </c>
      <c r="BE61" s="2">
        <v>3</v>
      </c>
      <c r="BF61" s="2">
        <v>1</v>
      </c>
      <c r="BG61" s="2">
        <v>3</v>
      </c>
      <c r="BH61" s="2">
        <v>1</v>
      </c>
      <c r="BI61" s="2"/>
      <c r="BJ61" s="2">
        <v>2</v>
      </c>
      <c r="BK61" s="2">
        <v>0</v>
      </c>
      <c r="BL61" s="2">
        <v>2</v>
      </c>
      <c r="BM61" s="2">
        <v>8</v>
      </c>
      <c r="BN61" s="2">
        <v>8</v>
      </c>
      <c r="BO61" s="2">
        <v>9</v>
      </c>
      <c r="BP61" s="2" t="s">
        <v>258</v>
      </c>
      <c r="BQ61" s="2"/>
      <c r="BR61" s="2"/>
      <c r="BS61" s="2"/>
      <c r="BT61" s="2" t="s">
        <v>380</v>
      </c>
      <c r="BU61" s="2" t="s">
        <v>381</v>
      </c>
      <c r="BV61" s="2" t="s">
        <v>382</v>
      </c>
      <c r="BW61" s="2" t="s">
        <v>383</v>
      </c>
      <c r="BX61" s="2" t="s">
        <v>191</v>
      </c>
      <c r="BY61" s="2" t="s">
        <v>189</v>
      </c>
      <c r="BZ61" s="2" t="s">
        <v>189</v>
      </c>
      <c r="CA61" s="2" t="s">
        <v>189</v>
      </c>
      <c r="CB61" s="2" t="s">
        <v>189</v>
      </c>
      <c r="CC61" s="2" t="s">
        <v>189</v>
      </c>
      <c r="CD61" s="2" t="s">
        <v>189</v>
      </c>
      <c r="CE61" s="2" t="s">
        <v>189</v>
      </c>
      <c r="CF61" s="2" t="s">
        <v>190</v>
      </c>
      <c r="CG61" s="2" t="s">
        <v>189</v>
      </c>
      <c r="CH61" s="2" t="s">
        <v>188</v>
      </c>
      <c r="CI61" s="2" t="s">
        <v>189</v>
      </c>
      <c r="CJ61" s="2" t="s">
        <v>189</v>
      </c>
      <c r="CK61" s="2" t="s">
        <v>189</v>
      </c>
      <c r="CL61" s="2" t="s">
        <v>189</v>
      </c>
      <c r="CM61" s="2" t="s">
        <v>192</v>
      </c>
      <c r="CN61" s="2" t="s">
        <v>192</v>
      </c>
      <c r="CO61" s="2" t="s">
        <v>192</v>
      </c>
      <c r="CP61" s="2" t="s">
        <v>192</v>
      </c>
      <c r="CQ61" s="2" t="s">
        <v>192</v>
      </c>
      <c r="CR61" s="2" t="s">
        <v>192</v>
      </c>
      <c r="CS61" s="2" t="s">
        <v>200</v>
      </c>
      <c r="CT61" s="2" t="s">
        <v>192</v>
      </c>
      <c r="CU61" s="2" t="s">
        <v>192</v>
      </c>
      <c r="CV61" s="2" t="s">
        <v>193</v>
      </c>
      <c r="CW61" s="2" t="s">
        <v>192</v>
      </c>
      <c r="CX61" s="2" t="s">
        <v>192</v>
      </c>
      <c r="CY61" s="2" t="s">
        <v>192</v>
      </c>
      <c r="CZ61" s="2" t="s">
        <v>192</v>
      </c>
      <c r="DA61" s="2" t="s">
        <v>192</v>
      </c>
      <c r="DB61" s="2" t="s">
        <v>192</v>
      </c>
      <c r="DC61" s="2" t="s">
        <v>192</v>
      </c>
      <c r="DD61" s="2" t="s">
        <v>192</v>
      </c>
      <c r="DE61" s="2" t="s">
        <v>192</v>
      </c>
      <c r="DF61" s="2" t="s">
        <v>192</v>
      </c>
      <c r="DG61" s="2" t="s">
        <v>195</v>
      </c>
      <c r="DH61" s="2" t="s">
        <v>195</v>
      </c>
      <c r="DI61" s="2" t="s">
        <v>195</v>
      </c>
      <c r="DJ61" s="2" t="s">
        <v>195</v>
      </c>
      <c r="DK61" s="2" t="s">
        <v>194</v>
      </c>
      <c r="DL61" s="2" t="s">
        <v>195</v>
      </c>
      <c r="DM61" s="2" t="s">
        <v>195</v>
      </c>
      <c r="DN61" s="2" t="s">
        <v>196</v>
      </c>
      <c r="DO61" s="2" t="s">
        <v>194</v>
      </c>
      <c r="DP61" s="2" t="s">
        <v>196</v>
      </c>
      <c r="DQ61" s="2" t="s">
        <v>196</v>
      </c>
      <c r="DR61" s="2" t="s">
        <v>195</v>
      </c>
      <c r="DS61" s="2" t="s">
        <v>197</v>
      </c>
      <c r="DT61" s="2" t="s">
        <v>197</v>
      </c>
      <c r="DU61" s="2" t="s">
        <v>197</v>
      </c>
      <c r="DV61" s="2" t="s">
        <v>197</v>
      </c>
      <c r="DW61" s="2" t="s">
        <v>197</v>
      </c>
      <c r="DX61" s="2" t="s">
        <v>198</v>
      </c>
      <c r="DY61" s="2" t="s">
        <v>197</v>
      </c>
      <c r="DZ61" s="2"/>
      <c r="EA61" s="2">
        <v>1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1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1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1</v>
      </c>
      <c r="EZ61" s="2">
        <v>0</v>
      </c>
      <c r="FA61" s="2">
        <v>0</v>
      </c>
      <c r="FB61" s="2">
        <v>0</v>
      </c>
      <c r="FC61" s="2">
        <v>1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1</v>
      </c>
      <c r="FR61" s="2">
        <v>0</v>
      </c>
      <c r="FS61" s="2">
        <v>1</v>
      </c>
      <c r="FT61" s="2">
        <v>0</v>
      </c>
      <c r="FU61" s="2">
        <v>1</v>
      </c>
      <c r="FV61" s="2">
        <v>0</v>
      </c>
      <c r="FW61" s="2">
        <v>0</v>
      </c>
      <c r="FX61" s="2">
        <v>0</v>
      </c>
      <c r="FY61" s="2">
        <v>0</v>
      </c>
      <c r="FZ61" s="2"/>
      <c r="GA61" s="2">
        <v>3</v>
      </c>
      <c r="GB61" s="2">
        <v>3</v>
      </c>
      <c r="GC61" s="2">
        <v>2</v>
      </c>
      <c r="GD61" s="2">
        <v>1</v>
      </c>
      <c r="GE61" s="2">
        <v>1</v>
      </c>
      <c r="GG61" s="2">
        <v>3</v>
      </c>
      <c r="GH61" s="2">
        <v>4</v>
      </c>
      <c r="GI61" s="2">
        <v>2</v>
      </c>
      <c r="GJ61" s="2">
        <v>3</v>
      </c>
      <c r="GK61" s="2">
        <v>2</v>
      </c>
      <c r="GM61" s="2">
        <f t="shared" si="0"/>
        <v>10</v>
      </c>
      <c r="GN61" s="2">
        <f t="shared" si="1"/>
        <v>14</v>
      </c>
      <c r="GO61" s="2"/>
      <c r="GP61" s="2">
        <v>3</v>
      </c>
      <c r="GQ61" s="2">
        <v>2</v>
      </c>
      <c r="GR61" s="2">
        <v>3</v>
      </c>
      <c r="GS61" s="2">
        <v>3</v>
      </c>
      <c r="GU61" s="2">
        <v>3</v>
      </c>
      <c r="GV61" s="2">
        <v>1</v>
      </c>
      <c r="GW61" s="2">
        <v>0</v>
      </c>
      <c r="GY61" s="2">
        <v>3</v>
      </c>
      <c r="GZ61" s="2">
        <v>1</v>
      </c>
      <c r="HA61" s="2">
        <v>3</v>
      </c>
      <c r="HB61" s="2">
        <v>1</v>
      </c>
      <c r="HD61" s="2">
        <v>2</v>
      </c>
      <c r="HE61" s="2">
        <v>0</v>
      </c>
      <c r="HF61" s="2">
        <v>2</v>
      </c>
      <c r="HH61" s="2">
        <f t="shared" si="2"/>
        <v>15</v>
      </c>
      <c r="HI61" s="2">
        <f t="shared" si="3"/>
        <v>12</v>
      </c>
      <c r="HJ61" s="2"/>
      <c r="HK61" s="2">
        <v>8</v>
      </c>
      <c r="HL61" s="2">
        <v>9</v>
      </c>
      <c r="HM61" s="2"/>
      <c r="HN61" s="2"/>
    </row>
    <row r="62" spans="1:222" ht="15.75" customHeight="1" x14ac:dyDescent="0.2">
      <c r="A62" s="3" t="e">
        <f>VLOOKUP(B62,#REF!,1,FALSE)</f>
        <v>#REF!</v>
      </c>
      <c r="B62" s="3">
        <v>44642.650737060183</v>
      </c>
      <c r="C62" s="2">
        <v>67</v>
      </c>
      <c r="D62" s="2" t="s">
        <v>185</v>
      </c>
      <c r="E62" s="2">
        <v>0</v>
      </c>
      <c r="F62" s="2" t="s">
        <v>186</v>
      </c>
      <c r="G62" s="2">
        <v>2</v>
      </c>
      <c r="H62" s="2">
        <v>2</v>
      </c>
      <c r="I62" s="2">
        <v>1</v>
      </c>
      <c r="J62" s="2">
        <v>3</v>
      </c>
      <c r="K62" s="2">
        <v>0</v>
      </c>
      <c r="L62" s="2">
        <v>3</v>
      </c>
      <c r="M62" s="2" t="s">
        <v>187</v>
      </c>
      <c r="N62" s="2">
        <v>2</v>
      </c>
      <c r="O62" s="2">
        <v>6</v>
      </c>
      <c r="P62" s="2">
        <v>0</v>
      </c>
      <c r="Q62" s="2" t="s">
        <v>384</v>
      </c>
      <c r="R62" s="2">
        <v>3</v>
      </c>
      <c r="S62" s="2">
        <v>-1</v>
      </c>
      <c r="T62" s="2">
        <v>-1</v>
      </c>
      <c r="U62" s="2">
        <v>-1</v>
      </c>
      <c r="V62" s="2">
        <v>-1</v>
      </c>
      <c r="W62" s="2">
        <v>-1</v>
      </c>
      <c r="X62" s="2"/>
      <c r="Y62" s="2">
        <v>0</v>
      </c>
      <c r="Z62" s="2">
        <v>1</v>
      </c>
      <c r="AA62" s="2">
        <v>1</v>
      </c>
      <c r="AB62" s="2">
        <v>2</v>
      </c>
      <c r="AC62" s="2">
        <v>2</v>
      </c>
      <c r="AD62" s="2">
        <v>2</v>
      </c>
      <c r="AE62" s="2">
        <v>2</v>
      </c>
      <c r="AF62" s="2">
        <v>2</v>
      </c>
      <c r="AG62" s="2">
        <v>3</v>
      </c>
      <c r="AH62" s="2">
        <v>3</v>
      </c>
      <c r="AI62" s="2">
        <v>3</v>
      </c>
      <c r="AJ62" s="2">
        <v>3</v>
      </c>
      <c r="AK62" s="2">
        <v>2</v>
      </c>
      <c r="AL62" s="2">
        <v>2</v>
      </c>
      <c r="AM62" s="2">
        <v>4</v>
      </c>
      <c r="AN62" s="2">
        <v>4</v>
      </c>
      <c r="AO62" s="2">
        <v>4</v>
      </c>
      <c r="AP62" s="2">
        <v>3</v>
      </c>
      <c r="AQ62" s="2">
        <v>3</v>
      </c>
      <c r="AR62" s="2">
        <v>3</v>
      </c>
      <c r="AS62" s="2">
        <v>1</v>
      </c>
      <c r="AT62" s="2">
        <v>0</v>
      </c>
      <c r="AU62" s="2">
        <v>0</v>
      </c>
      <c r="AV62" s="2"/>
      <c r="AW62" s="2">
        <v>0</v>
      </c>
      <c r="AX62" s="2">
        <v>0</v>
      </c>
      <c r="AY62" s="2">
        <v>1</v>
      </c>
      <c r="AZ62" s="2">
        <v>4</v>
      </c>
      <c r="BA62" s="2">
        <v>4</v>
      </c>
      <c r="BB62" s="2">
        <v>3</v>
      </c>
      <c r="BC62" s="2">
        <v>4</v>
      </c>
      <c r="BD62" s="2">
        <v>3</v>
      </c>
      <c r="BE62" s="2">
        <v>3</v>
      </c>
      <c r="BF62" s="2">
        <v>0</v>
      </c>
      <c r="BG62" s="2">
        <v>0</v>
      </c>
      <c r="BH62" s="2">
        <v>0</v>
      </c>
      <c r="BI62" s="2"/>
      <c r="BJ62" s="2">
        <v>1</v>
      </c>
      <c r="BK62" s="2">
        <v>0</v>
      </c>
      <c r="BL62" s="2">
        <v>2</v>
      </c>
      <c r="BM62" s="2">
        <v>8</v>
      </c>
      <c r="BN62" s="2">
        <v>8</v>
      </c>
      <c r="BO62" s="2">
        <v>8</v>
      </c>
      <c r="BP62" s="2" t="s">
        <v>385</v>
      </c>
      <c r="BQ62" s="2" t="s">
        <v>258</v>
      </c>
      <c r="BR62" s="2" t="s">
        <v>258</v>
      </c>
      <c r="BS62" s="2" t="s">
        <v>386</v>
      </c>
      <c r="BT62" s="2" t="s">
        <v>258</v>
      </c>
      <c r="BU62" s="2" t="s">
        <v>387</v>
      </c>
      <c r="BV62" s="2" t="s">
        <v>388</v>
      </c>
      <c r="BW62" s="2" t="s">
        <v>389</v>
      </c>
      <c r="BX62" s="2" t="s">
        <v>190</v>
      </c>
      <c r="BY62" s="2" t="s">
        <v>189</v>
      </c>
      <c r="BZ62" s="2" t="s">
        <v>189</v>
      </c>
      <c r="CA62" s="2" t="s">
        <v>190</v>
      </c>
      <c r="CB62" s="2" t="s">
        <v>190</v>
      </c>
      <c r="CC62" s="2" t="s">
        <v>191</v>
      </c>
      <c r="CD62" s="2" t="s">
        <v>189</v>
      </c>
      <c r="CE62" s="2" t="s">
        <v>189</v>
      </c>
      <c r="CF62" s="2" t="s">
        <v>191</v>
      </c>
      <c r="CG62" s="2" t="s">
        <v>191</v>
      </c>
      <c r="CH62" s="2" t="s">
        <v>190</v>
      </c>
      <c r="CI62" s="2" t="s">
        <v>189</v>
      </c>
      <c r="CJ62" s="2" t="s">
        <v>189</v>
      </c>
      <c r="CK62" s="2" t="s">
        <v>189</v>
      </c>
      <c r="CL62" s="2" t="s">
        <v>190</v>
      </c>
      <c r="CM62" s="2" t="s">
        <v>192</v>
      </c>
      <c r="CN62" s="2" t="s">
        <v>192</v>
      </c>
      <c r="CO62" s="2" t="s">
        <v>192</v>
      </c>
      <c r="CP62" s="2" t="s">
        <v>192</v>
      </c>
      <c r="CQ62" s="2" t="s">
        <v>192</v>
      </c>
      <c r="CR62" s="2" t="s">
        <v>193</v>
      </c>
      <c r="CS62" s="2" t="s">
        <v>193</v>
      </c>
      <c r="CT62" s="2" t="s">
        <v>193</v>
      </c>
      <c r="CU62" s="2" t="s">
        <v>192</v>
      </c>
      <c r="CV62" s="2" t="s">
        <v>192</v>
      </c>
      <c r="CW62" s="2" t="s">
        <v>192</v>
      </c>
      <c r="CX62" s="2" t="s">
        <v>200</v>
      </c>
      <c r="CY62" s="2" t="s">
        <v>192</v>
      </c>
      <c r="CZ62" s="2" t="s">
        <v>192</v>
      </c>
      <c r="DA62" s="2" t="s">
        <v>192</v>
      </c>
      <c r="DB62" s="2" t="s">
        <v>192</v>
      </c>
      <c r="DC62" s="2" t="s">
        <v>192</v>
      </c>
      <c r="DD62" s="2" t="s">
        <v>200</v>
      </c>
      <c r="DE62" s="2" t="s">
        <v>192</v>
      </c>
      <c r="DF62" s="2" t="s">
        <v>193</v>
      </c>
      <c r="DG62" s="2" t="s">
        <v>196</v>
      </c>
      <c r="DH62" s="2" t="s">
        <v>196</v>
      </c>
      <c r="DI62" s="2" t="s">
        <v>220</v>
      </c>
      <c r="DJ62" s="2" t="s">
        <v>196</v>
      </c>
      <c r="DK62" s="2" t="s">
        <v>194</v>
      </c>
      <c r="DL62" s="2" t="s">
        <v>220</v>
      </c>
      <c r="DM62" s="2" t="s">
        <v>220</v>
      </c>
      <c r="DN62" s="2" t="s">
        <v>196</v>
      </c>
      <c r="DO62" s="2" t="s">
        <v>196</v>
      </c>
      <c r="DP62" s="2" t="s">
        <v>196</v>
      </c>
      <c r="DQ62" s="2" t="s">
        <v>196</v>
      </c>
      <c r="DR62" s="2" t="s">
        <v>220</v>
      </c>
      <c r="DS62" s="2" t="s">
        <v>198</v>
      </c>
      <c r="DT62" s="2" t="s">
        <v>199</v>
      </c>
      <c r="DU62" s="2" t="s">
        <v>198</v>
      </c>
      <c r="DV62" s="2" t="s">
        <v>197</v>
      </c>
      <c r="DW62" s="2" t="s">
        <v>199</v>
      </c>
      <c r="DX62" s="2" t="s">
        <v>198</v>
      </c>
      <c r="DY62" s="2" t="s">
        <v>197</v>
      </c>
      <c r="DZ62" s="2"/>
      <c r="EA62" s="2">
        <v>0</v>
      </c>
      <c r="EB62" s="2">
        <v>1</v>
      </c>
      <c r="EC62" s="2">
        <v>1</v>
      </c>
      <c r="ED62" s="2">
        <v>1</v>
      </c>
      <c r="EE62" s="2">
        <v>0</v>
      </c>
      <c r="EF62" s="2">
        <v>1</v>
      </c>
      <c r="EG62" s="2">
        <v>0</v>
      </c>
      <c r="EH62" s="2">
        <v>1</v>
      </c>
      <c r="EI62" s="2">
        <v>1</v>
      </c>
      <c r="EJ62" s="2">
        <v>1</v>
      </c>
      <c r="EK62" s="2">
        <v>1</v>
      </c>
      <c r="EL62" s="2">
        <v>1</v>
      </c>
      <c r="EM62" s="2">
        <v>1</v>
      </c>
      <c r="EN62" s="2">
        <v>1</v>
      </c>
      <c r="EO62" s="2">
        <v>0</v>
      </c>
      <c r="EP62" s="2">
        <v>1</v>
      </c>
      <c r="EQ62" s="2">
        <v>1</v>
      </c>
      <c r="ER62" s="2">
        <v>1</v>
      </c>
      <c r="ES62" s="2">
        <v>1</v>
      </c>
      <c r="ET62" s="2">
        <v>1</v>
      </c>
      <c r="EU62" s="2">
        <v>0</v>
      </c>
      <c r="EV62" s="2">
        <v>1</v>
      </c>
      <c r="EW62" s="2">
        <v>0</v>
      </c>
      <c r="EX62" s="2">
        <v>1</v>
      </c>
      <c r="EY62" s="2">
        <v>1</v>
      </c>
      <c r="EZ62" s="2">
        <v>0</v>
      </c>
      <c r="FA62" s="2">
        <v>0</v>
      </c>
      <c r="FB62" s="2">
        <v>1</v>
      </c>
      <c r="FC62" s="2">
        <v>1</v>
      </c>
      <c r="FD62" s="2">
        <v>0</v>
      </c>
      <c r="FE62" s="2">
        <v>0</v>
      </c>
      <c r="FF62" s="2">
        <v>1</v>
      </c>
      <c r="FG62" s="2">
        <v>1</v>
      </c>
      <c r="FH62" s="2">
        <v>1</v>
      </c>
      <c r="FI62" s="2">
        <v>1</v>
      </c>
      <c r="FJ62" s="2">
        <v>0</v>
      </c>
      <c r="FK62" s="2">
        <v>0</v>
      </c>
      <c r="FL62" s="2">
        <v>1</v>
      </c>
      <c r="FM62" s="2">
        <v>0</v>
      </c>
      <c r="FN62" s="2">
        <v>1</v>
      </c>
      <c r="FO62" s="2">
        <v>1</v>
      </c>
      <c r="FP62" s="2">
        <v>1</v>
      </c>
      <c r="FQ62" s="2">
        <v>1</v>
      </c>
      <c r="FR62" s="2">
        <v>1</v>
      </c>
      <c r="FS62" s="2">
        <v>1</v>
      </c>
      <c r="FT62" s="2">
        <v>1</v>
      </c>
      <c r="FU62" s="2">
        <v>1</v>
      </c>
      <c r="FV62" s="2">
        <v>1</v>
      </c>
      <c r="FW62" s="2">
        <v>1</v>
      </c>
      <c r="FX62" s="2">
        <v>1</v>
      </c>
      <c r="FY62" s="2">
        <v>1</v>
      </c>
      <c r="FZ62" s="2"/>
      <c r="GA62" s="2">
        <v>4</v>
      </c>
      <c r="GB62" s="2">
        <v>4</v>
      </c>
      <c r="GC62" s="2">
        <v>4</v>
      </c>
      <c r="GD62" s="2">
        <v>3</v>
      </c>
      <c r="GE62" s="2">
        <v>3</v>
      </c>
      <c r="GG62" s="2">
        <v>4</v>
      </c>
      <c r="GH62" s="2">
        <v>4</v>
      </c>
      <c r="GI62" s="2">
        <v>3</v>
      </c>
      <c r="GJ62" s="2">
        <v>4</v>
      </c>
      <c r="GK62" s="2">
        <v>3</v>
      </c>
      <c r="GM62" s="2">
        <f t="shared" si="0"/>
        <v>18</v>
      </c>
      <c r="GN62" s="2">
        <f t="shared" si="1"/>
        <v>18</v>
      </c>
      <c r="GO62" s="2"/>
      <c r="GP62" s="2">
        <v>3</v>
      </c>
      <c r="GQ62" s="2">
        <v>1</v>
      </c>
      <c r="GR62" s="2">
        <v>0</v>
      </c>
      <c r="GS62" s="2">
        <v>0</v>
      </c>
      <c r="GU62" s="2">
        <v>0</v>
      </c>
      <c r="GV62" s="2">
        <v>0</v>
      </c>
      <c r="GW62" s="2">
        <v>1</v>
      </c>
      <c r="GY62" s="2">
        <v>3</v>
      </c>
      <c r="GZ62" s="2">
        <v>0</v>
      </c>
      <c r="HA62" s="2">
        <v>0</v>
      </c>
      <c r="HB62" s="2">
        <v>0</v>
      </c>
      <c r="HD62" s="2">
        <v>1</v>
      </c>
      <c r="HE62" s="2">
        <v>0</v>
      </c>
      <c r="HF62" s="2">
        <v>2</v>
      </c>
      <c r="HH62" s="2">
        <f t="shared" si="2"/>
        <v>5</v>
      </c>
      <c r="HI62" s="2">
        <f t="shared" si="3"/>
        <v>6</v>
      </c>
      <c r="HJ62" s="2"/>
      <c r="HK62" s="2">
        <v>8</v>
      </c>
      <c r="HL62" s="2">
        <v>8</v>
      </c>
      <c r="HM62" s="2"/>
      <c r="HN62" s="2"/>
    </row>
    <row r="63" spans="1:222" ht="15.75" customHeight="1" x14ac:dyDescent="0.2">
      <c r="A63" s="3" t="e">
        <f>VLOOKUP(B63,#REF!,1,FALSE)</f>
        <v>#REF!</v>
      </c>
      <c r="B63" s="3">
        <v>44642.695900949075</v>
      </c>
      <c r="C63" s="2">
        <v>68</v>
      </c>
      <c r="D63" s="2" t="s">
        <v>185</v>
      </c>
      <c r="E63" s="2">
        <v>0</v>
      </c>
      <c r="F63" s="2" t="s">
        <v>347</v>
      </c>
      <c r="G63" s="2">
        <v>2</v>
      </c>
      <c r="H63" s="2">
        <v>0.5</v>
      </c>
      <c r="I63" s="2">
        <v>1</v>
      </c>
      <c r="J63" s="2">
        <v>1</v>
      </c>
      <c r="K63" s="2">
        <v>0</v>
      </c>
      <c r="L63" s="2">
        <v>4</v>
      </c>
      <c r="M63" s="2" t="s">
        <v>208</v>
      </c>
      <c r="N63" s="2">
        <v>2</v>
      </c>
      <c r="O63" s="2">
        <v>3</v>
      </c>
      <c r="P63" s="2">
        <v>0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-1</v>
      </c>
      <c r="W63" s="2">
        <v>-1</v>
      </c>
      <c r="X63" s="2"/>
      <c r="Y63" s="2">
        <v>1</v>
      </c>
      <c r="Z63" s="2">
        <v>1</v>
      </c>
      <c r="AA63" s="2">
        <v>1</v>
      </c>
      <c r="AB63" s="2">
        <v>4</v>
      </c>
      <c r="AC63" s="2">
        <v>2</v>
      </c>
      <c r="AD63" s="2">
        <v>0</v>
      </c>
      <c r="AE63" s="2">
        <v>1</v>
      </c>
      <c r="AF63" s="2">
        <v>-99</v>
      </c>
      <c r="AG63" s="2">
        <v>3</v>
      </c>
      <c r="AH63" s="2">
        <v>3</v>
      </c>
      <c r="AI63" s="2">
        <v>3</v>
      </c>
      <c r="AJ63" s="2">
        <v>3</v>
      </c>
      <c r="AK63" s="2">
        <v>2</v>
      </c>
      <c r="AL63" s="2">
        <v>2</v>
      </c>
      <c r="AM63" s="2">
        <v>2</v>
      </c>
      <c r="AN63" s="2">
        <v>1</v>
      </c>
      <c r="AO63" s="2">
        <v>2</v>
      </c>
      <c r="AP63" s="2">
        <v>1</v>
      </c>
      <c r="AQ63" s="2">
        <v>2</v>
      </c>
      <c r="AR63" s="2">
        <v>2</v>
      </c>
      <c r="AS63" s="2">
        <v>1</v>
      </c>
      <c r="AT63" s="2">
        <v>2</v>
      </c>
      <c r="AU63" s="2">
        <v>3</v>
      </c>
      <c r="AV63" s="2"/>
      <c r="AW63" s="2">
        <v>3</v>
      </c>
      <c r="AX63" s="2">
        <v>1</v>
      </c>
      <c r="AY63" s="2">
        <v>0</v>
      </c>
      <c r="AZ63" s="2">
        <v>4</v>
      </c>
      <c r="BA63" s="2">
        <v>3</v>
      </c>
      <c r="BB63" s="2">
        <v>3</v>
      </c>
      <c r="BC63" s="2">
        <v>4</v>
      </c>
      <c r="BD63" s="2">
        <v>3</v>
      </c>
      <c r="BE63" s="2">
        <v>3</v>
      </c>
      <c r="BF63" s="2">
        <v>2</v>
      </c>
      <c r="BG63" s="2">
        <v>1</v>
      </c>
      <c r="BH63" s="2">
        <v>2</v>
      </c>
      <c r="BI63" s="2"/>
      <c r="BJ63" s="2">
        <v>1</v>
      </c>
      <c r="BK63" s="2">
        <v>0</v>
      </c>
      <c r="BL63" s="2">
        <v>1</v>
      </c>
      <c r="BM63" s="2">
        <v>8</v>
      </c>
      <c r="BN63" s="2">
        <v>8</v>
      </c>
      <c r="BO63" s="2">
        <v>9</v>
      </c>
      <c r="BP63" s="2" t="s">
        <v>390</v>
      </c>
      <c r="BQ63" s="2" t="s">
        <v>391</v>
      </c>
      <c r="BR63" s="2" t="s">
        <v>392</v>
      </c>
      <c r="BS63" s="2" t="s">
        <v>393</v>
      </c>
      <c r="BT63" s="2" t="s">
        <v>394</v>
      </c>
      <c r="BU63" s="2" t="s">
        <v>395</v>
      </c>
      <c r="BV63" s="2" t="s">
        <v>396</v>
      </c>
      <c r="BW63" s="2" t="s">
        <v>397</v>
      </c>
      <c r="BX63" s="2" t="s">
        <v>189</v>
      </c>
      <c r="BY63" s="2" t="s">
        <v>189</v>
      </c>
      <c r="BZ63" s="2" t="s">
        <v>189</v>
      </c>
      <c r="CA63" s="2" t="s">
        <v>189</v>
      </c>
      <c r="CB63" s="2" t="s">
        <v>190</v>
      </c>
      <c r="CC63" s="2" t="s">
        <v>190</v>
      </c>
      <c r="CD63" s="2" t="s">
        <v>189</v>
      </c>
      <c r="CE63" s="2" t="s">
        <v>189</v>
      </c>
      <c r="CF63" s="2" t="s">
        <v>191</v>
      </c>
      <c r="CG63" s="2" t="s">
        <v>190</v>
      </c>
      <c r="CH63" s="2" t="s">
        <v>189</v>
      </c>
      <c r="CI63" s="2" t="s">
        <v>191</v>
      </c>
      <c r="CJ63" s="2" t="s">
        <v>189</v>
      </c>
      <c r="CK63" s="2" t="s">
        <v>189</v>
      </c>
      <c r="CL63" s="2" t="s">
        <v>189</v>
      </c>
      <c r="CM63" s="2" t="s">
        <v>192</v>
      </c>
      <c r="CN63" s="2" t="s">
        <v>192</v>
      </c>
      <c r="CO63" s="2" t="s">
        <v>192</v>
      </c>
      <c r="CP63" s="2" t="s">
        <v>192</v>
      </c>
      <c r="CQ63" s="2" t="s">
        <v>200</v>
      </c>
      <c r="CR63" s="2" t="s">
        <v>192</v>
      </c>
      <c r="CS63" s="2" t="s">
        <v>193</v>
      </c>
      <c r="CT63" s="2" t="s">
        <v>193</v>
      </c>
      <c r="CU63" s="2" t="s">
        <v>193</v>
      </c>
      <c r="CV63" s="2" t="s">
        <v>200</v>
      </c>
      <c r="CW63" s="2" t="s">
        <v>192</v>
      </c>
      <c r="CX63" s="2" t="s">
        <v>193</v>
      </c>
      <c r="CY63" s="2" t="s">
        <v>192</v>
      </c>
      <c r="CZ63" s="2" t="s">
        <v>192</v>
      </c>
      <c r="DA63" s="2" t="s">
        <v>192</v>
      </c>
      <c r="DB63" s="2" t="s">
        <v>192</v>
      </c>
      <c r="DC63" s="2" t="s">
        <v>192</v>
      </c>
      <c r="DD63" s="2" t="s">
        <v>192</v>
      </c>
      <c r="DE63" s="2" t="s">
        <v>192</v>
      </c>
      <c r="DF63" s="2" t="s">
        <v>192</v>
      </c>
      <c r="DG63" s="2" t="s">
        <v>196</v>
      </c>
      <c r="DH63" s="2" t="s">
        <v>194</v>
      </c>
      <c r="DI63" s="2" t="s">
        <v>195</v>
      </c>
      <c r="DJ63" s="2" t="s">
        <v>195</v>
      </c>
      <c r="DK63" s="2" t="s">
        <v>196</v>
      </c>
      <c r="DL63" s="2" t="s">
        <v>195</v>
      </c>
      <c r="DM63" s="2" t="s">
        <v>195</v>
      </c>
      <c r="DN63" s="2" t="s">
        <v>220</v>
      </c>
      <c r="DO63" s="2" t="s">
        <v>220</v>
      </c>
      <c r="DP63" s="2" t="s">
        <v>196</v>
      </c>
      <c r="DQ63" s="2" t="s">
        <v>201</v>
      </c>
      <c r="DR63" s="2" t="s">
        <v>194</v>
      </c>
      <c r="DS63" s="2" t="s">
        <v>197</v>
      </c>
      <c r="DT63" s="2" t="s">
        <v>197</v>
      </c>
      <c r="DU63" s="2" t="s">
        <v>197</v>
      </c>
      <c r="DV63" s="2" t="s">
        <v>197</v>
      </c>
      <c r="DW63" s="2" t="s">
        <v>197</v>
      </c>
      <c r="DX63" s="2" t="s">
        <v>197</v>
      </c>
      <c r="DY63" s="2" t="s">
        <v>197</v>
      </c>
      <c r="DZ63" s="2"/>
      <c r="EA63" s="2">
        <v>1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1</v>
      </c>
      <c r="EI63" s="2">
        <v>0</v>
      </c>
      <c r="EJ63" s="2">
        <v>1</v>
      </c>
      <c r="EK63" s="2">
        <v>0</v>
      </c>
      <c r="EL63" s="2">
        <v>0</v>
      </c>
      <c r="EM63" s="2">
        <v>1</v>
      </c>
      <c r="EN63" s="2">
        <v>1</v>
      </c>
      <c r="EO63" s="2">
        <v>0</v>
      </c>
      <c r="EP63" s="2">
        <v>1</v>
      </c>
      <c r="EQ63" s="2">
        <v>0</v>
      </c>
      <c r="ER63" s="2">
        <v>0</v>
      </c>
      <c r="ES63" s="2">
        <v>1</v>
      </c>
      <c r="ET63" s="2">
        <v>0</v>
      </c>
      <c r="EU63" s="2">
        <v>1</v>
      </c>
      <c r="EV63" s="2">
        <v>1</v>
      </c>
      <c r="EW63" s="2">
        <v>0</v>
      </c>
      <c r="EX63" s="2">
        <v>0</v>
      </c>
      <c r="EY63" s="2">
        <v>1</v>
      </c>
      <c r="EZ63" s="2">
        <v>0</v>
      </c>
      <c r="FA63" s="2">
        <v>0</v>
      </c>
      <c r="FB63" s="2">
        <v>0</v>
      </c>
      <c r="FC63" s="2">
        <v>1</v>
      </c>
      <c r="FD63" s="2">
        <v>0</v>
      </c>
      <c r="FE63" s="2">
        <v>0</v>
      </c>
      <c r="FF63" s="2">
        <v>0</v>
      </c>
      <c r="FG63" s="2">
        <v>1</v>
      </c>
      <c r="FH63" s="2">
        <v>0</v>
      </c>
      <c r="FI63" s="2">
        <v>1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1</v>
      </c>
      <c r="FP63" s="2">
        <v>0</v>
      </c>
      <c r="FQ63" s="2">
        <v>1</v>
      </c>
      <c r="FR63" s="2">
        <v>0</v>
      </c>
      <c r="FS63" s="2">
        <v>1</v>
      </c>
      <c r="FT63" s="2">
        <v>1</v>
      </c>
      <c r="FU63" s="2">
        <v>0</v>
      </c>
      <c r="FV63" s="2">
        <v>1</v>
      </c>
      <c r="FW63" s="2">
        <v>0</v>
      </c>
      <c r="FX63" s="2">
        <v>0</v>
      </c>
      <c r="FY63" s="2">
        <v>1</v>
      </c>
      <c r="FZ63" s="2"/>
      <c r="GA63" s="2">
        <v>2</v>
      </c>
      <c r="GB63" s="2">
        <v>1</v>
      </c>
      <c r="GC63" s="2">
        <v>2</v>
      </c>
      <c r="GD63" s="2">
        <v>1</v>
      </c>
      <c r="GE63" s="2">
        <v>2</v>
      </c>
      <c r="GG63" s="2">
        <v>4</v>
      </c>
      <c r="GH63" s="2">
        <v>3</v>
      </c>
      <c r="GI63" s="2">
        <v>3</v>
      </c>
      <c r="GJ63" s="2">
        <v>4</v>
      </c>
      <c r="GK63" s="2">
        <v>3</v>
      </c>
      <c r="GM63" s="2">
        <f t="shared" si="0"/>
        <v>8</v>
      </c>
      <c r="GN63" s="2">
        <f t="shared" si="1"/>
        <v>17</v>
      </c>
      <c r="GO63" s="2"/>
      <c r="GP63" s="2">
        <v>2</v>
      </c>
      <c r="GQ63" s="2">
        <v>1</v>
      </c>
      <c r="GR63" s="2">
        <v>2</v>
      </c>
      <c r="GS63" s="2">
        <v>3</v>
      </c>
      <c r="GU63" s="2">
        <v>3</v>
      </c>
      <c r="GV63" s="2">
        <v>1</v>
      </c>
      <c r="GW63" s="2">
        <v>0</v>
      </c>
      <c r="GY63" s="2">
        <v>3</v>
      </c>
      <c r="GZ63" s="2">
        <v>2</v>
      </c>
      <c r="HA63" s="2">
        <v>1</v>
      </c>
      <c r="HB63" s="2">
        <v>2</v>
      </c>
      <c r="HD63" s="2">
        <v>1</v>
      </c>
      <c r="HE63" s="2">
        <v>0</v>
      </c>
      <c r="HF63" s="2">
        <v>1</v>
      </c>
      <c r="HH63" s="2">
        <f t="shared" si="2"/>
        <v>12</v>
      </c>
      <c r="HI63" s="2">
        <f t="shared" si="3"/>
        <v>10</v>
      </c>
      <c r="HJ63" s="2"/>
      <c r="HK63" s="2">
        <v>8</v>
      </c>
      <c r="HL63" s="2">
        <v>9</v>
      </c>
      <c r="HM63" s="2"/>
      <c r="HN63" s="2"/>
    </row>
    <row r="64" spans="1:222" ht="15.75" customHeight="1" x14ac:dyDescent="0.2">
      <c r="A64" s="3" t="e">
        <f>VLOOKUP(B64,#REF!,1,FALSE)</f>
        <v>#REF!</v>
      </c>
      <c r="B64" s="3">
        <v>44642.711402581015</v>
      </c>
      <c r="C64" s="2">
        <v>69</v>
      </c>
      <c r="D64" s="2" t="s">
        <v>185</v>
      </c>
      <c r="E64" s="2">
        <v>0</v>
      </c>
      <c r="F64" s="2" t="s">
        <v>186</v>
      </c>
      <c r="G64" s="2">
        <v>15</v>
      </c>
      <c r="H64" s="2">
        <v>2</v>
      </c>
      <c r="I64" s="2">
        <v>1</v>
      </c>
      <c r="J64" s="2">
        <v>3</v>
      </c>
      <c r="K64" s="2">
        <v>1</v>
      </c>
      <c r="L64" s="2">
        <v>5</v>
      </c>
      <c r="M64" s="2" t="s">
        <v>187</v>
      </c>
      <c r="N64" s="2">
        <v>3</v>
      </c>
      <c r="O64" s="2">
        <v>3</v>
      </c>
      <c r="P64" s="2">
        <v>0</v>
      </c>
      <c r="Q64" s="2">
        <v>2</v>
      </c>
      <c r="R64" s="2">
        <v>3</v>
      </c>
      <c r="S64" s="2">
        <v>1</v>
      </c>
      <c r="T64" s="2">
        <v>1</v>
      </c>
      <c r="U64" s="2">
        <v>1</v>
      </c>
      <c r="V64" s="2">
        <v>0</v>
      </c>
      <c r="W64" s="2">
        <v>-1</v>
      </c>
      <c r="X64" s="2"/>
      <c r="Y64" s="2">
        <v>-1</v>
      </c>
      <c r="Z64" s="2">
        <v>0</v>
      </c>
      <c r="AA64" s="2">
        <v>1</v>
      </c>
      <c r="AB64" s="2">
        <v>1</v>
      </c>
      <c r="AC64" s="2">
        <v>4</v>
      </c>
      <c r="AD64" s="2">
        <v>2</v>
      </c>
      <c r="AE64" s="2">
        <v>2</v>
      </c>
      <c r="AF64" s="2">
        <v>4</v>
      </c>
      <c r="AG64" s="2">
        <v>3</v>
      </c>
      <c r="AH64" s="2">
        <v>3</v>
      </c>
      <c r="AI64" s="2">
        <v>2</v>
      </c>
      <c r="AJ64" s="2">
        <v>2</v>
      </c>
      <c r="AK64" s="2">
        <v>2</v>
      </c>
      <c r="AL64" s="2">
        <v>2</v>
      </c>
      <c r="AM64" s="2">
        <v>4</v>
      </c>
      <c r="AN64" s="2">
        <v>4</v>
      </c>
      <c r="AO64" s="2">
        <v>4</v>
      </c>
      <c r="AP64" s="2">
        <v>4</v>
      </c>
      <c r="AQ64" s="2">
        <v>4</v>
      </c>
      <c r="AR64" s="2">
        <v>4</v>
      </c>
      <c r="AS64" s="2">
        <v>0</v>
      </c>
      <c r="AT64" s="2">
        <v>1</v>
      </c>
      <c r="AU64" s="2">
        <v>1</v>
      </c>
      <c r="AV64" s="2"/>
      <c r="AW64" s="2">
        <v>1</v>
      </c>
      <c r="AX64" s="2">
        <v>3</v>
      </c>
      <c r="AY64" s="2">
        <v>3</v>
      </c>
      <c r="AZ64" s="2">
        <v>3</v>
      </c>
      <c r="BA64" s="2">
        <v>3</v>
      </c>
      <c r="BB64" s="2">
        <v>3</v>
      </c>
      <c r="BC64" s="2">
        <v>3</v>
      </c>
      <c r="BD64" s="2">
        <v>3</v>
      </c>
      <c r="BE64" s="2">
        <v>3</v>
      </c>
      <c r="BF64" s="2">
        <v>0</v>
      </c>
      <c r="BG64" s="2">
        <v>2</v>
      </c>
      <c r="BH64" s="2">
        <v>1</v>
      </c>
      <c r="BI64" s="2"/>
      <c r="BJ64" s="2">
        <v>2</v>
      </c>
      <c r="BK64" s="2">
        <v>4</v>
      </c>
      <c r="BL64" s="2">
        <v>3</v>
      </c>
      <c r="BM64" s="2">
        <v>8</v>
      </c>
      <c r="BN64" s="2">
        <v>8</v>
      </c>
      <c r="BO64" s="2">
        <v>7</v>
      </c>
      <c r="BP64" s="2"/>
      <c r="BQ64" s="2"/>
      <c r="BR64" s="2"/>
      <c r="BS64" s="2"/>
      <c r="BT64" s="2"/>
      <c r="BU64" s="2"/>
      <c r="BV64" s="2" t="s">
        <v>398</v>
      </c>
      <c r="BW64" s="2" t="s">
        <v>399</v>
      </c>
      <c r="BX64" s="2" t="s">
        <v>190</v>
      </c>
      <c r="BY64" s="2" t="s">
        <v>190</v>
      </c>
      <c r="BZ64" s="2" t="s">
        <v>190</v>
      </c>
      <c r="CA64" s="2" t="s">
        <v>190</v>
      </c>
      <c r="CB64" s="2" t="s">
        <v>191</v>
      </c>
      <c r="CC64" s="2" t="s">
        <v>188</v>
      </c>
      <c r="CD64" s="2" t="s">
        <v>189</v>
      </c>
      <c r="CE64" s="2" t="s">
        <v>190</v>
      </c>
      <c r="CF64" s="2" t="s">
        <v>188</v>
      </c>
      <c r="CG64" s="2" t="s">
        <v>190</v>
      </c>
      <c r="CH64" s="2" t="s">
        <v>191</v>
      </c>
      <c r="CI64" s="2" t="s">
        <v>189</v>
      </c>
      <c r="CJ64" s="2" t="s">
        <v>189</v>
      </c>
      <c r="CK64" s="2" t="s">
        <v>191</v>
      </c>
      <c r="CL64" s="2" t="s">
        <v>191</v>
      </c>
      <c r="CM64" s="2" t="s">
        <v>193</v>
      </c>
      <c r="CN64" s="2" t="s">
        <v>200</v>
      </c>
      <c r="CO64" s="2" t="s">
        <v>200</v>
      </c>
      <c r="CP64" s="2" t="s">
        <v>200</v>
      </c>
      <c r="CQ64" s="2" t="s">
        <v>200</v>
      </c>
      <c r="CR64" s="2" t="s">
        <v>200</v>
      </c>
      <c r="CS64" s="2" t="s">
        <v>200</v>
      </c>
      <c r="CT64" s="2" t="s">
        <v>193</v>
      </c>
      <c r="CU64" s="2" t="s">
        <v>200</v>
      </c>
      <c r="CV64" s="2" t="s">
        <v>200</v>
      </c>
      <c r="CW64" s="2" t="s">
        <v>200</v>
      </c>
      <c r="CX64" s="2" t="s">
        <v>193</v>
      </c>
      <c r="CY64" s="2" t="s">
        <v>193</v>
      </c>
      <c r="CZ64" s="2" t="s">
        <v>193</v>
      </c>
      <c r="DA64" s="2" t="s">
        <v>200</v>
      </c>
      <c r="DB64" s="2" t="s">
        <v>200</v>
      </c>
      <c r="DC64" s="2" t="s">
        <v>200</v>
      </c>
      <c r="DD64" s="2" t="s">
        <v>192</v>
      </c>
      <c r="DE64" s="2" t="s">
        <v>192</v>
      </c>
      <c r="DF64" s="2" t="s">
        <v>193</v>
      </c>
      <c r="DG64" s="2" t="s">
        <v>195</v>
      </c>
      <c r="DH64" s="2" t="s">
        <v>195</v>
      </c>
      <c r="DI64" s="2" t="s">
        <v>194</v>
      </c>
      <c r="DJ64" s="2" t="s">
        <v>194</v>
      </c>
      <c r="DK64" s="2" t="s">
        <v>196</v>
      </c>
      <c r="DL64" s="2" t="s">
        <v>194</v>
      </c>
      <c r="DM64" s="2" t="s">
        <v>194</v>
      </c>
      <c r="DN64" s="2" t="s">
        <v>196</v>
      </c>
      <c r="DO64" s="2" t="s">
        <v>220</v>
      </c>
      <c r="DP64" s="2" t="s">
        <v>201</v>
      </c>
      <c r="DQ64" s="2" t="s">
        <v>195</v>
      </c>
      <c r="DR64" s="2" t="s">
        <v>195</v>
      </c>
      <c r="DS64" s="2" t="s">
        <v>197</v>
      </c>
      <c r="DT64" s="2" t="s">
        <v>199</v>
      </c>
      <c r="DU64" s="2" t="s">
        <v>199</v>
      </c>
      <c r="DV64" s="2" t="s">
        <v>199</v>
      </c>
      <c r="DW64" s="2" t="s">
        <v>199</v>
      </c>
      <c r="DX64" s="2" t="s">
        <v>222</v>
      </c>
      <c r="DY64" s="2" t="s">
        <v>199</v>
      </c>
      <c r="DZ64" s="2"/>
      <c r="EA64" s="2">
        <v>0</v>
      </c>
      <c r="EB64" s="2">
        <v>1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1</v>
      </c>
      <c r="EJ64" s="2">
        <v>1</v>
      </c>
      <c r="EK64" s="2">
        <v>0</v>
      </c>
      <c r="EL64" s="2">
        <v>0</v>
      </c>
      <c r="EM64" s="2">
        <v>1</v>
      </c>
      <c r="EN64" s="2">
        <v>1</v>
      </c>
      <c r="EO64" s="2">
        <v>1</v>
      </c>
      <c r="EP64" s="2">
        <v>0</v>
      </c>
      <c r="EQ64" s="2">
        <v>0</v>
      </c>
      <c r="ER64" s="2">
        <v>1</v>
      </c>
      <c r="ES64" s="2">
        <v>0</v>
      </c>
      <c r="ET64" s="2">
        <v>1</v>
      </c>
      <c r="EU64" s="2">
        <v>1</v>
      </c>
      <c r="EV64" s="2">
        <v>0</v>
      </c>
      <c r="EW64" s="2">
        <v>0</v>
      </c>
      <c r="EX64" s="2">
        <v>0</v>
      </c>
      <c r="EY64" s="2">
        <v>1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1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1</v>
      </c>
      <c r="FN64" s="2">
        <v>0</v>
      </c>
      <c r="FO64" s="2">
        <v>1</v>
      </c>
      <c r="FP64" s="2">
        <v>0</v>
      </c>
      <c r="FQ64" s="2">
        <v>1</v>
      </c>
      <c r="FR64" s="2">
        <v>0</v>
      </c>
      <c r="FS64" s="2">
        <v>1</v>
      </c>
      <c r="FT64" s="2">
        <v>0</v>
      </c>
      <c r="FU64" s="2">
        <v>1</v>
      </c>
      <c r="FV64" s="2">
        <v>0</v>
      </c>
      <c r="FW64" s="2">
        <v>1</v>
      </c>
      <c r="FX64" s="2">
        <v>0</v>
      </c>
      <c r="FY64" s="2">
        <v>1</v>
      </c>
      <c r="FZ64" s="2"/>
      <c r="GA64" s="2">
        <v>4</v>
      </c>
      <c r="GB64" s="2">
        <v>4</v>
      </c>
      <c r="GC64" s="2">
        <v>4</v>
      </c>
      <c r="GD64" s="2">
        <v>4</v>
      </c>
      <c r="GE64" s="2">
        <v>4</v>
      </c>
      <c r="GG64" s="2">
        <v>3</v>
      </c>
      <c r="GH64" s="2">
        <v>3</v>
      </c>
      <c r="GI64" s="2">
        <v>3</v>
      </c>
      <c r="GJ64" s="2">
        <v>3</v>
      </c>
      <c r="GK64" s="2">
        <v>3</v>
      </c>
      <c r="GM64" s="2">
        <f t="shared" si="0"/>
        <v>20</v>
      </c>
      <c r="GN64" s="2">
        <f t="shared" si="1"/>
        <v>15</v>
      </c>
      <c r="GO64" s="2"/>
      <c r="GP64" s="2">
        <v>4</v>
      </c>
      <c r="GQ64" s="2">
        <v>0</v>
      </c>
      <c r="GR64" s="2">
        <v>1</v>
      </c>
      <c r="GS64" s="2">
        <v>1</v>
      </c>
      <c r="GU64" s="2">
        <v>1</v>
      </c>
      <c r="GV64" s="2">
        <v>3</v>
      </c>
      <c r="GW64" s="2">
        <v>3</v>
      </c>
      <c r="GY64" s="2">
        <v>3</v>
      </c>
      <c r="GZ64" s="2">
        <v>0</v>
      </c>
      <c r="HA64" s="2">
        <v>2</v>
      </c>
      <c r="HB64" s="2">
        <v>1</v>
      </c>
      <c r="HD64" s="2">
        <v>2</v>
      </c>
      <c r="HE64" s="2">
        <v>4</v>
      </c>
      <c r="HF64" s="2">
        <v>3</v>
      </c>
      <c r="HH64" s="2">
        <f t="shared" si="2"/>
        <v>13</v>
      </c>
      <c r="HI64" s="2">
        <f t="shared" si="3"/>
        <v>15</v>
      </c>
      <c r="HJ64" s="2"/>
      <c r="HK64" s="2">
        <v>8</v>
      </c>
      <c r="HL64" s="2">
        <v>7</v>
      </c>
      <c r="HM64" s="2"/>
      <c r="HN64" s="2"/>
    </row>
    <row r="65" spans="1:222" ht="15.75" customHeight="1" x14ac:dyDescent="0.2">
      <c r="A65" s="3" t="e">
        <f>VLOOKUP(B65,#REF!,1,FALSE)</f>
        <v>#REF!</v>
      </c>
      <c r="B65" s="3">
        <v>44642.712874363424</v>
      </c>
      <c r="C65" s="2">
        <v>70</v>
      </c>
      <c r="D65" s="2" t="s">
        <v>185</v>
      </c>
      <c r="E65" s="2">
        <v>0</v>
      </c>
      <c r="F65" s="2" t="s">
        <v>237</v>
      </c>
      <c r="G65" s="2">
        <v>15</v>
      </c>
      <c r="H65" s="2">
        <v>2</v>
      </c>
      <c r="I65" s="2">
        <v>1</v>
      </c>
      <c r="J65" s="2">
        <v>7</v>
      </c>
      <c r="K65" s="2">
        <v>0</v>
      </c>
      <c r="L65" s="2">
        <v>4</v>
      </c>
      <c r="M65" s="2" t="s">
        <v>187</v>
      </c>
      <c r="N65" s="2">
        <v>2</v>
      </c>
      <c r="O65" s="2">
        <v>3</v>
      </c>
      <c r="P65" s="2">
        <v>0</v>
      </c>
      <c r="Q65" s="2">
        <v>0</v>
      </c>
      <c r="R65" s="2">
        <v>3</v>
      </c>
      <c r="S65" s="2">
        <v>1</v>
      </c>
      <c r="T65" s="2">
        <v>-1</v>
      </c>
      <c r="U65" s="2">
        <v>-1</v>
      </c>
      <c r="V65" s="2">
        <v>1</v>
      </c>
      <c r="W65" s="2">
        <v>-1</v>
      </c>
      <c r="X65" s="2"/>
      <c r="Y65" s="2">
        <v>-1</v>
      </c>
      <c r="Z65" s="2">
        <v>1</v>
      </c>
      <c r="AA65" s="2">
        <v>1</v>
      </c>
      <c r="AB65" s="2">
        <v>4</v>
      </c>
      <c r="AC65" s="2">
        <v>2</v>
      </c>
      <c r="AD65" s="2">
        <v>2</v>
      </c>
      <c r="AE65" s="2">
        <v>4</v>
      </c>
      <c r="AF65" s="2">
        <v>4</v>
      </c>
      <c r="AG65" s="2">
        <v>1</v>
      </c>
      <c r="AH65" s="2">
        <v>1</v>
      </c>
      <c r="AI65" s="2">
        <v>1</v>
      </c>
      <c r="AJ65" s="2">
        <v>2</v>
      </c>
      <c r="AK65" s="2">
        <v>1</v>
      </c>
      <c r="AL65" s="2">
        <v>1</v>
      </c>
      <c r="AM65" s="2">
        <v>4</v>
      </c>
      <c r="AN65" s="2">
        <v>3</v>
      </c>
      <c r="AO65" s="2">
        <v>4</v>
      </c>
      <c r="AP65" s="2">
        <v>2</v>
      </c>
      <c r="AQ65" s="2">
        <v>3</v>
      </c>
      <c r="AR65" s="2">
        <v>2</v>
      </c>
      <c r="AS65" s="2">
        <v>0</v>
      </c>
      <c r="AT65" s="2">
        <v>1</v>
      </c>
      <c r="AU65" s="2">
        <v>1</v>
      </c>
      <c r="AV65" s="2"/>
      <c r="AW65" s="2">
        <v>1</v>
      </c>
      <c r="AX65" s="2">
        <v>1</v>
      </c>
      <c r="AY65" s="2">
        <v>1</v>
      </c>
      <c r="AZ65" s="2">
        <v>2</v>
      </c>
      <c r="BA65" s="2">
        <v>3</v>
      </c>
      <c r="BB65" s="2">
        <v>2</v>
      </c>
      <c r="BC65" s="2">
        <v>3</v>
      </c>
      <c r="BD65" s="2">
        <v>2</v>
      </c>
      <c r="BE65" s="2">
        <v>2</v>
      </c>
      <c r="BF65" s="2">
        <v>1</v>
      </c>
      <c r="BG65" s="2">
        <v>2</v>
      </c>
      <c r="BH65" s="2">
        <v>2</v>
      </c>
      <c r="BI65" s="2"/>
      <c r="BJ65" s="2">
        <v>1</v>
      </c>
      <c r="BK65" s="2">
        <v>1</v>
      </c>
      <c r="BL65" s="2">
        <v>0</v>
      </c>
      <c r="BM65" s="2">
        <v>8</v>
      </c>
      <c r="BN65" s="2"/>
      <c r="BO65" s="2">
        <v>7</v>
      </c>
      <c r="BP65" s="2" t="s">
        <v>400</v>
      </c>
      <c r="BQ65" s="2"/>
      <c r="BR65" s="2"/>
      <c r="BS65" s="2" t="s">
        <v>401</v>
      </c>
      <c r="BT65" s="2" t="s">
        <v>224</v>
      </c>
      <c r="BU65" s="2" t="s">
        <v>224</v>
      </c>
      <c r="BV65" s="2" t="s">
        <v>402</v>
      </c>
      <c r="BW65" s="2" t="s">
        <v>403</v>
      </c>
      <c r="BX65" s="2" t="s">
        <v>191</v>
      </c>
      <c r="BY65" s="2" t="s">
        <v>188</v>
      </c>
      <c r="BZ65" s="2" t="s">
        <v>188</v>
      </c>
      <c r="CA65" s="2" t="s">
        <v>191</v>
      </c>
      <c r="CB65" s="2" t="s">
        <v>188</v>
      </c>
      <c r="CC65" s="2" t="s">
        <v>191</v>
      </c>
      <c r="CD65" s="2" t="s">
        <v>190</v>
      </c>
      <c r="CE65" s="2" t="s">
        <v>188</v>
      </c>
      <c r="CF65" s="2" t="s">
        <v>188</v>
      </c>
      <c r="CG65" s="2" t="s">
        <v>188</v>
      </c>
      <c r="CH65" s="2" t="s">
        <v>188</v>
      </c>
      <c r="CI65" s="2" t="s">
        <v>189</v>
      </c>
      <c r="CJ65" s="2" t="s">
        <v>190</v>
      </c>
      <c r="CK65" s="2" t="s">
        <v>190</v>
      </c>
      <c r="CL65" s="2" t="s">
        <v>190</v>
      </c>
      <c r="CM65" s="2" t="s">
        <v>193</v>
      </c>
      <c r="CN65" s="2" t="s">
        <v>193</v>
      </c>
      <c r="CO65" s="2" t="s">
        <v>200</v>
      </c>
      <c r="CP65" s="2" t="s">
        <v>193</v>
      </c>
      <c r="CQ65" s="2" t="s">
        <v>192</v>
      </c>
      <c r="CR65" s="2" t="s">
        <v>193</v>
      </c>
      <c r="CS65" s="2" t="s">
        <v>193</v>
      </c>
      <c r="CT65" s="2" t="s">
        <v>192</v>
      </c>
      <c r="CU65" s="2" t="s">
        <v>192</v>
      </c>
      <c r="CV65" s="2" t="s">
        <v>200</v>
      </c>
      <c r="CW65" s="2" t="s">
        <v>200</v>
      </c>
      <c r="CX65" s="2" t="s">
        <v>200</v>
      </c>
      <c r="CY65" s="2" t="s">
        <v>200</v>
      </c>
      <c r="CZ65" s="2" t="s">
        <v>200</v>
      </c>
      <c r="DA65" s="2" t="s">
        <v>200</v>
      </c>
      <c r="DB65" s="2" t="s">
        <v>193</v>
      </c>
      <c r="DC65" s="2" t="s">
        <v>192</v>
      </c>
      <c r="DD65" s="2" t="s">
        <v>193</v>
      </c>
      <c r="DE65" s="2" t="s">
        <v>192</v>
      </c>
      <c r="DF65" s="2" t="s">
        <v>193</v>
      </c>
      <c r="DG65" s="2" t="s">
        <v>195</v>
      </c>
      <c r="DH65" s="2" t="s">
        <v>195</v>
      </c>
      <c r="DI65" s="2" t="s">
        <v>195</v>
      </c>
      <c r="DJ65" s="2" t="s">
        <v>195</v>
      </c>
      <c r="DK65" s="2" t="s">
        <v>196</v>
      </c>
      <c r="DL65" s="2" t="s">
        <v>195</v>
      </c>
      <c r="DM65" s="2" t="s">
        <v>195</v>
      </c>
      <c r="DN65" s="2" t="s">
        <v>220</v>
      </c>
      <c r="DO65" s="2" t="s">
        <v>220</v>
      </c>
      <c r="DP65" s="2" t="s">
        <v>195</v>
      </c>
      <c r="DQ65" s="2" t="s">
        <v>195</v>
      </c>
      <c r="DR65" s="2" t="s">
        <v>195</v>
      </c>
      <c r="DS65" s="2" t="s">
        <v>197</v>
      </c>
      <c r="DT65" s="2" t="s">
        <v>197</v>
      </c>
      <c r="DU65" s="2" t="s">
        <v>198</v>
      </c>
      <c r="DV65" s="2" t="s">
        <v>198</v>
      </c>
      <c r="DW65" s="2" t="s">
        <v>197</v>
      </c>
      <c r="DX65" s="2" t="s">
        <v>197</v>
      </c>
      <c r="DY65" s="2" t="s">
        <v>197</v>
      </c>
      <c r="DZ65" s="2"/>
      <c r="EA65" s="2">
        <v>1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1</v>
      </c>
      <c r="EI65" s="2">
        <v>1</v>
      </c>
      <c r="EJ65" s="2">
        <v>1</v>
      </c>
      <c r="EK65" s="2">
        <v>1</v>
      </c>
      <c r="EL65" s="2">
        <v>1</v>
      </c>
      <c r="EM65" s="2">
        <v>1</v>
      </c>
      <c r="EN65" s="2">
        <v>1</v>
      </c>
      <c r="EO65" s="2">
        <v>0</v>
      </c>
      <c r="EP65" s="2">
        <v>1</v>
      </c>
      <c r="EQ65" s="2">
        <v>0</v>
      </c>
      <c r="ER65" s="2">
        <v>1</v>
      </c>
      <c r="ES65" s="2">
        <v>0</v>
      </c>
      <c r="ET65" s="2">
        <v>1</v>
      </c>
      <c r="EU65" s="2">
        <v>1</v>
      </c>
      <c r="EV65" s="2">
        <v>1</v>
      </c>
      <c r="EW65" s="2">
        <v>0</v>
      </c>
      <c r="EX65" s="2">
        <v>1</v>
      </c>
      <c r="EY65" s="2">
        <v>1</v>
      </c>
      <c r="EZ65" s="2">
        <v>1</v>
      </c>
      <c r="FA65" s="2">
        <v>0</v>
      </c>
      <c r="FB65" s="2">
        <v>1</v>
      </c>
      <c r="FC65" s="2">
        <v>1</v>
      </c>
      <c r="FD65" s="2">
        <v>0</v>
      </c>
      <c r="FE65" s="2">
        <v>0</v>
      </c>
      <c r="FF65" s="2">
        <v>1</v>
      </c>
      <c r="FG65" s="2">
        <v>0</v>
      </c>
      <c r="FH65" s="2">
        <v>1</v>
      </c>
      <c r="FI65" s="2">
        <v>1</v>
      </c>
      <c r="FJ65" s="2">
        <v>1</v>
      </c>
      <c r="FK65" s="2">
        <v>0</v>
      </c>
      <c r="FL65" s="2">
        <v>1</v>
      </c>
      <c r="FM65" s="2">
        <v>1</v>
      </c>
      <c r="FN65" s="2">
        <v>1</v>
      </c>
      <c r="FO65" s="2">
        <v>1</v>
      </c>
      <c r="FP65" s="2">
        <v>1</v>
      </c>
      <c r="FQ65" s="2">
        <v>1</v>
      </c>
      <c r="FR65" s="2">
        <v>1</v>
      </c>
      <c r="FS65" s="2">
        <v>1</v>
      </c>
      <c r="FT65" s="2">
        <v>1</v>
      </c>
      <c r="FU65" s="2">
        <v>0</v>
      </c>
      <c r="FV65" s="2">
        <v>1</v>
      </c>
      <c r="FW65" s="2">
        <v>0</v>
      </c>
      <c r="FX65" s="2">
        <v>1</v>
      </c>
      <c r="FY65" s="2">
        <v>0</v>
      </c>
      <c r="FZ65" s="2"/>
      <c r="GA65" s="2">
        <v>4</v>
      </c>
      <c r="GB65" s="2">
        <v>3</v>
      </c>
      <c r="GC65" s="2">
        <v>4</v>
      </c>
      <c r="GD65" s="2">
        <v>2</v>
      </c>
      <c r="GE65" s="2">
        <v>3</v>
      </c>
      <c r="GG65" s="2">
        <v>2</v>
      </c>
      <c r="GH65" s="2">
        <v>3</v>
      </c>
      <c r="GI65" s="2">
        <v>2</v>
      </c>
      <c r="GJ65" s="2">
        <v>3</v>
      </c>
      <c r="GK65" s="2">
        <v>2</v>
      </c>
      <c r="GM65" s="2">
        <f t="shared" si="0"/>
        <v>16</v>
      </c>
      <c r="GN65" s="2">
        <f t="shared" si="1"/>
        <v>12</v>
      </c>
      <c r="GO65" s="2"/>
      <c r="GP65" s="2">
        <v>2</v>
      </c>
      <c r="GQ65" s="2">
        <v>0</v>
      </c>
      <c r="GR65" s="2">
        <v>1</v>
      </c>
      <c r="GS65" s="2">
        <v>1</v>
      </c>
      <c r="GU65" s="2">
        <v>1</v>
      </c>
      <c r="GV65" s="2">
        <v>1</v>
      </c>
      <c r="GW65" s="2">
        <v>1</v>
      </c>
      <c r="GY65" s="2">
        <v>2</v>
      </c>
      <c r="GZ65" s="2">
        <v>1</v>
      </c>
      <c r="HA65" s="2">
        <v>2</v>
      </c>
      <c r="HB65" s="2">
        <v>2</v>
      </c>
      <c r="HD65" s="2">
        <v>1</v>
      </c>
      <c r="HE65" s="2">
        <v>1</v>
      </c>
      <c r="HF65" s="2">
        <v>0</v>
      </c>
      <c r="HH65" s="2">
        <f t="shared" si="2"/>
        <v>7</v>
      </c>
      <c r="HI65" s="2">
        <f t="shared" si="3"/>
        <v>9</v>
      </c>
      <c r="HJ65" s="2"/>
      <c r="HK65" s="2">
        <v>0</v>
      </c>
      <c r="HL65" s="2">
        <v>7</v>
      </c>
      <c r="HM65" s="2"/>
      <c r="HN65" s="2"/>
    </row>
    <row r="66" spans="1:222" ht="15.75" customHeight="1" x14ac:dyDescent="0.2">
      <c r="A66" s="3" t="e">
        <f>VLOOKUP(B66,#REF!,1,FALSE)</f>
        <v>#REF!</v>
      </c>
      <c r="B66" s="3">
        <v>44642.720932094904</v>
      </c>
      <c r="C66" s="2">
        <v>71</v>
      </c>
      <c r="D66" s="2" t="s">
        <v>185</v>
      </c>
      <c r="E66" s="2">
        <v>0</v>
      </c>
      <c r="F66" s="2" t="s">
        <v>186</v>
      </c>
      <c r="G66" s="2">
        <v>2</v>
      </c>
      <c r="H66" s="2">
        <v>2</v>
      </c>
      <c r="I66" s="2">
        <v>1</v>
      </c>
      <c r="J66" s="2">
        <v>3</v>
      </c>
      <c r="K66" s="2">
        <v>0</v>
      </c>
      <c r="L66" s="2">
        <v>3</v>
      </c>
      <c r="M66" s="2" t="s">
        <v>213</v>
      </c>
      <c r="N66" s="2">
        <v>2</v>
      </c>
      <c r="O66" s="2">
        <v>3</v>
      </c>
      <c r="P66" s="2">
        <v>0</v>
      </c>
      <c r="Q66" s="2">
        <v>0</v>
      </c>
      <c r="R66" s="2">
        <v>3</v>
      </c>
      <c r="S66" s="2">
        <v>0</v>
      </c>
      <c r="T66" s="2">
        <v>1</v>
      </c>
      <c r="U66" s="2">
        <v>1</v>
      </c>
      <c r="V66" s="2">
        <v>0</v>
      </c>
      <c r="W66" s="2">
        <v>1</v>
      </c>
      <c r="X66" s="2"/>
      <c r="Y66" s="2">
        <v>1</v>
      </c>
      <c r="Z66" s="2">
        <v>0</v>
      </c>
      <c r="AA66" s="2">
        <v>1</v>
      </c>
      <c r="AB66" s="2">
        <v>4</v>
      </c>
      <c r="AC66" s="2">
        <v>2</v>
      </c>
      <c r="AD66" s="2">
        <v>2</v>
      </c>
      <c r="AE66" s="2">
        <v>4</v>
      </c>
      <c r="AF66" s="2">
        <v>4</v>
      </c>
      <c r="AG66" s="2">
        <v>2</v>
      </c>
      <c r="AH66" s="2">
        <v>2</v>
      </c>
      <c r="AI66" s="2">
        <v>-1</v>
      </c>
      <c r="AJ66" s="2">
        <v>1</v>
      </c>
      <c r="AK66" s="2">
        <v>-1</v>
      </c>
      <c r="AL66" s="2">
        <v>1</v>
      </c>
      <c r="AM66" s="2">
        <v>4</v>
      </c>
      <c r="AN66" s="2">
        <v>4</v>
      </c>
      <c r="AO66" s="2">
        <v>4</v>
      </c>
      <c r="AP66" s="2">
        <v>4</v>
      </c>
      <c r="AQ66" s="2">
        <v>4</v>
      </c>
      <c r="AR66" s="2">
        <v>2</v>
      </c>
      <c r="AS66" s="2">
        <v>2</v>
      </c>
      <c r="AT66" s="2">
        <v>1</v>
      </c>
      <c r="AU66" s="2">
        <v>1</v>
      </c>
      <c r="AV66" s="2"/>
      <c r="AW66" s="2">
        <v>1</v>
      </c>
      <c r="AX66" s="2">
        <v>2</v>
      </c>
      <c r="AY66" s="2">
        <v>0</v>
      </c>
      <c r="AZ66" s="2">
        <v>2</v>
      </c>
      <c r="BA66" s="2">
        <v>3</v>
      </c>
      <c r="BB66" s="2">
        <v>2</v>
      </c>
      <c r="BC66" s="2">
        <v>4</v>
      </c>
      <c r="BD66" s="2">
        <v>2</v>
      </c>
      <c r="BE66" s="2">
        <v>2</v>
      </c>
      <c r="BF66" s="2">
        <v>2</v>
      </c>
      <c r="BG66" s="2">
        <v>1</v>
      </c>
      <c r="BH66" s="2">
        <v>1</v>
      </c>
      <c r="BI66" s="2"/>
      <c r="BJ66" s="2">
        <v>1</v>
      </c>
      <c r="BK66" s="2">
        <v>2</v>
      </c>
      <c r="BL66" s="2">
        <v>0</v>
      </c>
      <c r="BM66" s="2">
        <v>6</v>
      </c>
      <c r="BN66" s="2">
        <v>6</v>
      </c>
      <c r="BO66" s="2">
        <v>6</v>
      </c>
      <c r="BP66" s="2" t="s">
        <v>224</v>
      </c>
      <c r="BQ66" s="2"/>
      <c r="BR66" s="2" t="s">
        <v>404</v>
      </c>
      <c r="BS66" s="2" t="s">
        <v>224</v>
      </c>
      <c r="BT66" s="2" t="s">
        <v>224</v>
      </c>
      <c r="BU66" s="2" t="s">
        <v>224</v>
      </c>
      <c r="BV66" s="2" t="s">
        <v>405</v>
      </c>
      <c r="BW66" s="2" t="s">
        <v>406</v>
      </c>
      <c r="BX66" s="2" t="s">
        <v>191</v>
      </c>
      <c r="BY66" s="2" t="s">
        <v>190</v>
      </c>
      <c r="BZ66" s="2" t="s">
        <v>190</v>
      </c>
      <c r="CA66" s="2" t="s">
        <v>191</v>
      </c>
      <c r="CB66" s="2" t="s">
        <v>188</v>
      </c>
      <c r="CC66" s="2" t="s">
        <v>191</v>
      </c>
      <c r="CD66" s="2" t="s">
        <v>189</v>
      </c>
      <c r="CE66" s="2" t="s">
        <v>191</v>
      </c>
      <c r="CF66" s="2" t="s">
        <v>191</v>
      </c>
      <c r="CG66" s="2" t="s">
        <v>191</v>
      </c>
      <c r="CH66" s="2" t="s">
        <v>191</v>
      </c>
      <c r="CI66" s="2" t="s">
        <v>189</v>
      </c>
      <c r="CJ66" s="2" t="s">
        <v>189</v>
      </c>
      <c r="CK66" s="2" t="s">
        <v>191</v>
      </c>
      <c r="CL66" s="2" t="s">
        <v>191</v>
      </c>
      <c r="CM66" s="2" t="s">
        <v>193</v>
      </c>
      <c r="CN66" s="2" t="s">
        <v>192</v>
      </c>
      <c r="CO66" s="2" t="s">
        <v>193</v>
      </c>
      <c r="CP66" s="2" t="s">
        <v>192</v>
      </c>
      <c r="CQ66" s="2" t="s">
        <v>200</v>
      </c>
      <c r="CR66" s="2" t="s">
        <v>193</v>
      </c>
      <c r="CS66" s="2" t="s">
        <v>200</v>
      </c>
      <c r="CT66" s="2" t="s">
        <v>193</v>
      </c>
      <c r="CU66" s="2" t="s">
        <v>193</v>
      </c>
      <c r="CV66" s="2" t="s">
        <v>192</v>
      </c>
      <c r="CW66" s="2" t="s">
        <v>192</v>
      </c>
      <c r="CX66" s="2" t="s">
        <v>200</v>
      </c>
      <c r="CY66" s="2" t="s">
        <v>192</v>
      </c>
      <c r="CZ66" s="2" t="s">
        <v>192</v>
      </c>
      <c r="DA66" s="2" t="s">
        <v>193</v>
      </c>
      <c r="DB66" s="2" t="s">
        <v>192</v>
      </c>
      <c r="DC66" s="2" t="s">
        <v>192</v>
      </c>
      <c r="DD66" s="2" t="s">
        <v>192</v>
      </c>
      <c r="DE66" s="2" t="s">
        <v>192</v>
      </c>
      <c r="DF66" s="2" t="s">
        <v>193</v>
      </c>
      <c r="DG66" s="2" t="s">
        <v>195</v>
      </c>
      <c r="DH66" s="2" t="s">
        <v>201</v>
      </c>
      <c r="DI66" s="2" t="s">
        <v>195</v>
      </c>
      <c r="DJ66" s="2" t="s">
        <v>195</v>
      </c>
      <c r="DK66" s="2" t="s">
        <v>194</v>
      </c>
      <c r="DL66" s="2" t="s">
        <v>195</v>
      </c>
      <c r="DM66" s="2" t="s">
        <v>195</v>
      </c>
      <c r="DN66" s="2" t="s">
        <v>194</v>
      </c>
      <c r="DO66" s="2" t="s">
        <v>194</v>
      </c>
      <c r="DP66" s="2" t="s">
        <v>195</v>
      </c>
      <c r="DQ66" s="2" t="s">
        <v>201</v>
      </c>
      <c r="DR66" s="2" t="s">
        <v>194</v>
      </c>
      <c r="DS66" s="2" t="s">
        <v>197</v>
      </c>
      <c r="DT66" s="2" t="s">
        <v>197</v>
      </c>
      <c r="DU66" s="2" t="s">
        <v>197</v>
      </c>
      <c r="DV66" s="2" t="s">
        <v>197</v>
      </c>
      <c r="DW66" s="2" t="s">
        <v>197</v>
      </c>
      <c r="DX66" s="2" t="s">
        <v>199</v>
      </c>
      <c r="DY66" s="2" t="s">
        <v>198</v>
      </c>
      <c r="DZ66" s="2"/>
      <c r="EA66" s="2">
        <v>1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1</v>
      </c>
      <c r="EJ66" s="2">
        <v>1</v>
      </c>
      <c r="EK66" s="2">
        <v>0</v>
      </c>
      <c r="EL66" s="2">
        <v>0</v>
      </c>
      <c r="EM66" s="2">
        <v>1</v>
      </c>
      <c r="EN66" s="2">
        <v>1</v>
      </c>
      <c r="EO66" s="2">
        <v>0</v>
      </c>
      <c r="EP66" s="2">
        <v>0</v>
      </c>
      <c r="EQ66" s="2">
        <v>1</v>
      </c>
      <c r="ER66" s="2">
        <v>0</v>
      </c>
      <c r="ES66" s="2">
        <v>1</v>
      </c>
      <c r="ET66" s="2">
        <v>0</v>
      </c>
      <c r="EU66" s="2">
        <v>1</v>
      </c>
      <c r="EV66" s="2">
        <v>0</v>
      </c>
      <c r="EW66" s="2">
        <v>1</v>
      </c>
      <c r="EX66" s="2">
        <v>0</v>
      </c>
      <c r="EY66" s="2">
        <v>1</v>
      </c>
      <c r="EZ66" s="2">
        <v>1</v>
      </c>
      <c r="FA66" s="2">
        <v>0</v>
      </c>
      <c r="FB66" s="2">
        <v>0</v>
      </c>
      <c r="FC66" s="2">
        <v>1</v>
      </c>
      <c r="FD66" s="2">
        <v>0</v>
      </c>
      <c r="FE66" s="2">
        <v>0</v>
      </c>
      <c r="FF66" s="2">
        <v>1</v>
      </c>
      <c r="FG66" s="2">
        <v>0</v>
      </c>
      <c r="FH66" s="2">
        <v>1</v>
      </c>
      <c r="FI66" s="2">
        <v>0</v>
      </c>
      <c r="FJ66" s="2">
        <v>1</v>
      </c>
      <c r="FK66" s="2">
        <v>0</v>
      </c>
      <c r="FL66" s="2">
        <v>1</v>
      </c>
      <c r="FM66" s="2">
        <v>0</v>
      </c>
      <c r="FN66" s="2">
        <v>0</v>
      </c>
      <c r="FO66" s="2">
        <v>1</v>
      </c>
      <c r="FP66" s="2">
        <v>1</v>
      </c>
      <c r="FQ66" s="2">
        <v>0</v>
      </c>
      <c r="FR66" s="2">
        <v>0</v>
      </c>
      <c r="FS66" s="2">
        <v>1</v>
      </c>
      <c r="FT66" s="2">
        <v>0</v>
      </c>
      <c r="FU66" s="2">
        <v>1</v>
      </c>
      <c r="FV66" s="2">
        <v>0</v>
      </c>
      <c r="FW66" s="2">
        <v>1</v>
      </c>
      <c r="FX66" s="2">
        <v>0</v>
      </c>
      <c r="FY66" s="2">
        <v>1</v>
      </c>
      <c r="FZ66" s="2"/>
      <c r="GA66" s="2">
        <v>4</v>
      </c>
      <c r="GB66" s="2">
        <v>4</v>
      </c>
      <c r="GC66" s="2">
        <v>4</v>
      </c>
      <c r="GD66" s="2">
        <v>4</v>
      </c>
      <c r="GE66" s="2">
        <v>4</v>
      </c>
      <c r="GG66" s="2">
        <v>2</v>
      </c>
      <c r="GH66" s="2">
        <v>3</v>
      </c>
      <c r="GI66" s="2">
        <v>2</v>
      </c>
      <c r="GJ66" s="2">
        <v>4</v>
      </c>
      <c r="GK66" s="2">
        <v>2</v>
      </c>
      <c r="GM66" s="2">
        <f t="shared" si="0"/>
        <v>20</v>
      </c>
      <c r="GN66" s="2">
        <f t="shared" si="1"/>
        <v>13</v>
      </c>
      <c r="GO66" s="2"/>
      <c r="GP66" s="2">
        <v>2</v>
      </c>
      <c r="GQ66" s="2">
        <v>2</v>
      </c>
      <c r="GR66" s="2">
        <v>1</v>
      </c>
      <c r="GS66" s="2">
        <v>1</v>
      </c>
      <c r="GU66" s="2">
        <v>1</v>
      </c>
      <c r="GV66" s="2">
        <v>2</v>
      </c>
      <c r="GW66" s="2">
        <v>0</v>
      </c>
      <c r="GY66" s="2">
        <v>2</v>
      </c>
      <c r="GZ66" s="2">
        <v>2</v>
      </c>
      <c r="HA66" s="2">
        <v>1</v>
      </c>
      <c r="HB66" s="2">
        <v>1</v>
      </c>
      <c r="HD66" s="2">
        <v>1</v>
      </c>
      <c r="HE66" s="2">
        <v>2</v>
      </c>
      <c r="HF66" s="2">
        <v>0</v>
      </c>
      <c r="HH66" s="2">
        <f t="shared" si="2"/>
        <v>9</v>
      </c>
      <c r="HI66" s="2">
        <f t="shared" si="3"/>
        <v>9</v>
      </c>
      <c r="HJ66" s="2"/>
      <c r="HK66" s="2">
        <v>6</v>
      </c>
      <c r="HL66" s="2">
        <v>6</v>
      </c>
      <c r="HM66" s="2"/>
      <c r="HN66" s="2"/>
    </row>
    <row r="67" spans="1:222" ht="15.75" customHeight="1" x14ac:dyDescent="0.2">
      <c r="A67" s="3" t="e">
        <f>VLOOKUP(B67,#REF!,1,FALSE)</f>
        <v>#REF!</v>
      </c>
      <c r="B67" s="3">
        <v>44642.730218518518</v>
      </c>
      <c r="C67" s="2">
        <v>72</v>
      </c>
      <c r="D67" s="2" t="s">
        <v>185</v>
      </c>
      <c r="E67" s="2">
        <v>0</v>
      </c>
      <c r="F67" s="2" t="s">
        <v>186</v>
      </c>
      <c r="G67" s="2">
        <v>2</v>
      </c>
      <c r="H67" s="2">
        <v>2</v>
      </c>
      <c r="I67" s="2">
        <v>1</v>
      </c>
      <c r="J67" s="2">
        <v>4</v>
      </c>
      <c r="K67" s="2">
        <v>0</v>
      </c>
      <c r="L67" s="2">
        <v>3</v>
      </c>
      <c r="M67" s="2" t="s">
        <v>187</v>
      </c>
      <c r="N67" s="2">
        <v>2</v>
      </c>
      <c r="O67" s="2">
        <v>4</v>
      </c>
      <c r="P67" s="2">
        <v>0</v>
      </c>
      <c r="Q67" s="2" t="s">
        <v>277</v>
      </c>
      <c r="R67" s="2">
        <v>2</v>
      </c>
      <c r="S67" s="2">
        <v>0</v>
      </c>
      <c r="T67" s="2">
        <v>-1</v>
      </c>
      <c r="U67" s="2">
        <v>0</v>
      </c>
      <c r="V67" s="2">
        <v>0</v>
      </c>
      <c r="W67" s="2">
        <v>0</v>
      </c>
      <c r="X67" s="2"/>
      <c r="Y67" s="2">
        <v>-1</v>
      </c>
      <c r="Z67" s="2">
        <v>1</v>
      </c>
      <c r="AA67" s="2">
        <v>1</v>
      </c>
      <c r="AB67" s="2">
        <v>4</v>
      </c>
      <c r="AC67" s="2">
        <v>1</v>
      </c>
      <c r="AD67" s="2">
        <v>0</v>
      </c>
      <c r="AE67" s="2">
        <v>1</v>
      </c>
      <c r="AF67" s="2">
        <v>4</v>
      </c>
      <c r="AG67" s="2">
        <v>1</v>
      </c>
      <c r="AH67" s="2">
        <v>2</v>
      </c>
      <c r="AI67" s="2">
        <v>-2</v>
      </c>
      <c r="AJ67" s="2">
        <v>1</v>
      </c>
      <c r="AK67" s="2">
        <v>1</v>
      </c>
      <c r="AL67" s="2">
        <v>-1</v>
      </c>
      <c r="AM67" s="2">
        <v>3</v>
      </c>
      <c r="AN67" s="2">
        <v>2</v>
      </c>
      <c r="AO67" s="2">
        <v>3</v>
      </c>
      <c r="AP67" s="2">
        <v>3</v>
      </c>
      <c r="AQ67" s="2">
        <v>3</v>
      </c>
      <c r="AR67" s="2">
        <v>1</v>
      </c>
      <c r="AS67" s="2">
        <v>1</v>
      </c>
      <c r="AT67" s="2">
        <v>1</v>
      </c>
      <c r="AU67" s="2">
        <v>1</v>
      </c>
      <c r="AV67" s="2"/>
      <c r="AW67" s="2">
        <v>3</v>
      </c>
      <c r="AX67" s="2">
        <v>3</v>
      </c>
      <c r="AY67" s="2">
        <v>0</v>
      </c>
      <c r="AZ67" s="2">
        <v>3</v>
      </c>
      <c r="BA67" s="2">
        <v>3</v>
      </c>
      <c r="BB67" s="2">
        <v>1</v>
      </c>
      <c r="BC67" s="2">
        <v>3</v>
      </c>
      <c r="BD67" s="2">
        <v>1</v>
      </c>
      <c r="BE67" s="2">
        <v>2</v>
      </c>
      <c r="BF67" s="2">
        <v>2</v>
      </c>
      <c r="BG67" s="2">
        <v>3</v>
      </c>
      <c r="BH67" s="2">
        <v>2</v>
      </c>
      <c r="BI67" s="2"/>
      <c r="BJ67" s="2">
        <v>2</v>
      </c>
      <c r="BK67" s="2">
        <v>2</v>
      </c>
      <c r="BL67" s="2">
        <v>0</v>
      </c>
      <c r="BM67" s="2">
        <v>5</v>
      </c>
      <c r="BN67" s="2">
        <v>5</v>
      </c>
      <c r="BO67" s="2">
        <v>4</v>
      </c>
      <c r="BP67" s="2" t="s">
        <v>407</v>
      </c>
      <c r="BQ67" s="2"/>
      <c r="BR67" s="2"/>
      <c r="BS67" s="2"/>
      <c r="BT67" s="2"/>
      <c r="BU67" s="2"/>
      <c r="BV67" s="2" t="s">
        <v>408</v>
      </c>
      <c r="BW67" s="2" t="s">
        <v>409</v>
      </c>
      <c r="BX67" s="2" t="s">
        <v>188</v>
      </c>
      <c r="BY67" s="2" t="s">
        <v>191</v>
      </c>
      <c r="BZ67" s="2" t="s">
        <v>188</v>
      </c>
      <c r="CA67" s="2" t="s">
        <v>188</v>
      </c>
      <c r="CB67" s="2" t="s">
        <v>188</v>
      </c>
      <c r="CC67" s="2" t="s">
        <v>188</v>
      </c>
      <c r="CD67" s="2" t="s">
        <v>189</v>
      </c>
      <c r="CE67" s="2" t="s">
        <v>190</v>
      </c>
      <c r="CF67" s="2" t="s">
        <v>190</v>
      </c>
      <c r="CG67" s="2" t="s">
        <v>191</v>
      </c>
      <c r="CH67" s="2" t="s">
        <v>188</v>
      </c>
      <c r="CI67" s="2" t="s">
        <v>190</v>
      </c>
      <c r="CJ67" s="2" t="s">
        <v>189</v>
      </c>
      <c r="CK67" s="2" t="s">
        <v>189</v>
      </c>
      <c r="CL67" s="2" t="s">
        <v>191</v>
      </c>
      <c r="CM67" s="2" t="s">
        <v>192</v>
      </c>
      <c r="CN67" s="2" t="s">
        <v>200</v>
      </c>
      <c r="CO67" s="2" t="s">
        <v>192</v>
      </c>
      <c r="CP67" s="2" t="s">
        <v>193</v>
      </c>
      <c r="CQ67" s="2" t="s">
        <v>200</v>
      </c>
      <c r="CR67" s="2" t="s">
        <v>200</v>
      </c>
      <c r="CS67" s="2" t="s">
        <v>200</v>
      </c>
      <c r="CT67" s="2" t="s">
        <v>193</v>
      </c>
      <c r="CU67" s="2" t="s">
        <v>192</v>
      </c>
      <c r="CV67" s="2" t="s">
        <v>193</v>
      </c>
      <c r="CW67" s="2" t="s">
        <v>192</v>
      </c>
      <c r="CX67" s="2" t="s">
        <v>200</v>
      </c>
      <c r="CY67" s="2" t="s">
        <v>192</v>
      </c>
      <c r="CZ67" s="2" t="s">
        <v>193</v>
      </c>
      <c r="DA67" s="2" t="s">
        <v>200</v>
      </c>
      <c r="DB67" s="2" t="s">
        <v>192</v>
      </c>
      <c r="DC67" s="2"/>
      <c r="DD67" s="2" t="s">
        <v>200</v>
      </c>
      <c r="DE67" s="2" t="s">
        <v>200</v>
      </c>
      <c r="DF67" s="2"/>
      <c r="DG67" s="2" t="s">
        <v>195</v>
      </c>
      <c r="DH67" s="2" t="s">
        <v>195</v>
      </c>
      <c r="DI67" s="2" t="s">
        <v>195</v>
      </c>
      <c r="DJ67" s="2" t="s">
        <v>194</v>
      </c>
      <c r="DK67" s="2" t="s">
        <v>194</v>
      </c>
      <c r="DL67" s="2" t="s">
        <v>194</v>
      </c>
      <c r="DM67" s="2" t="s">
        <v>194</v>
      </c>
      <c r="DN67" s="2" t="s">
        <v>196</v>
      </c>
      <c r="DO67" s="2" t="s">
        <v>194</v>
      </c>
      <c r="DP67" s="2" t="s">
        <v>194</v>
      </c>
      <c r="DQ67" s="2" t="s">
        <v>195</v>
      </c>
      <c r="DR67" s="2" t="s">
        <v>201</v>
      </c>
      <c r="DS67" s="2" t="s">
        <v>197</v>
      </c>
      <c r="DT67" s="2" t="s">
        <v>197</v>
      </c>
      <c r="DU67" s="2" t="s">
        <v>198</v>
      </c>
      <c r="DV67" s="2" t="s">
        <v>198</v>
      </c>
      <c r="DW67" s="2" t="s">
        <v>197</v>
      </c>
      <c r="DX67" s="2" t="s">
        <v>198</v>
      </c>
      <c r="DY67" s="2" t="s">
        <v>197</v>
      </c>
      <c r="DZ67" s="2"/>
      <c r="EA67" s="2">
        <v>0</v>
      </c>
      <c r="EB67" s="2">
        <v>1</v>
      </c>
      <c r="EC67" s="2">
        <v>1</v>
      </c>
      <c r="ED67" s="2">
        <v>0</v>
      </c>
      <c r="EE67" s="2">
        <v>0</v>
      </c>
      <c r="EF67" s="2">
        <v>0</v>
      </c>
      <c r="EG67" s="2">
        <v>0</v>
      </c>
      <c r="EH67" s="2">
        <v>1</v>
      </c>
      <c r="EI67" s="2">
        <v>0</v>
      </c>
      <c r="EJ67" s="2">
        <v>1</v>
      </c>
      <c r="EK67" s="2">
        <v>0</v>
      </c>
      <c r="EL67" s="2">
        <v>1</v>
      </c>
      <c r="EM67" s="2">
        <v>0</v>
      </c>
      <c r="EN67" s="2">
        <v>1</v>
      </c>
      <c r="EO67" s="2">
        <v>0</v>
      </c>
      <c r="EP67" s="2">
        <v>1</v>
      </c>
      <c r="EQ67" s="2">
        <v>0</v>
      </c>
      <c r="ER67" s="2">
        <v>1</v>
      </c>
      <c r="ES67" s="2">
        <v>0</v>
      </c>
      <c r="ET67" s="2">
        <v>0</v>
      </c>
      <c r="EU67" s="2">
        <v>1</v>
      </c>
      <c r="EV67" s="2">
        <v>1</v>
      </c>
      <c r="EW67" s="2">
        <v>0</v>
      </c>
      <c r="EX67" s="2">
        <v>0</v>
      </c>
      <c r="EY67" s="2">
        <v>1</v>
      </c>
      <c r="EZ67" s="2">
        <v>0</v>
      </c>
      <c r="FA67" s="2">
        <v>0</v>
      </c>
      <c r="FB67" s="2">
        <v>1</v>
      </c>
      <c r="FC67" s="2">
        <v>0</v>
      </c>
      <c r="FD67" s="2">
        <v>0</v>
      </c>
      <c r="FE67" s="2">
        <v>0</v>
      </c>
      <c r="FF67" s="2">
        <v>1</v>
      </c>
      <c r="FG67" s="2">
        <v>0</v>
      </c>
      <c r="FH67" s="2">
        <v>1</v>
      </c>
      <c r="FI67" s="2">
        <v>0</v>
      </c>
      <c r="FJ67" s="2">
        <v>0</v>
      </c>
      <c r="FK67" s="2">
        <v>0</v>
      </c>
      <c r="FL67" s="2">
        <v>1</v>
      </c>
      <c r="FM67" s="2">
        <v>0</v>
      </c>
      <c r="FN67" s="2">
        <v>1</v>
      </c>
      <c r="FO67" s="2">
        <v>0</v>
      </c>
      <c r="FP67" s="2">
        <v>0</v>
      </c>
      <c r="FQ67" s="2">
        <v>1</v>
      </c>
      <c r="FR67" s="2">
        <v>0</v>
      </c>
      <c r="FS67" s="2">
        <v>1</v>
      </c>
      <c r="FT67" s="2">
        <v>0</v>
      </c>
      <c r="FU67" s="2">
        <v>1</v>
      </c>
      <c r="FV67" s="2">
        <v>0</v>
      </c>
      <c r="FW67" s="2">
        <v>0</v>
      </c>
      <c r="FX67" s="2">
        <v>0</v>
      </c>
      <c r="FY67" s="2">
        <v>1</v>
      </c>
      <c r="FZ67" s="2"/>
      <c r="GA67" s="2">
        <v>3</v>
      </c>
      <c r="GB67" s="2">
        <v>2</v>
      </c>
      <c r="GC67" s="2">
        <v>3</v>
      </c>
      <c r="GD67" s="2">
        <v>3</v>
      </c>
      <c r="GE67" s="2">
        <v>3</v>
      </c>
      <c r="GG67" s="2">
        <v>3</v>
      </c>
      <c r="GH67" s="2">
        <v>3</v>
      </c>
      <c r="GI67" s="2">
        <v>1</v>
      </c>
      <c r="GJ67" s="2">
        <v>3</v>
      </c>
      <c r="GK67" s="2">
        <v>1</v>
      </c>
      <c r="GM67" s="2">
        <f t="shared" si="0"/>
        <v>14</v>
      </c>
      <c r="GN67" s="2">
        <f t="shared" si="1"/>
        <v>11</v>
      </c>
      <c r="GO67" s="2"/>
      <c r="GP67" s="2">
        <v>1</v>
      </c>
      <c r="GQ67" s="2">
        <v>1</v>
      </c>
      <c r="GR67" s="2">
        <v>1</v>
      </c>
      <c r="GS67" s="2">
        <v>1</v>
      </c>
      <c r="GU67" s="2">
        <v>3</v>
      </c>
      <c r="GV67" s="2">
        <v>3</v>
      </c>
      <c r="GW67" s="2">
        <v>0</v>
      </c>
      <c r="GY67" s="2">
        <v>2</v>
      </c>
      <c r="GZ67" s="2">
        <v>2</v>
      </c>
      <c r="HA67" s="2">
        <v>3</v>
      </c>
      <c r="HB67" s="2">
        <v>2</v>
      </c>
      <c r="HD67" s="2">
        <v>2</v>
      </c>
      <c r="HE67" s="2">
        <v>2</v>
      </c>
      <c r="HF67" s="2">
        <v>0</v>
      </c>
      <c r="HH67" s="2">
        <f t="shared" si="2"/>
        <v>10</v>
      </c>
      <c r="HI67" s="2">
        <f t="shared" si="3"/>
        <v>13</v>
      </c>
      <c r="HJ67" s="2"/>
      <c r="HK67" s="2">
        <v>5</v>
      </c>
      <c r="HL67" s="2">
        <v>4</v>
      </c>
      <c r="HM67" s="2"/>
      <c r="HN67" s="2"/>
    </row>
    <row r="68" spans="1:222" ht="15.75" customHeight="1" x14ac:dyDescent="0.2">
      <c r="A68" s="3" t="e">
        <f>VLOOKUP(B68,#REF!,1,FALSE)</f>
        <v>#REF!</v>
      </c>
      <c r="B68" s="3">
        <v>44642.733485717596</v>
      </c>
      <c r="C68" s="2">
        <v>74</v>
      </c>
      <c r="D68" s="2" t="s">
        <v>185</v>
      </c>
      <c r="E68" s="2">
        <v>0</v>
      </c>
      <c r="F68" s="2" t="s">
        <v>232</v>
      </c>
      <c r="G68" s="2">
        <v>8</v>
      </c>
      <c r="H68" s="2">
        <v>2</v>
      </c>
      <c r="I68" s="2">
        <v>1</v>
      </c>
      <c r="J68" s="2">
        <v>6</v>
      </c>
      <c r="K68" s="2">
        <v>1</v>
      </c>
      <c r="L68" s="2">
        <v>3</v>
      </c>
      <c r="M68" s="2" t="s">
        <v>187</v>
      </c>
      <c r="N68" s="2">
        <v>2</v>
      </c>
      <c r="O68" s="2">
        <v>3</v>
      </c>
      <c r="P68" s="2">
        <v>0</v>
      </c>
      <c r="Q68" s="2" t="s">
        <v>410</v>
      </c>
      <c r="R68" s="2">
        <v>3</v>
      </c>
      <c r="S68" s="2">
        <v>-1</v>
      </c>
      <c r="T68" s="2">
        <v>-1</v>
      </c>
      <c r="U68" s="2">
        <v>-1</v>
      </c>
      <c r="V68" s="2">
        <v>-1</v>
      </c>
      <c r="W68" s="2">
        <v>-1</v>
      </c>
      <c r="X68" s="2"/>
      <c r="Y68" s="2">
        <v>-1</v>
      </c>
      <c r="Z68" s="2">
        <v>0</v>
      </c>
      <c r="AA68" s="2">
        <v>-1</v>
      </c>
      <c r="AB68" s="2">
        <v>4</v>
      </c>
      <c r="AC68" s="2">
        <v>1</v>
      </c>
      <c r="AD68" s="2">
        <v>1</v>
      </c>
      <c r="AE68" s="2">
        <v>2</v>
      </c>
      <c r="AF68" s="2">
        <v>2</v>
      </c>
      <c r="AG68" s="2">
        <v>-1</v>
      </c>
      <c r="AH68" s="2">
        <v>-1</v>
      </c>
      <c r="AI68" s="2">
        <v>-2</v>
      </c>
      <c r="AJ68" s="2">
        <v>2</v>
      </c>
      <c r="AK68" s="2">
        <v>-1</v>
      </c>
      <c r="AL68" s="2">
        <v>-2</v>
      </c>
      <c r="AM68" s="2">
        <v>2</v>
      </c>
      <c r="AN68" s="2">
        <v>2</v>
      </c>
      <c r="AO68" s="2">
        <v>2</v>
      </c>
      <c r="AP68" s="2">
        <v>2</v>
      </c>
      <c r="AQ68" s="2">
        <v>2</v>
      </c>
      <c r="AR68" s="2">
        <v>1</v>
      </c>
      <c r="AS68" s="2">
        <v>1</v>
      </c>
      <c r="AT68" s="2">
        <v>1</v>
      </c>
      <c r="AU68" s="2">
        <v>2</v>
      </c>
      <c r="AV68" s="2"/>
      <c r="AW68" s="2">
        <v>3</v>
      </c>
      <c r="AX68" s="2">
        <v>2</v>
      </c>
      <c r="AY68" s="2">
        <v>-2</v>
      </c>
      <c r="AZ68" s="2">
        <v>2</v>
      </c>
      <c r="BA68" s="2">
        <v>2</v>
      </c>
      <c r="BB68" s="2">
        <v>2</v>
      </c>
      <c r="BC68" s="2">
        <v>2</v>
      </c>
      <c r="BD68" s="2">
        <v>2</v>
      </c>
      <c r="BE68" s="2">
        <v>1</v>
      </c>
      <c r="BF68" s="2">
        <v>1</v>
      </c>
      <c r="BG68" s="2">
        <v>1</v>
      </c>
      <c r="BH68" s="2">
        <v>1</v>
      </c>
      <c r="BI68" s="2"/>
      <c r="BJ68" s="2">
        <v>1</v>
      </c>
      <c r="BK68" s="2">
        <v>1</v>
      </c>
      <c r="BL68" s="2">
        <v>-2</v>
      </c>
      <c r="BM68" s="2">
        <v>7</v>
      </c>
      <c r="BN68" s="2">
        <v>6</v>
      </c>
      <c r="BO68" s="2">
        <v>7</v>
      </c>
      <c r="BP68" s="2"/>
      <c r="BQ68" s="2"/>
      <c r="BR68" s="2"/>
      <c r="BS68" s="2"/>
      <c r="BT68" s="2"/>
      <c r="BU68" s="2"/>
      <c r="BV68" s="2"/>
      <c r="BW68" s="2"/>
      <c r="BX68" s="2" t="s">
        <v>188</v>
      </c>
      <c r="BY68" s="2" t="s">
        <v>188</v>
      </c>
      <c r="BZ68" s="2" t="s">
        <v>188</v>
      </c>
      <c r="CA68" s="2" t="s">
        <v>188</v>
      </c>
      <c r="CB68" s="2" t="s">
        <v>188</v>
      </c>
      <c r="CC68" s="2" t="s">
        <v>188</v>
      </c>
      <c r="CD68" s="2" t="s">
        <v>190</v>
      </c>
      <c r="CE68" s="2" t="s">
        <v>191</v>
      </c>
      <c r="CF68" s="2" t="s">
        <v>188</v>
      </c>
      <c r="CG68" s="2" t="s">
        <v>188</v>
      </c>
      <c r="CH68" s="2" t="s">
        <v>188</v>
      </c>
      <c r="CI68" s="2" t="s">
        <v>190</v>
      </c>
      <c r="CJ68" s="2" t="s">
        <v>188</v>
      </c>
      <c r="CK68" s="2" t="s">
        <v>188</v>
      </c>
      <c r="CL68" s="2" t="s">
        <v>188</v>
      </c>
      <c r="CM68" s="2" t="s">
        <v>200</v>
      </c>
      <c r="CN68" s="2" t="s">
        <v>200</v>
      </c>
      <c r="CO68" s="2" t="s">
        <v>200</v>
      </c>
      <c r="CP68" s="2" t="s">
        <v>200</v>
      </c>
      <c r="CQ68" s="2" t="s">
        <v>192</v>
      </c>
      <c r="CR68" s="2" t="s">
        <v>200</v>
      </c>
      <c r="CS68" s="2" t="s">
        <v>193</v>
      </c>
      <c r="CT68" s="2" t="s">
        <v>193</v>
      </c>
      <c r="CU68" s="2" t="s">
        <v>192</v>
      </c>
      <c r="CV68" s="2" t="s">
        <v>200</v>
      </c>
      <c r="CW68" s="2" t="s">
        <v>200</v>
      </c>
      <c r="CX68" s="2" t="s">
        <v>193</v>
      </c>
      <c r="CY68" s="2" t="s">
        <v>193</v>
      </c>
      <c r="CZ68" s="2" t="s">
        <v>193</v>
      </c>
      <c r="DA68" s="2" t="s">
        <v>193</v>
      </c>
      <c r="DB68" s="2" t="s">
        <v>193</v>
      </c>
      <c r="DC68" s="2" t="s">
        <v>192</v>
      </c>
      <c r="DD68" s="2" t="s">
        <v>193</v>
      </c>
      <c r="DE68" s="2" t="s">
        <v>193</v>
      </c>
      <c r="DF68" s="2" t="s">
        <v>200</v>
      </c>
      <c r="DG68" s="2" t="s">
        <v>195</v>
      </c>
      <c r="DH68" s="2" t="s">
        <v>195</v>
      </c>
      <c r="DI68" s="2" t="s">
        <v>195</v>
      </c>
      <c r="DJ68" s="2" t="s">
        <v>195</v>
      </c>
      <c r="DK68" s="2" t="s">
        <v>195</v>
      </c>
      <c r="DL68" s="2" t="s">
        <v>195</v>
      </c>
      <c r="DM68" s="2" t="s">
        <v>195</v>
      </c>
      <c r="DN68" s="2" t="s">
        <v>195</v>
      </c>
      <c r="DO68" s="2" t="s">
        <v>195</v>
      </c>
      <c r="DP68" s="2" t="s">
        <v>195</v>
      </c>
      <c r="DQ68" s="2" t="s">
        <v>195</v>
      </c>
      <c r="DR68" s="2" t="s">
        <v>195</v>
      </c>
      <c r="DS68" s="2" t="s">
        <v>197</v>
      </c>
      <c r="DT68" s="2" t="s">
        <v>197</v>
      </c>
      <c r="DU68" s="2" t="s">
        <v>198</v>
      </c>
      <c r="DV68" s="2" t="s">
        <v>197</v>
      </c>
      <c r="DW68" s="2" t="s">
        <v>198</v>
      </c>
      <c r="DX68" s="2" t="s">
        <v>198</v>
      </c>
      <c r="DY68" s="2" t="s">
        <v>198</v>
      </c>
      <c r="DZ68" s="2"/>
      <c r="EA68" s="2">
        <v>0</v>
      </c>
      <c r="EB68" s="2">
        <v>1</v>
      </c>
      <c r="EC68" s="2">
        <v>0</v>
      </c>
      <c r="ED68" s="2">
        <v>0</v>
      </c>
      <c r="EE68" s="2">
        <v>0</v>
      </c>
      <c r="EF68" s="2">
        <v>1</v>
      </c>
      <c r="EG68" s="2">
        <v>0</v>
      </c>
      <c r="EH68" s="2">
        <v>1</v>
      </c>
      <c r="EI68" s="2">
        <v>0</v>
      </c>
      <c r="EJ68" s="2">
        <v>1</v>
      </c>
      <c r="EK68" s="2">
        <v>0</v>
      </c>
      <c r="EL68" s="2">
        <v>1</v>
      </c>
      <c r="EM68" s="2">
        <v>0</v>
      </c>
      <c r="EN68" s="2">
        <v>1</v>
      </c>
      <c r="EO68" s="2">
        <v>0</v>
      </c>
      <c r="EP68" s="2">
        <v>0</v>
      </c>
      <c r="EQ68" s="2">
        <v>1</v>
      </c>
      <c r="ER68" s="2">
        <v>0</v>
      </c>
      <c r="ES68" s="2">
        <v>1</v>
      </c>
      <c r="ET68" s="2">
        <v>0</v>
      </c>
      <c r="EU68" s="2">
        <v>1</v>
      </c>
      <c r="EV68" s="2">
        <v>0</v>
      </c>
      <c r="EW68" s="2">
        <v>1</v>
      </c>
      <c r="EX68" s="2">
        <v>0</v>
      </c>
      <c r="EY68" s="2">
        <v>1</v>
      </c>
      <c r="EZ68" s="2">
        <v>1</v>
      </c>
      <c r="FA68" s="2">
        <v>0</v>
      </c>
      <c r="FB68" s="2">
        <v>0</v>
      </c>
      <c r="FC68" s="2">
        <v>1</v>
      </c>
      <c r="FD68" s="2">
        <v>0</v>
      </c>
      <c r="FE68" s="2">
        <v>0</v>
      </c>
      <c r="FF68" s="2">
        <v>0</v>
      </c>
      <c r="FG68" s="2">
        <v>1</v>
      </c>
      <c r="FH68" s="2">
        <v>0</v>
      </c>
      <c r="FI68" s="2">
        <v>1</v>
      </c>
      <c r="FJ68" s="2">
        <v>1</v>
      </c>
      <c r="FK68" s="2">
        <v>0</v>
      </c>
      <c r="FL68" s="2">
        <v>1</v>
      </c>
      <c r="FM68" s="2">
        <v>0</v>
      </c>
      <c r="FN68" s="2">
        <v>0</v>
      </c>
      <c r="FO68" s="2">
        <v>1</v>
      </c>
      <c r="FP68" s="2">
        <v>0</v>
      </c>
      <c r="FQ68" s="2">
        <v>1</v>
      </c>
      <c r="FR68" s="2">
        <v>0</v>
      </c>
      <c r="FS68" s="2">
        <v>1</v>
      </c>
      <c r="FT68" s="2">
        <v>0</v>
      </c>
      <c r="FU68" s="2">
        <v>1</v>
      </c>
      <c r="FV68" s="2">
        <v>0</v>
      </c>
      <c r="FW68" s="2">
        <v>1</v>
      </c>
      <c r="FX68" s="2">
        <v>0</v>
      </c>
      <c r="FY68" s="2">
        <v>1</v>
      </c>
      <c r="FZ68" s="2"/>
      <c r="GA68" s="2">
        <v>2</v>
      </c>
      <c r="GB68" s="2">
        <v>2</v>
      </c>
      <c r="GC68" s="2">
        <v>2</v>
      </c>
      <c r="GD68" s="2">
        <v>2</v>
      </c>
      <c r="GE68" s="2">
        <v>2</v>
      </c>
      <c r="GG68" s="2">
        <v>2</v>
      </c>
      <c r="GH68" s="2">
        <v>2</v>
      </c>
      <c r="GI68" s="2">
        <v>2</v>
      </c>
      <c r="GJ68" s="2">
        <v>2</v>
      </c>
      <c r="GK68" s="2">
        <v>2</v>
      </c>
      <c r="GM68" s="2">
        <f t="shared" si="0"/>
        <v>10</v>
      </c>
      <c r="GN68" s="2">
        <f t="shared" si="1"/>
        <v>10</v>
      </c>
      <c r="GO68" s="2"/>
      <c r="GP68" s="2">
        <v>1</v>
      </c>
      <c r="GQ68" s="2">
        <v>1</v>
      </c>
      <c r="GR68" s="2">
        <v>1</v>
      </c>
      <c r="GS68" s="2">
        <v>2</v>
      </c>
      <c r="GU68" s="2">
        <v>3</v>
      </c>
      <c r="GV68" s="2">
        <v>2</v>
      </c>
      <c r="GW68" s="2">
        <v>-2</v>
      </c>
      <c r="GY68" s="2">
        <v>1</v>
      </c>
      <c r="GZ68" s="2">
        <v>1</v>
      </c>
      <c r="HA68" s="2">
        <v>1</v>
      </c>
      <c r="HB68" s="2">
        <v>1</v>
      </c>
      <c r="HD68" s="2">
        <v>1</v>
      </c>
      <c r="HE68" s="2">
        <v>1</v>
      </c>
      <c r="HF68" s="2">
        <v>-2</v>
      </c>
      <c r="HH68" s="2">
        <f t="shared" si="2"/>
        <v>8</v>
      </c>
      <c r="HI68" s="2">
        <f t="shared" si="3"/>
        <v>4</v>
      </c>
      <c r="HJ68" s="2"/>
      <c r="HK68" s="2">
        <v>6</v>
      </c>
      <c r="HL68" s="2">
        <v>7</v>
      </c>
      <c r="HM68" s="2"/>
      <c r="HN68" s="2"/>
    </row>
    <row r="69" spans="1:222" ht="15.75" customHeight="1" x14ac:dyDescent="0.2">
      <c r="A69" s="3" t="e">
        <f>VLOOKUP(B69,#REF!,1,FALSE)</f>
        <v>#REF!</v>
      </c>
      <c r="B69" s="3">
        <v>44642.745692025463</v>
      </c>
      <c r="C69" s="2">
        <v>75</v>
      </c>
      <c r="D69" s="2" t="s">
        <v>185</v>
      </c>
      <c r="E69" s="2">
        <v>0</v>
      </c>
      <c r="F69" s="2" t="s">
        <v>237</v>
      </c>
      <c r="G69" s="2">
        <v>2</v>
      </c>
      <c r="H69" s="2">
        <v>2</v>
      </c>
      <c r="I69" s="2">
        <v>1</v>
      </c>
      <c r="J69" s="2">
        <v>4</v>
      </c>
      <c r="K69" s="2">
        <v>0</v>
      </c>
      <c r="L69" s="2">
        <v>4</v>
      </c>
      <c r="M69" s="2" t="s">
        <v>213</v>
      </c>
      <c r="N69" s="2">
        <v>3</v>
      </c>
      <c r="O69" s="2">
        <v>4</v>
      </c>
      <c r="P69" s="2">
        <v>0</v>
      </c>
      <c r="Q69" s="2">
        <v>0</v>
      </c>
      <c r="R69" s="2">
        <v>2</v>
      </c>
      <c r="S69" s="2">
        <v>-1</v>
      </c>
      <c r="T69" s="2">
        <v>0</v>
      </c>
      <c r="U69" s="2">
        <v>0</v>
      </c>
      <c r="V69" s="2">
        <v>-1</v>
      </c>
      <c r="W69" s="2">
        <v>-1</v>
      </c>
      <c r="X69" s="2"/>
      <c r="Y69" s="2">
        <v>1</v>
      </c>
      <c r="Z69" s="2">
        <v>1</v>
      </c>
      <c r="AA69" s="2">
        <v>1</v>
      </c>
      <c r="AB69" s="2">
        <v>2</v>
      </c>
      <c r="AC69" s="2">
        <v>1</v>
      </c>
      <c r="AD69" s="2">
        <v>4</v>
      </c>
      <c r="AE69" s="2">
        <v>2</v>
      </c>
      <c r="AF69" s="2">
        <v>2</v>
      </c>
      <c r="AG69" s="2">
        <v>3</v>
      </c>
      <c r="AH69" s="2">
        <v>3</v>
      </c>
      <c r="AI69" s="2">
        <v>3</v>
      </c>
      <c r="AJ69" s="2">
        <v>3</v>
      </c>
      <c r="AK69" s="2">
        <v>2</v>
      </c>
      <c r="AL69" s="2">
        <v>3</v>
      </c>
      <c r="AM69" s="2">
        <v>3</v>
      </c>
      <c r="AN69" s="2">
        <v>3</v>
      </c>
      <c r="AO69" s="2">
        <v>3</v>
      </c>
      <c r="AP69" s="2">
        <v>2</v>
      </c>
      <c r="AQ69" s="2">
        <v>3</v>
      </c>
      <c r="AR69" s="2">
        <v>3</v>
      </c>
      <c r="AS69" s="2">
        <v>1</v>
      </c>
      <c r="AT69" s="2">
        <v>1</v>
      </c>
      <c r="AU69" s="2">
        <v>0</v>
      </c>
      <c r="AV69" s="2"/>
      <c r="AW69" s="2">
        <v>0</v>
      </c>
      <c r="AX69" s="2">
        <v>1</v>
      </c>
      <c r="AY69" s="2">
        <v>1</v>
      </c>
      <c r="AZ69" s="2">
        <v>4</v>
      </c>
      <c r="BA69" s="2">
        <v>5</v>
      </c>
      <c r="BB69" s="2">
        <v>4</v>
      </c>
      <c r="BC69" s="2">
        <v>5</v>
      </c>
      <c r="BD69" s="2">
        <v>5</v>
      </c>
      <c r="BE69" s="2">
        <v>3</v>
      </c>
      <c r="BF69" s="2">
        <v>0</v>
      </c>
      <c r="BG69" s="2">
        <v>0</v>
      </c>
      <c r="BH69" s="2">
        <v>0</v>
      </c>
      <c r="BI69" s="2"/>
      <c r="BJ69" s="2">
        <v>0</v>
      </c>
      <c r="BK69" s="2">
        <v>2</v>
      </c>
      <c r="BL69" s="2">
        <v>2</v>
      </c>
      <c r="BM69" s="2">
        <v>7</v>
      </c>
      <c r="BN69" s="2">
        <v>9</v>
      </c>
      <c r="BO69" s="2">
        <v>8</v>
      </c>
      <c r="BP69" s="2" t="s">
        <v>411</v>
      </c>
      <c r="BQ69" s="2" t="s">
        <v>224</v>
      </c>
      <c r="BR69" s="2" t="s">
        <v>224</v>
      </c>
      <c r="BS69" s="2" t="s">
        <v>224</v>
      </c>
      <c r="BT69" s="2" t="s">
        <v>224</v>
      </c>
      <c r="BU69" s="2" t="s">
        <v>412</v>
      </c>
      <c r="BV69" s="2" t="s">
        <v>413</v>
      </c>
      <c r="BW69" s="2" t="s">
        <v>414</v>
      </c>
      <c r="BX69" s="2" t="s">
        <v>190</v>
      </c>
      <c r="BY69" s="2" t="s">
        <v>190</v>
      </c>
      <c r="BZ69" s="2" t="s">
        <v>189</v>
      </c>
      <c r="CA69" s="2" t="s">
        <v>190</v>
      </c>
      <c r="CB69" s="2" t="s">
        <v>191</v>
      </c>
      <c r="CC69" s="2" t="s">
        <v>190</v>
      </c>
      <c r="CD69" s="2" t="s">
        <v>189</v>
      </c>
      <c r="CE69" s="2" t="s">
        <v>189</v>
      </c>
      <c r="CF69" s="2" t="s">
        <v>189</v>
      </c>
      <c r="CG69" s="2" t="s">
        <v>189</v>
      </c>
      <c r="CH69" s="2" t="s">
        <v>189</v>
      </c>
      <c r="CI69" s="2" t="s">
        <v>189</v>
      </c>
      <c r="CJ69" s="2" t="s">
        <v>190</v>
      </c>
      <c r="CK69" s="2" t="s">
        <v>189</v>
      </c>
      <c r="CL69" s="2" t="s">
        <v>189</v>
      </c>
      <c r="CM69" s="2" t="s">
        <v>192</v>
      </c>
      <c r="CN69" s="2" t="s">
        <v>192</v>
      </c>
      <c r="CO69" s="2" t="s">
        <v>192</v>
      </c>
      <c r="CP69" s="2" t="s">
        <v>192</v>
      </c>
      <c r="CQ69" s="2" t="s">
        <v>192</v>
      </c>
      <c r="CR69" s="2" t="s">
        <v>193</v>
      </c>
      <c r="CS69" s="2" t="s">
        <v>193</v>
      </c>
      <c r="CT69" s="2" t="s">
        <v>193</v>
      </c>
      <c r="CU69" s="2" t="s">
        <v>192</v>
      </c>
      <c r="CV69" s="2" t="s">
        <v>200</v>
      </c>
      <c r="CW69" s="2" t="s">
        <v>192</v>
      </c>
      <c r="CX69" s="2" t="s">
        <v>193</v>
      </c>
      <c r="CY69" s="2" t="s">
        <v>192</v>
      </c>
      <c r="CZ69" s="2" t="s">
        <v>192</v>
      </c>
      <c r="DA69" s="2" t="s">
        <v>193</v>
      </c>
      <c r="DB69" s="2" t="s">
        <v>192</v>
      </c>
      <c r="DC69" s="2" t="s">
        <v>192</v>
      </c>
      <c r="DD69" s="2" t="s">
        <v>192</v>
      </c>
      <c r="DE69" s="2" t="s">
        <v>192</v>
      </c>
      <c r="DF69" s="2" t="s">
        <v>192</v>
      </c>
      <c r="DG69" s="2" t="s">
        <v>194</v>
      </c>
      <c r="DH69" s="2" t="s">
        <v>195</v>
      </c>
      <c r="DI69" s="2" t="s">
        <v>194</v>
      </c>
      <c r="DJ69" s="2" t="s">
        <v>194</v>
      </c>
      <c r="DK69" s="2" t="s">
        <v>194</v>
      </c>
      <c r="DL69" s="2" t="s">
        <v>194</v>
      </c>
      <c r="DM69" s="2" t="s">
        <v>195</v>
      </c>
      <c r="DN69" s="2" t="s">
        <v>220</v>
      </c>
      <c r="DO69" s="2" t="s">
        <v>220</v>
      </c>
      <c r="DP69" s="2" t="s">
        <v>195</v>
      </c>
      <c r="DQ69" s="2" t="s">
        <v>194</v>
      </c>
      <c r="DR69" s="2" t="s">
        <v>196</v>
      </c>
      <c r="DS69" s="2" t="s">
        <v>197</v>
      </c>
      <c r="DT69" s="2" t="s">
        <v>197</v>
      </c>
      <c r="DU69" s="2" t="s">
        <v>199</v>
      </c>
      <c r="DV69" s="2" t="s">
        <v>197</v>
      </c>
      <c r="DW69" s="2" t="s">
        <v>198</v>
      </c>
      <c r="DX69" s="2" t="s">
        <v>198</v>
      </c>
      <c r="DY69" s="2" t="s">
        <v>197</v>
      </c>
      <c r="DZ69" s="2"/>
      <c r="EA69" s="2">
        <v>1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1</v>
      </c>
      <c r="EI69" s="2">
        <v>0</v>
      </c>
      <c r="EJ69" s="2">
        <v>0</v>
      </c>
      <c r="EK69" s="2">
        <v>1</v>
      </c>
      <c r="EL69" s="2">
        <v>0</v>
      </c>
      <c r="EM69" s="2">
        <v>1</v>
      </c>
      <c r="EN69" s="2">
        <v>1</v>
      </c>
      <c r="EO69" s="2">
        <v>0</v>
      </c>
      <c r="EP69" s="2">
        <v>0</v>
      </c>
      <c r="EQ69" s="2">
        <v>1</v>
      </c>
      <c r="ER69" s="2">
        <v>0</v>
      </c>
      <c r="ES69" s="2">
        <v>1</v>
      </c>
      <c r="ET69" s="2">
        <v>0</v>
      </c>
      <c r="EU69" s="2">
        <v>1</v>
      </c>
      <c r="EV69" s="2">
        <v>0</v>
      </c>
      <c r="EW69" s="2">
        <v>1</v>
      </c>
      <c r="EX69" s="2">
        <v>0</v>
      </c>
      <c r="EY69" s="2">
        <v>1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1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1</v>
      </c>
      <c r="FP69" s="2">
        <v>0</v>
      </c>
      <c r="FQ69" s="2">
        <v>1</v>
      </c>
      <c r="FR69" s="2">
        <v>1</v>
      </c>
      <c r="FS69" s="2">
        <v>0</v>
      </c>
      <c r="FT69" s="2">
        <v>1</v>
      </c>
      <c r="FU69" s="2">
        <v>0</v>
      </c>
      <c r="FV69" s="2">
        <v>0</v>
      </c>
      <c r="FW69" s="2">
        <v>1</v>
      </c>
      <c r="FX69" s="2">
        <v>0</v>
      </c>
      <c r="FY69" s="2">
        <v>1</v>
      </c>
      <c r="FZ69" s="2"/>
      <c r="GA69" s="2">
        <v>3</v>
      </c>
      <c r="GB69" s="2">
        <v>3</v>
      </c>
      <c r="GC69" s="2">
        <v>3</v>
      </c>
      <c r="GD69" s="2">
        <v>2</v>
      </c>
      <c r="GE69" s="2">
        <v>3</v>
      </c>
      <c r="GG69" s="2">
        <v>4</v>
      </c>
      <c r="GH69" s="2">
        <v>5</v>
      </c>
      <c r="GI69" s="2">
        <v>4</v>
      </c>
      <c r="GJ69" s="2">
        <v>5</v>
      </c>
      <c r="GK69" s="2">
        <v>5</v>
      </c>
      <c r="GM69" s="2">
        <f t="shared" si="0"/>
        <v>14</v>
      </c>
      <c r="GN69" s="2">
        <f t="shared" si="1"/>
        <v>23</v>
      </c>
      <c r="GO69" s="2"/>
      <c r="GP69" s="2">
        <v>3</v>
      </c>
      <c r="GQ69" s="2">
        <v>1</v>
      </c>
      <c r="GR69" s="2">
        <v>1</v>
      </c>
      <c r="GS69" s="2">
        <v>0</v>
      </c>
      <c r="GU69" s="2">
        <v>0</v>
      </c>
      <c r="GV69" s="2">
        <v>1</v>
      </c>
      <c r="GW69" s="2">
        <v>1</v>
      </c>
      <c r="GY69" s="2">
        <v>3</v>
      </c>
      <c r="GZ69" s="2">
        <v>0</v>
      </c>
      <c r="HA69" s="2">
        <v>0</v>
      </c>
      <c r="HB69" s="2">
        <v>0</v>
      </c>
      <c r="HD69" s="2">
        <v>0</v>
      </c>
      <c r="HE69" s="2">
        <v>2</v>
      </c>
      <c r="HF69" s="2">
        <v>2</v>
      </c>
      <c r="HH69" s="2">
        <f t="shared" si="2"/>
        <v>7</v>
      </c>
      <c r="HI69" s="2">
        <f t="shared" si="3"/>
        <v>7</v>
      </c>
      <c r="HJ69" s="2"/>
      <c r="HK69" s="2">
        <v>9</v>
      </c>
      <c r="HL69" s="2">
        <v>8</v>
      </c>
      <c r="HM69" s="2"/>
      <c r="HN69" s="2"/>
    </row>
    <row r="70" spans="1:222" ht="15.75" customHeight="1" x14ac:dyDescent="0.2">
      <c r="A70" s="3" t="e">
        <f>VLOOKUP(B70,#REF!,1,FALSE)</f>
        <v>#REF!</v>
      </c>
      <c r="B70" s="3">
        <v>44642.759739374997</v>
      </c>
      <c r="C70" s="2">
        <v>77</v>
      </c>
      <c r="D70" s="2" t="s">
        <v>185</v>
      </c>
      <c r="E70" s="2">
        <v>0</v>
      </c>
      <c r="F70" s="2" t="s">
        <v>415</v>
      </c>
      <c r="G70" s="2">
        <v>8</v>
      </c>
      <c r="H70" s="2">
        <v>2</v>
      </c>
      <c r="I70" s="2">
        <v>1</v>
      </c>
      <c r="J70" s="2">
        <v>1</v>
      </c>
      <c r="K70" s="2">
        <v>0</v>
      </c>
      <c r="L70" s="2">
        <v>4</v>
      </c>
      <c r="M70" s="2" t="s">
        <v>213</v>
      </c>
      <c r="N70" s="2">
        <v>2</v>
      </c>
      <c r="O70" s="2">
        <v>6</v>
      </c>
      <c r="P70" s="2">
        <v>0</v>
      </c>
      <c r="Q70" s="2">
        <v>3</v>
      </c>
      <c r="R70" s="2">
        <v>3</v>
      </c>
      <c r="S70" s="2">
        <v>0</v>
      </c>
      <c r="T70" s="2">
        <v>-1</v>
      </c>
      <c r="U70" s="2">
        <v>1</v>
      </c>
      <c r="V70" s="2">
        <v>-1</v>
      </c>
      <c r="W70" s="2">
        <v>-1</v>
      </c>
      <c r="X70" s="2"/>
      <c r="Y70" s="2">
        <v>1</v>
      </c>
      <c r="Z70" s="2">
        <v>0</v>
      </c>
      <c r="AA70" s="2">
        <v>1</v>
      </c>
      <c r="AB70" s="2">
        <v>2</v>
      </c>
      <c r="AC70" s="2">
        <v>1</v>
      </c>
      <c r="AD70" s="2">
        <v>0</v>
      </c>
      <c r="AE70" s="2">
        <v>1</v>
      </c>
      <c r="AF70" s="2">
        <v>0</v>
      </c>
      <c r="AG70" s="2">
        <v>2</v>
      </c>
      <c r="AH70" s="2">
        <v>3</v>
      </c>
      <c r="AI70" s="2">
        <v>3</v>
      </c>
      <c r="AJ70" s="2">
        <v>2</v>
      </c>
      <c r="AK70" s="2">
        <v>2</v>
      </c>
      <c r="AL70" s="2">
        <v>3</v>
      </c>
      <c r="AM70" s="2">
        <v>1</v>
      </c>
      <c r="AN70" s="2">
        <v>0</v>
      </c>
      <c r="AO70" s="2">
        <v>1</v>
      </c>
      <c r="AP70" s="2">
        <v>1</v>
      </c>
      <c r="AQ70" s="2">
        <v>1</v>
      </c>
      <c r="AR70" s="2">
        <v>3</v>
      </c>
      <c r="AS70" s="2">
        <v>0</v>
      </c>
      <c r="AT70" s="2">
        <v>2</v>
      </c>
      <c r="AU70" s="2">
        <v>1</v>
      </c>
      <c r="AV70" s="2"/>
      <c r="AW70" s="2">
        <v>2</v>
      </c>
      <c r="AX70" s="2">
        <v>0</v>
      </c>
      <c r="AY70" s="2">
        <v>0</v>
      </c>
      <c r="AZ70" s="2">
        <v>4</v>
      </c>
      <c r="BA70" s="2">
        <v>4</v>
      </c>
      <c r="BB70" s="2">
        <v>3</v>
      </c>
      <c r="BC70" s="2">
        <v>4</v>
      </c>
      <c r="BD70" s="2">
        <v>4</v>
      </c>
      <c r="BE70" s="2">
        <v>2</v>
      </c>
      <c r="BF70" s="2">
        <v>0</v>
      </c>
      <c r="BG70" s="2">
        <v>2</v>
      </c>
      <c r="BH70" s="2">
        <v>0</v>
      </c>
      <c r="BI70" s="2"/>
      <c r="BJ70" s="2">
        <v>1</v>
      </c>
      <c r="BK70" s="2">
        <v>0</v>
      </c>
      <c r="BL70" s="2">
        <v>0</v>
      </c>
      <c r="BM70" s="2">
        <v>9</v>
      </c>
      <c r="BN70" s="2">
        <v>9</v>
      </c>
      <c r="BO70" s="2">
        <v>9</v>
      </c>
      <c r="BP70" s="2"/>
      <c r="BQ70" s="2"/>
      <c r="BR70" s="2"/>
      <c r="BS70" s="2"/>
      <c r="BT70" s="2"/>
      <c r="BU70" s="2"/>
      <c r="BV70" s="2"/>
      <c r="BW70" s="2"/>
      <c r="BX70" s="2" t="s">
        <v>189</v>
      </c>
      <c r="BY70" s="2" t="s">
        <v>189</v>
      </c>
      <c r="BZ70" s="2" t="s">
        <v>189</v>
      </c>
      <c r="CA70" s="2" t="s">
        <v>189</v>
      </c>
      <c r="CB70" s="2" t="s">
        <v>189</v>
      </c>
      <c r="CC70" s="2" t="s">
        <v>189</v>
      </c>
      <c r="CD70" s="2" t="s">
        <v>189</v>
      </c>
      <c r="CE70" s="2" t="s">
        <v>189</v>
      </c>
      <c r="CF70" s="2" t="s">
        <v>191</v>
      </c>
      <c r="CG70" s="2" t="s">
        <v>189</v>
      </c>
      <c r="CH70" s="2" t="s">
        <v>190</v>
      </c>
      <c r="CI70" s="2" t="s">
        <v>189</v>
      </c>
      <c r="CJ70" s="2" t="s">
        <v>189</v>
      </c>
      <c r="CK70" s="2" t="s">
        <v>189</v>
      </c>
      <c r="CL70" s="2" t="s">
        <v>189</v>
      </c>
      <c r="CM70" s="2" t="s">
        <v>192</v>
      </c>
      <c r="CN70" s="2" t="s">
        <v>192</v>
      </c>
      <c r="CO70" s="2" t="s">
        <v>192</v>
      </c>
      <c r="CP70" s="2" t="s">
        <v>193</v>
      </c>
      <c r="CQ70" s="2" t="s">
        <v>193</v>
      </c>
      <c r="CR70" s="2" t="s">
        <v>193</v>
      </c>
      <c r="CS70" s="2" t="s">
        <v>193</v>
      </c>
      <c r="CT70" s="2" t="s">
        <v>192</v>
      </c>
      <c r="CU70" s="2" t="s">
        <v>192</v>
      </c>
      <c r="CV70" s="2" t="s">
        <v>193</v>
      </c>
      <c r="CW70" s="2" t="s">
        <v>192</v>
      </c>
      <c r="CX70" s="2" t="s">
        <v>200</v>
      </c>
      <c r="CY70" s="2" t="s">
        <v>192</v>
      </c>
      <c r="CZ70" s="2" t="s">
        <v>192</v>
      </c>
      <c r="DA70" s="2" t="s">
        <v>192</v>
      </c>
      <c r="DB70" s="2" t="s">
        <v>192</v>
      </c>
      <c r="DC70" s="2" t="s">
        <v>192</v>
      </c>
      <c r="DD70" s="2" t="s">
        <v>193</v>
      </c>
      <c r="DE70" s="2" t="s">
        <v>192</v>
      </c>
      <c r="DF70" s="2" t="s">
        <v>192</v>
      </c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>
        <v>0</v>
      </c>
      <c r="EB70" s="2">
        <v>0</v>
      </c>
      <c r="EC70" s="2">
        <v>1</v>
      </c>
      <c r="ED70" s="2">
        <v>0</v>
      </c>
      <c r="EE70" s="2">
        <v>0</v>
      </c>
      <c r="EF70" s="2">
        <v>0</v>
      </c>
      <c r="EG70" s="2">
        <v>0</v>
      </c>
      <c r="EH70" s="2">
        <v>1</v>
      </c>
      <c r="EI70" s="2">
        <v>0</v>
      </c>
      <c r="EJ70" s="2">
        <v>0</v>
      </c>
      <c r="EK70" s="2">
        <v>1</v>
      </c>
      <c r="EL70" s="2">
        <v>0</v>
      </c>
      <c r="EM70" s="2">
        <v>1</v>
      </c>
      <c r="EN70" s="2">
        <v>1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1</v>
      </c>
      <c r="EV70" s="2">
        <v>0</v>
      </c>
      <c r="EW70" s="2">
        <v>0</v>
      </c>
      <c r="EX70" s="2">
        <v>0</v>
      </c>
      <c r="EY70" s="2">
        <v>1</v>
      </c>
      <c r="EZ70" s="2">
        <v>0</v>
      </c>
      <c r="FA70" s="2">
        <v>0</v>
      </c>
      <c r="FB70" s="2">
        <v>0</v>
      </c>
      <c r="FC70" s="2">
        <v>1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1</v>
      </c>
      <c r="FR70" s="2">
        <v>0</v>
      </c>
      <c r="FS70" s="2">
        <v>1</v>
      </c>
      <c r="FT70" s="2">
        <v>0</v>
      </c>
      <c r="FU70" s="2">
        <v>1</v>
      </c>
      <c r="FV70" s="2">
        <v>0</v>
      </c>
      <c r="FW70" s="2">
        <v>0</v>
      </c>
      <c r="FX70" s="2">
        <v>0</v>
      </c>
      <c r="FY70" s="2">
        <v>0</v>
      </c>
      <c r="FZ70" s="2"/>
      <c r="GA70" s="2">
        <v>1</v>
      </c>
      <c r="GB70" s="2">
        <v>0</v>
      </c>
      <c r="GC70" s="2">
        <v>1</v>
      </c>
      <c r="GD70" s="2">
        <v>1</v>
      </c>
      <c r="GE70" s="2">
        <v>1</v>
      </c>
      <c r="GG70" s="2">
        <v>4</v>
      </c>
      <c r="GH70" s="2">
        <v>4</v>
      </c>
      <c r="GI70" s="2">
        <v>3</v>
      </c>
      <c r="GJ70" s="2">
        <v>4</v>
      </c>
      <c r="GK70" s="2">
        <v>4</v>
      </c>
      <c r="GM70" s="2">
        <f t="shared" si="0"/>
        <v>4</v>
      </c>
      <c r="GN70" s="2">
        <f t="shared" si="1"/>
        <v>19</v>
      </c>
      <c r="GO70" s="2"/>
      <c r="GP70" s="2">
        <v>3</v>
      </c>
      <c r="GQ70" s="2">
        <v>0</v>
      </c>
      <c r="GR70" s="2">
        <v>2</v>
      </c>
      <c r="GS70" s="2">
        <v>1</v>
      </c>
      <c r="GU70" s="2">
        <v>2</v>
      </c>
      <c r="GV70" s="2">
        <v>0</v>
      </c>
      <c r="GW70" s="2">
        <v>0</v>
      </c>
      <c r="GY70" s="2">
        <v>2</v>
      </c>
      <c r="GZ70" s="2">
        <v>0</v>
      </c>
      <c r="HA70" s="2">
        <v>2</v>
      </c>
      <c r="HB70" s="2">
        <v>0</v>
      </c>
      <c r="HD70" s="2">
        <v>1</v>
      </c>
      <c r="HE70" s="2">
        <v>0</v>
      </c>
      <c r="HF70" s="2">
        <v>0</v>
      </c>
      <c r="HH70" s="2">
        <f t="shared" si="2"/>
        <v>8</v>
      </c>
      <c r="HI70" s="2">
        <f t="shared" si="3"/>
        <v>5</v>
      </c>
      <c r="HJ70" s="2"/>
      <c r="HK70" s="2">
        <v>9</v>
      </c>
      <c r="HL70" s="2">
        <v>9</v>
      </c>
      <c r="HM70" s="2"/>
      <c r="HN70" s="2"/>
    </row>
    <row r="71" spans="1:222" ht="15.75" customHeight="1" x14ac:dyDescent="0.2">
      <c r="A71" s="3" t="e">
        <f>VLOOKUP(B71,#REF!,1,FALSE)</f>
        <v>#REF!</v>
      </c>
      <c r="B71" s="3">
        <v>44642.765464826392</v>
      </c>
      <c r="C71" s="2">
        <v>78</v>
      </c>
      <c r="D71" s="2" t="s">
        <v>185</v>
      </c>
      <c r="E71" s="2">
        <v>0</v>
      </c>
      <c r="F71" s="2" t="s">
        <v>186</v>
      </c>
      <c r="G71" s="2">
        <v>8</v>
      </c>
      <c r="H71" s="2">
        <v>2</v>
      </c>
      <c r="I71" s="2">
        <v>1</v>
      </c>
      <c r="J71" s="2">
        <v>4</v>
      </c>
      <c r="K71" s="2">
        <v>0</v>
      </c>
      <c r="L71" s="2">
        <v>3</v>
      </c>
      <c r="M71" s="2" t="s">
        <v>213</v>
      </c>
      <c r="N71" s="2">
        <v>2</v>
      </c>
      <c r="O71" s="2">
        <v>2</v>
      </c>
      <c r="P71" s="2">
        <v>0</v>
      </c>
      <c r="Q71" s="2">
        <v>5</v>
      </c>
      <c r="R71" s="2">
        <v>3</v>
      </c>
      <c r="S71" s="2">
        <v>0</v>
      </c>
      <c r="T71" s="2">
        <v>-1</v>
      </c>
      <c r="U71" s="2">
        <v>-1</v>
      </c>
      <c r="V71" s="2">
        <v>0</v>
      </c>
      <c r="W71" s="2">
        <v>1</v>
      </c>
      <c r="X71" s="2"/>
      <c r="Y71" s="2">
        <v>-1</v>
      </c>
      <c r="Z71" s="2">
        <v>1</v>
      </c>
      <c r="AA71" s="2">
        <v>1</v>
      </c>
      <c r="AB71" s="2">
        <v>4</v>
      </c>
      <c r="AC71" s="2">
        <v>4</v>
      </c>
      <c r="AD71" s="2">
        <v>4</v>
      </c>
      <c r="AE71" s="2">
        <v>4</v>
      </c>
      <c r="AF71" s="2">
        <v>4</v>
      </c>
      <c r="AG71" s="2">
        <v>2</v>
      </c>
      <c r="AH71" s="2">
        <v>3</v>
      </c>
      <c r="AI71" s="2">
        <v>3</v>
      </c>
      <c r="AJ71" s="2">
        <v>3</v>
      </c>
      <c r="AK71" s="2">
        <v>3</v>
      </c>
      <c r="AL71" s="2">
        <v>3</v>
      </c>
      <c r="AM71" s="2">
        <v>4</v>
      </c>
      <c r="AN71" s="2">
        <v>4</v>
      </c>
      <c r="AO71" s="2">
        <v>4</v>
      </c>
      <c r="AP71" s="2">
        <v>4</v>
      </c>
      <c r="AQ71" s="2">
        <v>4</v>
      </c>
      <c r="AR71" s="2">
        <v>1</v>
      </c>
      <c r="AS71" s="2">
        <v>0</v>
      </c>
      <c r="AT71" s="2">
        <v>1</v>
      </c>
      <c r="AU71" s="2">
        <v>1</v>
      </c>
      <c r="AV71" s="2"/>
      <c r="AW71" s="2">
        <v>1</v>
      </c>
      <c r="AX71" s="2">
        <v>1</v>
      </c>
      <c r="AY71" s="2">
        <v>0</v>
      </c>
      <c r="AZ71" s="2">
        <v>4</v>
      </c>
      <c r="BA71" s="2">
        <v>4</v>
      </c>
      <c r="BB71" s="2">
        <v>4</v>
      </c>
      <c r="BC71" s="2">
        <v>4</v>
      </c>
      <c r="BD71" s="2">
        <v>4</v>
      </c>
      <c r="BE71" s="2">
        <v>3</v>
      </c>
      <c r="BF71" s="2">
        <v>3</v>
      </c>
      <c r="BG71" s="2">
        <v>3</v>
      </c>
      <c r="BH71" s="2">
        <v>3</v>
      </c>
      <c r="BI71" s="2"/>
      <c r="BJ71" s="2">
        <v>3</v>
      </c>
      <c r="BK71" s="2">
        <v>3</v>
      </c>
      <c r="BL71" s="2">
        <v>2</v>
      </c>
      <c r="BM71" s="2">
        <v>8</v>
      </c>
      <c r="BN71" s="2">
        <v>9</v>
      </c>
      <c r="BO71" s="2">
        <v>10</v>
      </c>
      <c r="BP71" s="2" t="s">
        <v>258</v>
      </c>
      <c r="BQ71" s="2" t="s">
        <v>258</v>
      </c>
      <c r="BR71" s="2"/>
      <c r="BS71" s="2"/>
      <c r="BT71" s="2" t="s">
        <v>416</v>
      </c>
      <c r="BU71" s="2"/>
      <c r="BV71" s="2" t="s">
        <v>417</v>
      </c>
      <c r="BW71" s="2" t="s">
        <v>418</v>
      </c>
      <c r="BX71" s="2" t="s">
        <v>188</v>
      </c>
      <c r="BY71" s="2" t="s">
        <v>188</v>
      </c>
      <c r="BZ71" s="2" t="s">
        <v>188</v>
      </c>
      <c r="CA71" s="2" t="s">
        <v>188</v>
      </c>
      <c r="CB71" s="2" t="s">
        <v>188</v>
      </c>
      <c r="CC71" s="2" t="s">
        <v>188</v>
      </c>
      <c r="CD71" s="2" t="s">
        <v>188</v>
      </c>
      <c r="CE71" s="2" t="s">
        <v>188</v>
      </c>
      <c r="CF71" s="2" t="s">
        <v>188</v>
      </c>
      <c r="CG71" s="2" t="s">
        <v>188</v>
      </c>
      <c r="CH71" s="2" t="s">
        <v>188</v>
      </c>
      <c r="CI71" s="2" t="s">
        <v>188</v>
      </c>
      <c r="CJ71" s="2" t="s">
        <v>188</v>
      </c>
      <c r="CK71" s="2" t="s">
        <v>188</v>
      </c>
      <c r="CL71" s="2" t="s">
        <v>188</v>
      </c>
      <c r="CM71" s="2" t="s">
        <v>192</v>
      </c>
      <c r="CN71" s="2" t="s">
        <v>192</v>
      </c>
      <c r="CO71" s="2" t="s">
        <v>192</v>
      </c>
      <c r="CP71" s="2" t="s">
        <v>192</v>
      </c>
      <c r="CQ71" s="2" t="s">
        <v>192</v>
      </c>
      <c r="CR71" s="2" t="s">
        <v>192</v>
      </c>
      <c r="CS71" s="2" t="s">
        <v>192</v>
      </c>
      <c r="CT71" s="2" t="s">
        <v>192</v>
      </c>
      <c r="CU71" s="2" t="s">
        <v>192</v>
      </c>
      <c r="CV71" s="2" t="s">
        <v>192</v>
      </c>
      <c r="CW71" s="2" t="s">
        <v>192</v>
      </c>
      <c r="CX71" s="2" t="s">
        <v>192</v>
      </c>
      <c r="CY71" s="2" t="s">
        <v>192</v>
      </c>
      <c r="CZ71" s="2" t="s">
        <v>192</v>
      </c>
      <c r="DA71" s="2" t="s">
        <v>192</v>
      </c>
      <c r="DB71" s="2" t="s">
        <v>192</v>
      </c>
      <c r="DC71" s="2" t="s">
        <v>192</v>
      </c>
      <c r="DD71" s="2" t="s">
        <v>192</v>
      </c>
      <c r="DE71" s="2" t="s">
        <v>192</v>
      </c>
      <c r="DF71" s="2" t="s">
        <v>192</v>
      </c>
      <c r="DG71" s="2" t="s">
        <v>196</v>
      </c>
      <c r="DH71" s="2" t="s">
        <v>220</v>
      </c>
      <c r="DI71" s="2" t="s">
        <v>220</v>
      </c>
      <c r="DJ71" s="2" t="s">
        <v>220</v>
      </c>
      <c r="DK71" s="2" t="s">
        <v>220</v>
      </c>
      <c r="DL71" s="2" t="s">
        <v>220</v>
      </c>
      <c r="DM71" s="2" t="s">
        <v>220</v>
      </c>
      <c r="DN71" s="2" t="s">
        <v>196</v>
      </c>
      <c r="DO71" s="2" t="s">
        <v>220</v>
      </c>
      <c r="DP71" s="2" t="s">
        <v>220</v>
      </c>
      <c r="DQ71" s="2" t="s">
        <v>220</v>
      </c>
      <c r="DR71" s="2" t="s">
        <v>220</v>
      </c>
      <c r="DS71" s="2" t="s">
        <v>197</v>
      </c>
      <c r="DT71" s="2" t="s">
        <v>197</v>
      </c>
      <c r="DU71" s="2" t="s">
        <v>221</v>
      </c>
      <c r="DV71" s="2" t="s">
        <v>198</v>
      </c>
      <c r="DW71" s="2" t="s">
        <v>198</v>
      </c>
      <c r="DX71" s="2" t="s">
        <v>199</v>
      </c>
      <c r="DY71" s="2" t="s">
        <v>198</v>
      </c>
      <c r="DZ71" s="2"/>
      <c r="EA71" s="2">
        <v>0</v>
      </c>
      <c r="EB71" s="2">
        <v>0</v>
      </c>
      <c r="EC71" s="2">
        <v>0</v>
      </c>
      <c r="ED71" s="2">
        <v>1</v>
      </c>
      <c r="EE71" s="2">
        <v>0</v>
      </c>
      <c r="EF71" s="2">
        <v>0</v>
      </c>
      <c r="EG71" s="2">
        <v>0</v>
      </c>
      <c r="EH71" s="2">
        <v>0</v>
      </c>
      <c r="EI71" s="2">
        <v>1</v>
      </c>
      <c r="EJ71" s="2">
        <v>1</v>
      </c>
      <c r="EK71" s="2">
        <v>0</v>
      </c>
      <c r="EL71" s="2">
        <v>0</v>
      </c>
      <c r="EM71" s="2">
        <v>1</v>
      </c>
      <c r="EN71" s="2">
        <v>1</v>
      </c>
      <c r="EO71" s="2">
        <v>0</v>
      </c>
      <c r="EP71" s="2">
        <v>0</v>
      </c>
      <c r="EQ71" s="2">
        <v>1</v>
      </c>
      <c r="ER71" s="2">
        <v>0</v>
      </c>
      <c r="ES71" s="2">
        <v>1</v>
      </c>
      <c r="ET71" s="2">
        <v>0</v>
      </c>
      <c r="EU71" s="2">
        <v>1</v>
      </c>
      <c r="EV71" s="2">
        <v>0</v>
      </c>
      <c r="EW71" s="2">
        <v>1</v>
      </c>
      <c r="EX71" s="2">
        <v>0</v>
      </c>
      <c r="EY71" s="2">
        <v>1</v>
      </c>
      <c r="EZ71" s="2">
        <v>1</v>
      </c>
      <c r="FA71" s="2">
        <v>0</v>
      </c>
      <c r="FB71" s="2">
        <v>0</v>
      </c>
      <c r="FC71" s="2">
        <v>1</v>
      </c>
      <c r="FD71" s="2">
        <v>0</v>
      </c>
      <c r="FE71" s="2">
        <v>0</v>
      </c>
      <c r="FF71" s="2">
        <v>1</v>
      </c>
      <c r="FG71" s="2">
        <v>0</v>
      </c>
      <c r="FH71" s="2">
        <v>1</v>
      </c>
      <c r="FI71" s="2">
        <v>0</v>
      </c>
      <c r="FJ71" s="2">
        <v>1</v>
      </c>
      <c r="FK71" s="2">
        <v>0</v>
      </c>
      <c r="FL71" s="2">
        <v>0</v>
      </c>
      <c r="FM71" s="2">
        <v>1</v>
      </c>
      <c r="FN71" s="2">
        <v>1</v>
      </c>
      <c r="FO71" s="2">
        <v>0</v>
      </c>
      <c r="FP71" s="2">
        <v>0</v>
      </c>
      <c r="FQ71" s="2">
        <v>1</v>
      </c>
      <c r="FR71" s="2">
        <v>0</v>
      </c>
      <c r="FS71" s="2">
        <v>1</v>
      </c>
      <c r="FT71" s="2">
        <v>0</v>
      </c>
      <c r="FU71" s="2">
        <v>1</v>
      </c>
      <c r="FV71" s="2">
        <v>0</v>
      </c>
      <c r="FW71" s="2">
        <v>1</v>
      </c>
      <c r="FX71" s="2">
        <v>1</v>
      </c>
      <c r="FY71" s="2">
        <v>0</v>
      </c>
      <c r="FZ71" s="2"/>
      <c r="GA71" s="2">
        <v>4</v>
      </c>
      <c r="GB71" s="2">
        <v>4</v>
      </c>
      <c r="GC71" s="2">
        <v>4</v>
      </c>
      <c r="GD71" s="2">
        <v>4</v>
      </c>
      <c r="GE71" s="2">
        <v>4</v>
      </c>
      <c r="GG71" s="2">
        <v>4</v>
      </c>
      <c r="GH71" s="2">
        <v>4</v>
      </c>
      <c r="GI71" s="2">
        <v>4</v>
      </c>
      <c r="GJ71" s="2">
        <v>4</v>
      </c>
      <c r="GK71" s="2">
        <v>4</v>
      </c>
      <c r="GM71" s="2">
        <f t="shared" si="0"/>
        <v>20</v>
      </c>
      <c r="GN71" s="2">
        <f t="shared" si="1"/>
        <v>20</v>
      </c>
      <c r="GO71" s="2"/>
      <c r="GP71" s="2">
        <v>1</v>
      </c>
      <c r="GQ71" s="2">
        <v>0</v>
      </c>
      <c r="GR71" s="2">
        <v>1</v>
      </c>
      <c r="GS71" s="2">
        <v>1</v>
      </c>
      <c r="GU71" s="2">
        <v>1</v>
      </c>
      <c r="GV71" s="2">
        <v>1</v>
      </c>
      <c r="GW71" s="2">
        <v>0</v>
      </c>
      <c r="GY71" s="2">
        <v>3</v>
      </c>
      <c r="GZ71" s="2">
        <v>3</v>
      </c>
      <c r="HA71" s="2">
        <v>3</v>
      </c>
      <c r="HB71" s="2">
        <v>3</v>
      </c>
      <c r="HD71" s="2">
        <v>3</v>
      </c>
      <c r="HE71" s="2">
        <v>3</v>
      </c>
      <c r="HF71" s="2">
        <v>2</v>
      </c>
      <c r="HH71" s="2">
        <f t="shared" si="2"/>
        <v>5</v>
      </c>
      <c r="HI71" s="2">
        <f t="shared" si="3"/>
        <v>20</v>
      </c>
      <c r="HJ71" s="2"/>
      <c r="HK71" s="2">
        <v>9</v>
      </c>
      <c r="HL71" s="2">
        <v>10</v>
      </c>
      <c r="HM71" s="2"/>
      <c r="HN71" s="2"/>
    </row>
    <row r="72" spans="1:222" ht="15.75" customHeight="1" x14ac:dyDescent="0.2">
      <c r="A72" s="3" t="e">
        <f>VLOOKUP(B72,#REF!,1,FALSE)</f>
        <v>#REF!</v>
      </c>
      <c r="B72" s="3">
        <v>44642.781353182872</v>
      </c>
      <c r="C72" s="2">
        <v>79</v>
      </c>
      <c r="D72" s="2" t="s">
        <v>185</v>
      </c>
      <c r="E72" s="2">
        <v>0</v>
      </c>
      <c r="F72" s="2" t="s">
        <v>232</v>
      </c>
      <c r="G72" s="2">
        <v>8</v>
      </c>
      <c r="H72" s="2">
        <v>2</v>
      </c>
      <c r="I72" s="2">
        <v>1</v>
      </c>
      <c r="J72" s="2">
        <v>5</v>
      </c>
      <c r="K72" s="2">
        <v>0</v>
      </c>
      <c r="L72" s="2">
        <v>3</v>
      </c>
      <c r="M72" s="2" t="s">
        <v>187</v>
      </c>
      <c r="N72" s="2">
        <v>2</v>
      </c>
      <c r="O72" s="2">
        <v>5</v>
      </c>
      <c r="P72" s="2">
        <v>0</v>
      </c>
      <c r="Q72" s="2">
        <v>0</v>
      </c>
      <c r="R72" s="2">
        <v>2</v>
      </c>
      <c r="S72" s="2">
        <v>0</v>
      </c>
      <c r="T72" s="2">
        <v>-1</v>
      </c>
      <c r="U72" s="2">
        <v>1</v>
      </c>
      <c r="V72" s="2">
        <v>-1</v>
      </c>
      <c r="W72" s="2">
        <v>0</v>
      </c>
      <c r="X72" s="2"/>
      <c r="Y72" s="2">
        <v>1</v>
      </c>
      <c r="Z72" s="2">
        <v>0</v>
      </c>
      <c r="AA72" s="2">
        <v>1</v>
      </c>
      <c r="AB72" s="2">
        <v>2</v>
      </c>
      <c r="AC72" s="2">
        <v>4</v>
      </c>
      <c r="AD72" s="2">
        <v>4</v>
      </c>
      <c r="AE72" s="2">
        <v>1</v>
      </c>
      <c r="AF72" s="2">
        <v>2</v>
      </c>
      <c r="AG72" s="2">
        <v>1</v>
      </c>
      <c r="AH72" s="2">
        <v>2</v>
      </c>
      <c r="AI72" s="2">
        <v>2</v>
      </c>
      <c r="AJ72" s="2">
        <v>2</v>
      </c>
      <c r="AK72" s="2">
        <v>3</v>
      </c>
      <c r="AL72" s="2">
        <v>2</v>
      </c>
      <c r="AM72" s="2">
        <v>4</v>
      </c>
      <c r="AN72" s="2">
        <v>3</v>
      </c>
      <c r="AO72" s="2">
        <v>3</v>
      </c>
      <c r="AP72" s="2">
        <v>4</v>
      </c>
      <c r="AQ72" s="2">
        <v>5</v>
      </c>
      <c r="AR72" s="2">
        <v>3</v>
      </c>
      <c r="AS72" s="2">
        <v>0</v>
      </c>
      <c r="AT72" s="2">
        <v>1</v>
      </c>
      <c r="AU72" s="2">
        <v>1</v>
      </c>
      <c r="AV72" s="2"/>
      <c r="AW72" s="2">
        <v>2</v>
      </c>
      <c r="AX72" s="2">
        <v>3</v>
      </c>
      <c r="AY72" s="2">
        <v>1</v>
      </c>
      <c r="AZ72" s="2">
        <v>2</v>
      </c>
      <c r="BA72" s="2">
        <v>4</v>
      </c>
      <c r="BB72" s="2">
        <v>2</v>
      </c>
      <c r="BC72" s="2">
        <v>1</v>
      </c>
      <c r="BD72" s="2">
        <v>2</v>
      </c>
      <c r="BE72" s="2">
        <v>3</v>
      </c>
      <c r="BF72" s="2">
        <v>1</v>
      </c>
      <c r="BG72" s="2">
        <v>3</v>
      </c>
      <c r="BH72" s="2">
        <v>2</v>
      </c>
      <c r="BI72" s="2"/>
      <c r="BJ72" s="2">
        <v>3</v>
      </c>
      <c r="BK72" s="2">
        <v>1</v>
      </c>
      <c r="BL72" s="2">
        <v>1</v>
      </c>
      <c r="BM72" s="2">
        <v>8</v>
      </c>
      <c r="BN72" s="2">
        <v>7</v>
      </c>
      <c r="BO72" s="2">
        <v>7</v>
      </c>
      <c r="BP72" s="2" t="s">
        <v>419</v>
      </c>
      <c r="BQ72" s="2"/>
      <c r="BR72" s="2"/>
      <c r="BS72" s="2"/>
      <c r="BT72" s="2" t="s">
        <v>258</v>
      </c>
      <c r="BU72" s="2" t="s">
        <v>258</v>
      </c>
      <c r="BV72" s="2" t="s">
        <v>420</v>
      </c>
      <c r="BW72" s="2" t="s">
        <v>421</v>
      </c>
      <c r="BX72" s="2" t="s">
        <v>190</v>
      </c>
      <c r="BY72" s="2" t="s">
        <v>188</v>
      </c>
      <c r="BZ72" s="2" t="s">
        <v>191</v>
      </c>
      <c r="CA72" s="2" t="s">
        <v>190</v>
      </c>
      <c r="CB72" s="2" t="s">
        <v>188</v>
      </c>
      <c r="CC72" s="2" t="s">
        <v>191</v>
      </c>
      <c r="CD72" s="2" t="s">
        <v>189</v>
      </c>
      <c r="CE72" s="2" t="s">
        <v>188</v>
      </c>
      <c r="CF72" s="2" t="s">
        <v>188</v>
      </c>
      <c r="CG72" s="2" t="s">
        <v>190</v>
      </c>
      <c r="CH72" s="2" t="s">
        <v>191</v>
      </c>
      <c r="CI72" s="2" t="s">
        <v>191</v>
      </c>
      <c r="CJ72" s="2" t="s">
        <v>189</v>
      </c>
      <c r="CK72" s="2" t="s">
        <v>190</v>
      </c>
      <c r="CL72" s="2" t="s">
        <v>190</v>
      </c>
      <c r="CM72" s="2" t="s">
        <v>192</v>
      </c>
      <c r="CN72" s="2" t="s">
        <v>192</v>
      </c>
      <c r="CO72" s="2" t="s">
        <v>200</v>
      </c>
      <c r="CP72" s="2" t="s">
        <v>193</v>
      </c>
      <c r="CQ72" s="2" t="s">
        <v>193</v>
      </c>
      <c r="CR72" s="2" t="s">
        <v>200</v>
      </c>
      <c r="CS72" s="2" t="s">
        <v>200</v>
      </c>
      <c r="CT72" s="2" t="s">
        <v>192</v>
      </c>
      <c r="CU72" s="2" t="s">
        <v>200</v>
      </c>
      <c r="CV72" s="2" t="s">
        <v>200</v>
      </c>
      <c r="CW72" s="2" t="s">
        <v>193</v>
      </c>
      <c r="CX72" s="2" t="s">
        <v>200</v>
      </c>
      <c r="CY72" s="2" t="s">
        <v>193</v>
      </c>
      <c r="CZ72" s="2" t="s">
        <v>193</v>
      </c>
      <c r="DA72" s="2" t="s">
        <v>200</v>
      </c>
      <c r="DB72" s="2" t="s">
        <v>193</v>
      </c>
      <c r="DC72" s="2" t="s">
        <v>192</v>
      </c>
      <c r="DD72" s="2" t="s">
        <v>193</v>
      </c>
      <c r="DE72" s="2" t="s">
        <v>200</v>
      </c>
      <c r="DF72" s="2" t="s">
        <v>192</v>
      </c>
      <c r="DG72" s="2" t="s">
        <v>195</v>
      </c>
      <c r="DH72" s="2" t="s">
        <v>195</v>
      </c>
      <c r="DI72" s="2" t="s">
        <v>195</v>
      </c>
      <c r="DJ72" s="2" t="s">
        <v>196</v>
      </c>
      <c r="DK72" s="2" t="s">
        <v>196</v>
      </c>
      <c r="DL72" s="2" t="s">
        <v>194</v>
      </c>
      <c r="DM72" s="2" t="s">
        <v>196</v>
      </c>
      <c r="DN72" s="2" t="s">
        <v>220</v>
      </c>
      <c r="DO72" s="2" t="s">
        <v>220</v>
      </c>
      <c r="DP72" s="2" t="s">
        <v>194</v>
      </c>
      <c r="DQ72" s="2" t="s">
        <v>196</v>
      </c>
      <c r="DR72" s="2" t="s">
        <v>196</v>
      </c>
      <c r="DS72" s="2" t="s">
        <v>198</v>
      </c>
      <c r="DT72" s="2" t="s">
        <v>198</v>
      </c>
      <c r="DU72" s="2" t="s">
        <v>199</v>
      </c>
      <c r="DV72" s="2" t="s">
        <v>197</v>
      </c>
      <c r="DW72" s="2" t="s">
        <v>198</v>
      </c>
      <c r="DX72" s="2" t="s">
        <v>199</v>
      </c>
      <c r="DY72" s="2" t="s">
        <v>198</v>
      </c>
      <c r="DZ72" s="2"/>
      <c r="EA72" s="2">
        <v>1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1</v>
      </c>
      <c r="EI72" s="2">
        <v>0</v>
      </c>
      <c r="EJ72" s="2">
        <v>1</v>
      </c>
      <c r="EK72" s="2">
        <v>0</v>
      </c>
      <c r="EL72" s="2">
        <v>1</v>
      </c>
      <c r="EM72" s="2">
        <v>0</v>
      </c>
      <c r="EN72" s="2">
        <v>1</v>
      </c>
      <c r="EO72" s="2">
        <v>0</v>
      </c>
      <c r="EP72" s="2">
        <v>1</v>
      </c>
      <c r="EQ72" s="2">
        <v>0</v>
      </c>
      <c r="ER72" s="2">
        <v>1</v>
      </c>
      <c r="ES72" s="2">
        <v>0</v>
      </c>
      <c r="ET72" s="2">
        <v>0</v>
      </c>
      <c r="EU72" s="2">
        <v>1</v>
      </c>
      <c r="EV72" s="2">
        <v>1</v>
      </c>
      <c r="EW72" s="2">
        <v>0</v>
      </c>
      <c r="EX72" s="2">
        <v>0</v>
      </c>
      <c r="EY72" s="2">
        <v>1</v>
      </c>
      <c r="EZ72" s="2">
        <v>1</v>
      </c>
      <c r="FA72" s="2">
        <v>0</v>
      </c>
      <c r="FB72" s="2">
        <v>1</v>
      </c>
      <c r="FC72" s="2">
        <v>0</v>
      </c>
      <c r="FD72" s="2">
        <v>0</v>
      </c>
      <c r="FE72" s="2">
        <v>0</v>
      </c>
      <c r="FF72" s="2">
        <v>1</v>
      </c>
      <c r="FG72" s="2">
        <v>0</v>
      </c>
      <c r="FH72" s="2">
        <v>1</v>
      </c>
      <c r="FI72" s="2">
        <v>0</v>
      </c>
      <c r="FJ72" s="2">
        <v>1</v>
      </c>
      <c r="FK72" s="2">
        <v>0</v>
      </c>
      <c r="FL72" s="2">
        <v>1</v>
      </c>
      <c r="FM72" s="2">
        <v>0</v>
      </c>
      <c r="FN72" s="2">
        <v>1</v>
      </c>
      <c r="FO72" s="2">
        <v>0</v>
      </c>
      <c r="FP72" s="2">
        <v>1</v>
      </c>
      <c r="FQ72" s="2">
        <v>1</v>
      </c>
      <c r="FR72" s="2">
        <v>0</v>
      </c>
      <c r="FS72" s="2">
        <v>1</v>
      </c>
      <c r="FT72" s="2">
        <v>0</v>
      </c>
      <c r="FU72" s="2">
        <v>1</v>
      </c>
      <c r="FV72" s="2">
        <v>0</v>
      </c>
      <c r="FW72" s="2">
        <v>1</v>
      </c>
      <c r="FX72" s="2">
        <v>1</v>
      </c>
      <c r="FY72" s="2">
        <v>0</v>
      </c>
      <c r="FZ72" s="2"/>
      <c r="GA72" s="2">
        <v>4</v>
      </c>
      <c r="GB72" s="2">
        <v>3</v>
      </c>
      <c r="GC72" s="2">
        <v>3</v>
      </c>
      <c r="GD72" s="2">
        <v>4</v>
      </c>
      <c r="GE72" s="2">
        <v>5</v>
      </c>
      <c r="GG72" s="2">
        <v>2</v>
      </c>
      <c r="GH72" s="2">
        <v>4</v>
      </c>
      <c r="GI72" s="2">
        <v>2</v>
      </c>
      <c r="GJ72" s="2">
        <v>1</v>
      </c>
      <c r="GK72" s="2">
        <v>2</v>
      </c>
      <c r="GM72" s="2">
        <f t="shared" si="0"/>
        <v>19</v>
      </c>
      <c r="GN72" s="2">
        <f t="shared" si="1"/>
        <v>11</v>
      </c>
      <c r="GO72" s="2"/>
      <c r="GP72" s="2">
        <v>3</v>
      </c>
      <c r="GQ72" s="2">
        <v>0</v>
      </c>
      <c r="GR72" s="2">
        <v>1</v>
      </c>
      <c r="GS72" s="2">
        <v>1</v>
      </c>
      <c r="GU72" s="2">
        <v>2</v>
      </c>
      <c r="GV72" s="2">
        <v>3</v>
      </c>
      <c r="GW72" s="2">
        <v>1</v>
      </c>
      <c r="GY72" s="2">
        <v>3</v>
      </c>
      <c r="GZ72" s="2">
        <v>1</v>
      </c>
      <c r="HA72" s="2">
        <v>3</v>
      </c>
      <c r="HB72" s="2">
        <v>2</v>
      </c>
      <c r="HD72" s="2">
        <v>3</v>
      </c>
      <c r="HE72" s="2">
        <v>1</v>
      </c>
      <c r="HF72" s="2">
        <v>1</v>
      </c>
      <c r="HH72" s="2">
        <f t="shared" si="2"/>
        <v>11</v>
      </c>
      <c r="HI72" s="2">
        <f t="shared" si="3"/>
        <v>14</v>
      </c>
      <c r="HJ72" s="2"/>
      <c r="HK72" s="2">
        <v>7</v>
      </c>
      <c r="HL72" s="2">
        <v>7</v>
      </c>
      <c r="HM72" s="2"/>
      <c r="HN72" s="2"/>
    </row>
    <row r="73" spans="1:222" ht="15.75" customHeight="1" x14ac:dyDescent="0.2">
      <c r="A73" s="3" t="e">
        <f>VLOOKUP(B73,#REF!,1,FALSE)</f>
        <v>#REF!</v>
      </c>
      <c r="B73" s="3">
        <v>44642.783446574074</v>
      </c>
      <c r="C73" s="2">
        <v>80</v>
      </c>
      <c r="D73" s="2" t="s">
        <v>185</v>
      </c>
      <c r="E73" s="2">
        <v>0</v>
      </c>
      <c r="F73" s="2" t="s">
        <v>186</v>
      </c>
      <c r="G73" s="2">
        <v>15</v>
      </c>
      <c r="H73" s="2">
        <v>2</v>
      </c>
      <c r="I73" s="2">
        <v>1</v>
      </c>
      <c r="J73" s="2">
        <v>3</v>
      </c>
      <c r="K73" s="2">
        <v>0</v>
      </c>
      <c r="L73" s="2">
        <v>6</v>
      </c>
      <c r="M73" s="2" t="s">
        <v>187</v>
      </c>
      <c r="N73" s="2">
        <v>3</v>
      </c>
      <c r="O73" s="2">
        <v>3</v>
      </c>
      <c r="P73" s="2">
        <v>0</v>
      </c>
      <c r="Q73" s="2" t="s">
        <v>422</v>
      </c>
      <c r="R73" s="2">
        <v>2</v>
      </c>
      <c r="S73" s="2">
        <v>0</v>
      </c>
      <c r="T73" s="2">
        <v>-1</v>
      </c>
      <c r="U73" s="2">
        <v>-1</v>
      </c>
      <c r="V73" s="2">
        <v>-1</v>
      </c>
      <c r="W73" s="2">
        <v>-1</v>
      </c>
      <c r="X73" s="2"/>
      <c r="Y73" s="2">
        <v>-1</v>
      </c>
      <c r="Z73" s="2">
        <v>1</v>
      </c>
      <c r="AA73" s="2">
        <v>-1</v>
      </c>
      <c r="AB73" s="2">
        <v>0</v>
      </c>
      <c r="AC73" s="2">
        <v>0</v>
      </c>
      <c r="AD73" s="2">
        <v>4</v>
      </c>
      <c r="AE73" s="2">
        <v>4</v>
      </c>
      <c r="AF73" s="2">
        <v>0</v>
      </c>
      <c r="AG73" s="2">
        <v>-3</v>
      </c>
      <c r="AH73" s="2">
        <v>-3</v>
      </c>
      <c r="AI73" s="2">
        <v>-3</v>
      </c>
      <c r="AJ73" s="2">
        <v>-3</v>
      </c>
      <c r="AK73" s="2">
        <v>-3</v>
      </c>
      <c r="AL73" s="2">
        <v>-3</v>
      </c>
      <c r="AM73" s="2">
        <v>4</v>
      </c>
      <c r="AN73" s="2">
        <v>4</v>
      </c>
      <c r="AO73" s="2">
        <v>4</v>
      </c>
      <c r="AP73" s="2">
        <v>4</v>
      </c>
      <c r="AQ73" s="2">
        <v>4</v>
      </c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>
        <v>0</v>
      </c>
      <c r="EB73" s="2">
        <v>0</v>
      </c>
      <c r="EC73" s="2">
        <v>1</v>
      </c>
      <c r="ED73" s="2">
        <v>1</v>
      </c>
      <c r="EE73" s="2">
        <v>0</v>
      </c>
      <c r="EF73" s="2">
        <v>0</v>
      </c>
      <c r="EG73" s="2">
        <v>0</v>
      </c>
      <c r="EH73" s="2">
        <v>0</v>
      </c>
      <c r="EI73" s="2">
        <v>1</v>
      </c>
      <c r="EJ73" s="2">
        <v>0</v>
      </c>
      <c r="EK73" s="2">
        <v>0</v>
      </c>
      <c r="EL73" s="2">
        <v>0</v>
      </c>
      <c r="EM73" s="2">
        <v>1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1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/>
      <c r="GA73" s="7">
        <v>4</v>
      </c>
      <c r="GB73" s="7">
        <v>4</v>
      </c>
      <c r="GC73" s="7">
        <v>4</v>
      </c>
      <c r="GD73" s="7">
        <v>4</v>
      </c>
      <c r="GE73" s="7">
        <v>4</v>
      </c>
      <c r="GF73" s="7"/>
      <c r="GG73" s="7"/>
      <c r="GH73" s="7"/>
      <c r="GI73" s="7"/>
      <c r="GJ73" s="7"/>
      <c r="GK73" s="7"/>
      <c r="GL73" s="7"/>
      <c r="GM73" s="7">
        <f t="shared" si="0"/>
        <v>20</v>
      </c>
      <c r="GN73" s="7">
        <f t="shared" si="1"/>
        <v>0</v>
      </c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>
        <f t="shared" si="2"/>
        <v>0</v>
      </c>
      <c r="HI73" s="7">
        <f t="shared" si="3"/>
        <v>0</v>
      </c>
      <c r="HJ73" s="7"/>
    </row>
    <row r="74" spans="1:222" ht="15.75" customHeight="1" x14ac:dyDescent="0.2">
      <c r="A74" s="3" t="e">
        <f>VLOOKUP(B74,#REF!,1,FALSE)</f>
        <v>#REF!</v>
      </c>
      <c r="B74" s="3">
        <v>44642.787734814818</v>
      </c>
      <c r="C74" s="2">
        <v>81</v>
      </c>
      <c r="D74" s="2" t="s">
        <v>185</v>
      </c>
      <c r="E74" s="2">
        <v>0</v>
      </c>
      <c r="F74" s="2" t="s">
        <v>232</v>
      </c>
      <c r="G74" s="2">
        <v>2</v>
      </c>
      <c r="H74" s="2">
        <v>2</v>
      </c>
      <c r="I74" s="2">
        <v>1</v>
      </c>
      <c r="J74" s="2">
        <v>2</v>
      </c>
      <c r="K74" s="2">
        <v>0</v>
      </c>
      <c r="L74" s="2">
        <v>3</v>
      </c>
      <c r="M74" s="2" t="s">
        <v>187</v>
      </c>
      <c r="N74" s="2">
        <v>2</v>
      </c>
      <c r="O74" s="2">
        <v>3</v>
      </c>
      <c r="P74" s="2">
        <v>0</v>
      </c>
      <c r="Q74" s="2">
        <v>0</v>
      </c>
      <c r="R74" s="2">
        <v>3</v>
      </c>
      <c r="S74" s="2">
        <v>0</v>
      </c>
      <c r="T74" s="2">
        <v>-1</v>
      </c>
      <c r="U74" s="2">
        <v>0</v>
      </c>
      <c r="V74" s="2">
        <v>1</v>
      </c>
      <c r="W74" s="2">
        <v>-1</v>
      </c>
      <c r="X74" s="2"/>
      <c r="Y74" s="2">
        <v>1</v>
      </c>
      <c r="Z74" s="2">
        <v>0</v>
      </c>
      <c r="AA74" s="2">
        <v>1</v>
      </c>
      <c r="AB74" s="2">
        <v>4</v>
      </c>
      <c r="AC74" s="2">
        <v>2</v>
      </c>
      <c r="AD74" s="2">
        <v>2</v>
      </c>
      <c r="AE74" s="2">
        <v>2</v>
      </c>
      <c r="AF74" s="2">
        <v>1</v>
      </c>
      <c r="AG74" s="2">
        <v>1</v>
      </c>
      <c r="AH74" s="2">
        <v>2</v>
      </c>
      <c r="AI74" s="2">
        <v>2</v>
      </c>
      <c r="AJ74" s="2">
        <v>2</v>
      </c>
      <c r="AK74" s="2">
        <v>1</v>
      </c>
      <c r="AL74" s="2">
        <v>1</v>
      </c>
      <c r="AM74" s="2">
        <v>2</v>
      </c>
      <c r="AN74" s="2">
        <v>2</v>
      </c>
      <c r="AO74" s="2">
        <v>2</v>
      </c>
      <c r="AP74" s="2">
        <v>2</v>
      </c>
      <c r="AQ74" s="2">
        <v>3</v>
      </c>
      <c r="AR74" s="2">
        <v>4</v>
      </c>
      <c r="AS74" s="2">
        <v>1</v>
      </c>
      <c r="AT74" s="2">
        <v>0</v>
      </c>
      <c r="AU74" s="2">
        <v>0</v>
      </c>
      <c r="AV74" s="2"/>
      <c r="AW74" s="2">
        <v>2</v>
      </c>
      <c r="AX74" s="2">
        <v>3</v>
      </c>
      <c r="AY74" s="2">
        <v>0</v>
      </c>
      <c r="AZ74" s="2">
        <v>3</v>
      </c>
      <c r="BA74" s="2">
        <v>3</v>
      </c>
      <c r="BB74" s="2">
        <v>2</v>
      </c>
      <c r="BC74" s="2">
        <v>2</v>
      </c>
      <c r="BD74" s="2">
        <v>2</v>
      </c>
      <c r="BE74" s="2">
        <v>2</v>
      </c>
      <c r="BF74" s="2">
        <v>2</v>
      </c>
      <c r="BG74" s="2">
        <v>1</v>
      </c>
      <c r="BH74" s="2">
        <v>1</v>
      </c>
      <c r="BI74" s="2"/>
      <c r="BJ74" s="2">
        <v>3</v>
      </c>
      <c r="BK74" s="2">
        <v>3</v>
      </c>
      <c r="BL74" s="2">
        <v>-1</v>
      </c>
      <c r="BM74" s="2">
        <v>6</v>
      </c>
      <c r="BN74" s="2">
        <v>7</v>
      </c>
      <c r="BO74" s="2">
        <v>6</v>
      </c>
      <c r="BP74" s="2" t="s">
        <v>423</v>
      </c>
      <c r="BQ74" s="2"/>
      <c r="BR74" s="2"/>
      <c r="BS74" s="2"/>
      <c r="BT74" s="2"/>
      <c r="BU74" s="2"/>
      <c r="BV74" s="2"/>
      <c r="BW74" s="2"/>
      <c r="BX74" s="2" t="s">
        <v>191</v>
      </c>
      <c r="BY74" s="2" t="s">
        <v>188</v>
      </c>
      <c r="BZ74" s="2" t="s">
        <v>191</v>
      </c>
      <c r="CA74" s="2" t="s">
        <v>191</v>
      </c>
      <c r="CB74" s="2" t="s">
        <v>188</v>
      </c>
      <c r="CC74" s="2" t="s">
        <v>190</v>
      </c>
      <c r="CD74" s="2" t="s">
        <v>190</v>
      </c>
      <c r="CE74" s="2" t="s">
        <v>191</v>
      </c>
      <c r="CF74" s="2" t="s">
        <v>191</v>
      </c>
      <c r="CG74" s="2" t="s">
        <v>191</v>
      </c>
      <c r="CH74" s="2" t="s">
        <v>188</v>
      </c>
      <c r="CI74" s="2" t="s">
        <v>191</v>
      </c>
      <c r="CJ74" s="2" t="s">
        <v>191</v>
      </c>
      <c r="CK74" s="2" t="s">
        <v>189</v>
      </c>
      <c r="CL74" s="2" t="s">
        <v>191</v>
      </c>
      <c r="CM74" s="2" t="s">
        <v>200</v>
      </c>
      <c r="CN74" s="2" t="s">
        <v>192</v>
      </c>
      <c r="CO74" s="2" t="s">
        <v>200</v>
      </c>
      <c r="CP74" s="2"/>
      <c r="CQ74" s="2" t="s">
        <v>192</v>
      </c>
      <c r="CR74" s="2" t="s">
        <v>200</v>
      </c>
      <c r="CS74" s="2" t="s">
        <v>200</v>
      </c>
      <c r="CT74" s="2" t="s">
        <v>200</v>
      </c>
      <c r="CU74" s="2" t="s">
        <v>200</v>
      </c>
      <c r="CV74" s="2" t="s">
        <v>200</v>
      </c>
      <c r="CW74" s="2" t="s">
        <v>200</v>
      </c>
      <c r="CX74" s="2" t="s">
        <v>200</v>
      </c>
      <c r="CY74" s="2" t="s">
        <v>200</v>
      </c>
      <c r="CZ74" s="2" t="s">
        <v>200</v>
      </c>
      <c r="DA74" s="2" t="s">
        <v>200</v>
      </c>
      <c r="DB74" s="2" t="s">
        <v>200</v>
      </c>
      <c r="DC74" s="2" t="s">
        <v>192</v>
      </c>
      <c r="DD74" s="2" t="s">
        <v>200</v>
      </c>
      <c r="DE74" s="2" t="s">
        <v>200</v>
      </c>
      <c r="DF74" s="2" t="s">
        <v>200</v>
      </c>
      <c r="DG74" s="2" t="s">
        <v>195</v>
      </c>
      <c r="DH74" s="2" t="s">
        <v>195</v>
      </c>
      <c r="DI74" s="2" t="s">
        <v>195</v>
      </c>
      <c r="DJ74" s="2" t="s">
        <v>195</v>
      </c>
      <c r="DK74" s="2" t="s">
        <v>194</v>
      </c>
      <c r="DL74" s="2" t="s">
        <v>195</v>
      </c>
      <c r="DM74" s="2" t="s">
        <v>195</v>
      </c>
      <c r="DN74" s="2" t="s">
        <v>220</v>
      </c>
      <c r="DO74" s="2" t="s">
        <v>220</v>
      </c>
      <c r="DP74" s="2" t="s">
        <v>194</v>
      </c>
      <c r="DQ74" s="2" t="s">
        <v>194</v>
      </c>
      <c r="DR74" s="2" t="s">
        <v>194</v>
      </c>
      <c r="DS74" s="2" t="s">
        <v>197</v>
      </c>
      <c r="DT74" s="2" t="s">
        <v>198</v>
      </c>
      <c r="DU74" s="2" t="s">
        <v>197</v>
      </c>
      <c r="DV74" s="2" t="s">
        <v>197</v>
      </c>
      <c r="DW74" s="2" t="s">
        <v>197</v>
      </c>
      <c r="DX74" s="2" t="s">
        <v>197</v>
      </c>
      <c r="DY74" s="2" t="s">
        <v>197</v>
      </c>
      <c r="DZ74" s="2"/>
      <c r="EA74" s="2">
        <v>1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1</v>
      </c>
      <c r="EI74" s="2">
        <v>0</v>
      </c>
      <c r="EJ74" s="2">
        <v>1</v>
      </c>
      <c r="EK74" s="2">
        <v>0</v>
      </c>
      <c r="EL74" s="2">
        <v>0</v>
      </c>
      <c r="EM74" s="2">
        <v>1</v>
      </c>
      <c r="EN74" s="2">
        <v>1</v>
      </c>
      <c r="EO74" s="2">
        <v>0</v>
      </c>
      <c r="EP74" s="2">
        <v>1</v>
      </c>
      <c r="EQ74" s="2">
        <v>0</v>
      </c>
      <c r="ER74" s="2">
        <v>1</v>
      </c>
      <c r="ES74" s="2">
        <v>0</v>
      </c>
      <c r="ET74" s="2">
        <v>0</v>
      </c>
      <c r="EU74" s="2">
        <v>1</v>
      </c>
      <c r="EV74" s="2">
        <v>1</v>
      </c>
      <c r="EW74" s="2">
        <v>0</v>
      </c>
      <c r="EX74" s="2">
        <v>0</v>
      </c>
      <c r="EY74" s="2">
        <v>1</v>
      </c>
      <c r="EZ74" s="2">
        <v>1</v>
      </c>
      <c r="FA74" s="2">
        <v>0</v>
      </c>
      <c r="FB74" s="2">
        <v>1</v>
      </c>
      <c r="FC74" s="2">
        <v>0</v>
      </c>
      <c r="FD74" s="2">
        <v>0</v>
      </c>
      <c r="FE74" s="2">
        <v>0</v>
      </c>
      <c r="FF74" s="2">
        <v>0</v>
      </c>
      <c r="FG74" s="2">
        <v>1</v>
      </c>
      <c r="FH74" s="2">
        <v>1</v>
      </c>
      <c r="FI74" s="2">
        <v>0</v>
      </c>
      <c r="FJ74" s="2">
        <v>1</v>
      </c>
      <c r="FK74" s="2">
        <v>0</v>
      </c>
      <c r="FL74" s="2">
        <v>1</v>
      </c>
      <c r="FM74" s="2">
        <v>0</v>
      </c>
      <c r="FN74" s="2">
        <v>1</v>
      </c>
      <c r="FO74" s="2">
        <v>0</v>
      </c>
      <c r="FP74" s="2">
        <v>0</v>
      </c>
      <c r="FQ74" s="2">
        <v>1</v>
      </c>
      <c r="FR74" s="2">
        <v>0</v>
      </c>
      <c r="FS74" s="2">
        <v>1</v>
      </c>
      <c r="FT74" s="2">
        <v>0</v>
      </c>
      <c r="FU74" s="2">
        <v>1</v>
      </c>
      <c r="FV74" s="2">
        <v>0</v>
      </c>
      <c r="FW74" s="2">
        <v>1</v>
      </c>
      <c r="FX74" s="2">
        <v>1</v>
      </c>
      <c r="FY74" s="2">
        <v>0</v>
      </c>
      <c r="FZ74" s="2"/>
      <c r="GA74" s="2">
        <v>2</v>
      </c>
      <c r="GB74" s="2">
        <v>2</v>
      </c>
      <c r="GC74" s="2">
        <v>2</v>
      </c>
      <c r="GD74" s="2">
        <v>2</v>
      </c>
      <c r="GE74" s="2">
        <v>3</v>
      </c>
      <c r="GG74" s="2">
        <v>3</v>
      </c>
      <c r="GH74" s="2">
        <v>3</v>
      </c>
      <c r="GI74" s="2">
        <v>2</v>
      </c>
      <c r="GJ74" s="2">
        <v>2</v>
      </c>
      <c r="GK74" s="2">
        <v>2</v>
      </c>
      <c r="GM74" s="2">
        <f t="shared" si="0"/>
        <v>11</v>
      </c>
      <c r="GN74" s="2">
        <f t="shared" si="1"/>
        <v>12</v>
      </c>
      <c r="GO74" s="2"/>
      <c r="GP74" s="2">
        <v>4</v>
      </c>
      <c r="GQ74" s="2">
        <v>1</v>
      </c>
      <c r="GR74" s="2">
        <v>0</v>
      </c>
      <c r="GS74" s="2">
        <v>0</v>
      </c>
      <c r="GU74" s="2">
        <v>2</v>
      </c>
      <c r="GV74" s="2">
        <v>3</v>
      </c>
      <c r="GW74" s="2">
        <v>0</v>
      </c>
      <c r="GY74" s="2">
        <v>2</v>
      </c>
      <c r="GZ74" s="2">
        <v>2</v>
      </c>
      <c r="HA74" s="2">
        <v>1</v>
      </c>
      <c r="HB74" s="2">
        <v>1</v>
      </c>
      <c r="HD74" s="2">
        <v>3</v>
      </c>
      <c r="HE74" s="2">
        <v>3</v>
      </c>
      <c r="HF74" s="2">
        <v>-1</v>
      </c>
      <c r="HH74" s="2">
        <f t="shared" si="2"/>
        <v>10</v>
      </c>
      <c r="HI74" s="2">
        <f t="shared" si="3"/>
        <v>11</v>
      </c>
      <c r="HJ74" s="2"/>
      <c r="HK74" s="2">
        <v>7</v>
      </c>
      <c r="HL74" s="2">
        <v>6</v>
      </c>
      <c r="HM74" s="2"/>
      <c r="HN74" s="2"/>
    </row>
    <row r="75" spans="1:222" ht="15.75" customHeight="1" x14ac:dyDescent="0.2">
      <c r="A75" s="3" t="e">
        <f>VLOOKUP(B75,#REF!,1,FALSE)</f>
        <v>#REF!</v>
      </c>
      <c r="B75" s="3">
        <v>44642.795216736115</v>
      </c>
      <c r="C75" s="2">
        <v>82</v>
      </c>
      <c r="D75" s="2" t="s">
        <v>185</v>
      </c>
      <c r="E75" s="2">
        <v>0</v>
      </c>
      <c r="F75" s="2" t="s">
        <v>237</v>
      </c>
      <c r="G75" s="2">
        <v>8</v>
      </c>
      <c r="H75" s="2">
        <v>2</v>
      </c>
      <c r="I75" s="2">
        <v>1</v>
      </c>
      <c r="J75" s="2">
        <v>4</v>
      </c>
      <c r="K75" s="2">
        <v>0</v>
      </c>
      <c r="L75" s="2">
        <v>4</v>
      </c>
      <c r="M75" s="2" t="s">
        <v>213</v>
      </c>
      <c r="N75" s="2">
        <v>2</v>
      </c>
      <c r="O75" s="2">
        <v>2</v>
      </c>
      <c r="P75" s="2">
        <v>0</v>
      </c>
      <c r="Q75" s="2">
        <v>0</v>
      </c>
      <c r="R75" s="2">
        <v>2</v>
      </c>
      <c r="S75" s="2">
        <v>-1</v>
      </c>
      <c r="T75" s="2">
        <v>-1</v>
      </c>
      <c r="U75" s="2">
        <v>1</v>
      </c>
      <c r="V75" s="2">
        <v>-1</v>
      </c>
      <c r="W75" s="2">
        <v>-1</v>
      </c>
      <c r="X75" s="2"/>
      <c r="Y75" s="2">
        <v>1</v>
      </c>
      <c r="Z75" s="2">
        <v>1</v>
      </c>
      <c r="AA75" s="2">
        <v>1</v>
      </c>
      <c r="AB75" s="2">
        <v>4</v>
      </c>
      <c r="AC75" s="2">
        <v>4</v>
      </c>
      <c r="AD75" s="2">
        <v>4</v>
      </c>
      <c r="AE75" s="2">
        <v>4</v>
      </c>
      <c r="AF75" s="2">
        <v>4</v>
      </c>
      <c r="AG75" s="2">
        <v>2</v>
      </c>
      <c r="AH75" s="2">
        <v>2</v>
      </c>
      <c r="AI75" s="2">
        <v>-3</v>
      </c>
      <c r="AJ75" s="2">
        <v>-3</v>
      </c>
      <c r="AK75" s="2">
        <v>2</v>
      </c>
      <c r="AL75" s="2">
        <v>1</v>
      </c>
      <c r="AM75" s="2">
        <v>4</v>
      </c>
      <c r="AN75" s="2">
        <v>4</v>
      </c>
      <c r="AO75" s="2">
        <v>4</v>
      </c>
      <c r="AP75" s="2">
        <v>4</v>
      </c>
      <c r="AQ75" s="2">
        <v>4</v>
      </c>
      <c r="AR75" s="2">
        <v>2</v>
      </c>
      <c r="AS75" s="2">
        <v>2</v>
      </c>
      <c r="AT75" s="2">
        <v>2</v>
      </c>
      <c r="AU75" s="2">
        <v>2</v>
      </c>
      <c r="AV75" s="2"/>
      <c r="AW75" s="2">
        <v>2</v>
      </c>
      <c r="AX75" s="2">
        <v>1</v>
      </c>
      <c r="AY75" s="2">
        <v>2</v>
      </c>
      <c r="AZ75" s="2">
        <v>2</v>
      </c>
      <c r="BA75" s="2">
        <v>3</v>
      </c>
      <c r="BB75" s="2">
        <v>2</v>
      </c>
      <c r="BC75" s="2">
        <v>4</v>
      </c>
      <c r="BD75" s="2">
        <v>2</v>
      </c>
      <c r="BE75" s="2">
        <v>2</v>
      </c>
      <c r="BF75" s="2">
        <v>2</v>
      </c>
      <c r="BG75" s="2">
        <v>3</v>
      </c>
      <c r="BH75" s="2">
        <v>1</v>
      </c>
      <c r="BI75" s="2"/>
      <c r="BJ75" s="2">
        <v>3</v>
      </c>
      <c r="BK75" s="2">
        <v>1</v>
      </c>
      <c r="BL75" s="2">
        <v>2</v>
      </c>
      <c r="BM75" s="2">
        <v>8</v>
      </c>
      <c r="BN75" s="2">
        <v>8</v>
      </c>
      <c r="BO75" s="2">
        <v>7</v>
      </c>
      <c r="BP75" s="2"/>
      <c r="BQ75" s="2"/>
      <c r="BR75" s="2"/>
      <c r="BS75" s="2"/>
      <c r="BT75" s="2"/>
      <c r="BU75" s="2"/>
      <c r="BV75" s="2"/>
      <c r="BW75" s="2"/>
      <c r="BX75" s="2" t="s">
        <v>190</v>
      </c>
      <c r="BY75" s="2" t="s">
        <v>190</v>
      </c>
      <c r="BZ75" s="2" t="s">
        <v>190</v>
      </c>
      <c r="CA75" s="2" t="s">
        <v>191</v>
      </c>
      <c r="CB75" s="2" t="s">
        <v>188</v>
      </c>
      <c r="CC75" s="2" t="s">
        <v>188</v>
      </c>
      <c r="CD75" s="2" t="s">
        <v>189</v>
      </c>
      <c r="CE75" s="2" t="s">
        <v>191</v>
      </c>
      <c r="CF75" s="2" t="s">
        <v>188</v>
      </c>
      <c r="CG75" s="2" t="s">
        <v>191</v>
      </c>
      <c r="CH75" s="2" t="s">
        <v>188</v>
      </c>
      <c r="CI75" s="2" t="s">
        <v>188</v>
      </c>
      <c r="CJ75" s="2" t="s">
        <v>188</v>
      </c>
      <c r="CK75" s="2" t="s">
        <v>191</v>
      </c>
      <c r="CL75" s="2" t="s">
        <v>190</v>
      </c>
      <c r="CM75" s="2" t="s">
        <v>193</v>
      </c>
      <c r="CN75" s="2" t="s">
        <v>192</v>
      </c>
      <c r="CO75" s="2" t="s">
        <v>193</v>
      </c>
      <c r="CP75" s="2" t="s">
        <v>193</v>
      </c>
      <c r="CQ75" s="2" t="s">
        <v>192</v>
      </c>
      <c r="CR75" s="2" t="s">
        <v>192</v>
      </c>
      <c r="CS75" s="2" t="s">
        <v>193</v>
      </c>
      <c r="CT75" s="2" t="s">
        <v>192</v>
      </c>
      <c r="CU75" s="2" t="s">
        <v>192</v>
      </c>
      <c r="CV75" s="2" t="s">
        <v>192</v>
      </c>
      <c r="CW75" s="2" t="s">
        <v>192</v>
      </c>
      <c r="CX75" s="2" t="s">
        <v>192</v>
      </c>
      <c r="CY75" s="2" t="s">
        <v>192</v>
      </c>
      <c r="CZ75" s="2" t="s">
        <v>192</v>
      </c>
      <c r="DA75" s="2" t="s">
        <v>193</v>
      </c>
      <c r="DB75" s="2" t="s">
        <v>192</v>
      </c>
      <c r="DC75" s="2" t="s">
        <v>192</v>
      </c>
      <c r="DD75" s="2" t="s">
        <v>192</v>
      </c>
      <c r="DE75" s="2" t="s">
        <v>192</v>
      </c>
      <c r="DF75" s="2" t="s">
        <v>192</v>
      </c>
      <c r="DG75" s="2" t="s">
        <v>195</v>
      </c>
      <c r="DH75" s="2" t="s">
        <v>195</v>
      </c>
      <c r="DI75" s="2" t="s">
        <v>195</v>
      </c>
      <c r="DJ75" s="2" t="s">
        <v>196</v>
      </c>
      <c r="DK75" s="2" t="s">
        <v>196</v>
      </c>
      <c r="DL75" s="2" t="s">
        <v>194</v>
      </c>
      <c r="DM75" s="2" t="s">
        <v>194</v>
      </c>
      <c r="DN75" s="2" t="s">
        <v>196</v>
      </c>
      <c r="DO75" s="2" t="s">
        <v>196</v>
      </c>
      <c r="DP75" s="2" t="s">
        <v>194</v>
      </c>
      <c r="DQ75" s="2" t="s">
        <v>194</v>
      </c>
      <c r="DR75" s="2" t="s">
        <v>195</v>
      </c>
      <c r="DS75" s="2" t="s">
        <v>197</v>
      </c>
      <c r="DT75" s="2" t="s">
        <v>197</v>
      </c>
      <c r="DU75" s="2" t="s">
        <v>222</v>
      </c>
      <c r="DV75" s="2" t="s">
        <v>197</v>
      </c>
      <c r="DW75" s="2" t="s">
        <v>197</v>
      </c>
      <c r="DX75" s="2" t="s">
        <v>197</v>
      </c>
      <c r="DY75" s="2" t="s">
        <v>197</v>
      </c>
      <c r="DZ75" s="2"/>
      <c r="EA75" s="2">
        <v>1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1</v>
      </c>
      <c r="EJ75" s="2">
        <v>1</v>
      </c>
      <c r="EK75" s="2">
        <v>0</v>
      </c>
      <c r="EL75" s="2">
        <v>0</v>
      </c>
      <c r="EM75" s="2">
        <v>1</v>
      </c>
      <c r="EN75" s="2">
        <v>1</v>
      </c>
      <c r="EO75" s="2">
        <v>0</v>
      </c>
      <c r="EP75" s="2">
        <v>0</v>
      </c>
      <c r="EQ75" s="2">
        <v>1</v>
      </c>
      <c r="ER75" s="2">
        <v>1</v>
      </c>
      <c r="ES75" s="2">
        <v>0</v>
      </c>
      <c r="ET75" s="2">
        <v>0</v>
      </c>
      <c r="EU75" s="2">
        <v>1</v>
      </c>
      <c r="EV75" s="2">
        <v>1</v>
      </c>
      <c r="EW75" s="2">
        <v>0</v>
      </c>
      <c r="EX75" s="2">
        <v>0</v>
      </c>
      <c r="EY75" s="2">
        <v>1</v>
      </c>
      <c r="EZ75" s="2">
        <v>0</v>
      </c>
      <c r="FA75" s="2">
        <v>0</v>
      </c>
      <c r="FB75" s="2">
        <v>1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1</v>
      </c>
      <c r="FI75" s="2">
        <v>0</v>
      </c>
      <c r="FJ75" s="2">
        <v>1</v>
      </c>
      <c r="FK75" s="2">
        <v>0</v>
      </c>
      <c r="FL75" s="2">
        <v>1</v>
      </c>
      <c r="FM75" s="2">
        <v>0</v>
      </c>
      <c r="FN75" s="2">
        <v>1</v>
      </c>
      <c r="FO75" s="2">
        <v>0</v>
      </c>
      <c r="FP75" s="2">
        <v>0</v>
      </c>
      <c r="FQ75" s="2">
        <v>1</v>
      </c>
      <c r="FR75" s="2">
        <v>1</v>
      </c>
      <c r="FS75" s="2">
        <v>0</v>
      </c>
      <c r="FT75" s="2">
        <v>1</v>
      </c>
      <c r="FU75" s="2">
        <v>0</v>
      </c>
      <c r="FV75" s="2">
        <v>1</v>
      </c>
      <c r="FW75" s="2">
        <v>0</v>
      </c>
      <c r="FX75" s="2">
        <v>1</v>
      </c>
      <c r="FY75" s="2">
        <v>0</v>
      </c>
      <c r="FZ75" s="2"/>
      <c r="GA75" s="2">
        <v>4</v>
      </c>
      <c r="GB75" s="2">
        <v>4</v>
      </c>
      <c r="GC75" s="2">
        <v>4</v>
      </c>
      <c r="GD75" s="2">
        <v>4</v>
      </c>
      <c r="GE75" s="2">
        <v>4</v>
      </c>
      <c r="GG75" s="2">
        <v>2</v>
      </c>
      <c r="GH75" s="2">
        <v>3</v>
      </c>
      <c r="GI75" s="2">
        <v>2</v>
      </c>
      <c r="GJ75" s="2">
        <v>4</v>
      </c>
      <c r="GK75" s="2">
        <v>2</v>
      </c>
      <c r="GM75" s="2">
        <f t="shared" si="0"/>
        <v>20</v>
      </c>
      <c r="GN75" s="2">
        <f t="shared" si="1"/>
        <v>13</v>
      </c>
      <c r="GO75" s="2"/>
      <c r="GP75" s="2">
        <v>2</v>
      </c>
      <c r="GQ75" s="2">
        <v>2</v>
      </c>
      <c r="GR75" s="2">
        <v>2</v>
      </c>
      <c r="GS75" s="2">
        <v>2</v>
      </c>
      <c r="GU75" s="2">
        <v>2</v>
      </c>
      <c r="GV75" s="2">
        <v>1</v>
      </c>
      <c r="GW75" s="2">
        <v>2</v>
      </c>
      <c r="GY75" s="2">
        <v>2</v>
      </c>
      <c r="GZ75" s="2">
        <v>2</v>
      </c>
      <c r="HA75" s="2">
        <v>3</v>
      </c>
      <c r="HB75" s="2">
        <v>1</v>
      </c>
      <c r="HD75" s="2">
        <v>3</v>
      </c>
      <c r="HE75" s="2">
        <v>1</v>
      </c>
      <c r="HF75" s="2">
        <v>2</v>
      </c>
      <c r="HH75" s="2">
        <f t="shared" si="2"/>
        <v>13</v>
      </c>
      <c r="HI75" s="2">
        <f t="shared" si="3"/>
        <v>14</v>
      </c>
      <c r="HJ75" s="2"/>
      <c r="HK75" s="2">
        <v>8</v>
      </c>
      <c r="HL75" s="2">
        <v>7</v>
      </c>
      <c r="HM75" s="2"/>
      <c r="HN75" s="2"/>
    </row>
    <row r="76" spans="1:222" ht="15.75" customHeight="1" x14ac:dyDescent="0.2">
      <c r="A76" s="3" t="e">
        <f>VLOOKUP(B76,#REF!,1,FALSE)</f>
        <v>#REF!</v>
      </c>
      <c r="B76" s="3">
        <v>44642.811998726851</v>
      </c>
      <c r="C76" s="2">
        <v>83</v>
      </c>
      <c r="D76" s="2" t="s">
        <v>185</v>
      </c>
      <c r="E76" s="2">
        <v>0</v>
      </c>
      <c r="F76" s="2" t="s">
        <v>424</v>
      </c>
      <c r="G76" s="2">
        <v>2</v>
      </c>
      <c r="H76" s="2">
        <v>2</v>
      </c>
      <c r="I76" s="2">
        <v>1</v>
      </c>
      <c r="J76" s="2">
        <v>3</v>
      </c>
      <c r="K76" s="2">
        <v>0</v>
      </c>
      <c r="L76" s="2">
        <v>2</v>
      </c>
      <c r="M76" s="2" t="s">
        <v>213</v>
      </c>
      <c r="N76" s="2">
        <v>2</v>
      </c>
      <c r="O76" s="2">
        <v>4</v>
      </c>
      <c r="P76" s="2">
        <v>0</v>
      </c>
      <c r="Q76" s="2">
        <v>0</v>
      </c>
      <c r="R76" s="2">
        <v>3</v>
      </c>
      <c r="S76" s="2">
        <v>0</v>
      </c>
      <c r="T76" s="2">
        <v>-1</v>
      </c>
      <c r="U76" s="2">
        <v>-1</v>
      </c>
      <c r="V76" s="2">
        <v>-1</v>
      </c>
      <c r="W76" s="2">
        <v>-1</v>
      </c>
      <c r="X76" s="2"/>
      <c r="Y76" s="2">
        <v>-1</v>
      </c>
      <c r="Z76" s="2">
        <v>1</v>
      </c>
      <c r="AA76" s="2">
        <v>0</v>
      </c>
      <c r="AB76" s="2">
        <v>1</v>
      </c>
      <c r="AC76" s="2">
        <v>1</v>
      </c>
      <c r="AD76" s="2">
        <v>2</v>
      </c>
      <c r="AE76" s="2">
        <v>2</v>
      </c>
      <c r="AF76" s="2">
        <v>2</v>
      </c>
      <c r="AG76" s="2">
        <v>1</v>
      </c>
      <c r="AH76" s="2">
        <v>1</v>
      </c>
      <c r="AI76" s="2">
        <v>1</v>
      </c>
      <c r="AJ76" s="2">
        <v>1</v>
      </c>
      <c r="AK76" s="2">
        <v>2</v>
      </c>
      <c r="AL76" s="2">
        <v>2</v>
      </c>
      <c r="AM76" s="2">
        <v>4</v>
      </c>
      <c r="AN76" s="2">
        <v>4</v>
      </c>
      <c r="AO76" s="2">
        <v>3</v>
      </c>
      <c r="AP76" s="2">
        <v>4</v>
      </c>
      <c r="AQ76" s="2">
        <v>3</v>
      </c>
      <c r="AR76" s="2">
        <v>3</v>
      </c>
      <c r="AS76" s="2">
        <v>1</v>
      </c>
      <c r="AT76" s="2">
        <v>1</v>
      </c>
      <c r="AU76" s="2">
        <v>1</v>
      </c>
      <c r="AV76" s="2"/>
      <c r="AW76" s="2">
        <v>2</v>
      </c>
      <c r="AX76" s="2">
        <v>2</v>
      </c>
      <c r="AY76" s="2">
        <v>3</v>
      </c>
      <c r="AZ76" s="2">
        <v>4</v>
      </c>
      <c r="BA76" s="2">
        <v>4</v>
      </c>
      <c r="BB76" s="2">
        <v>4</v>
      </c>
      <c r="BC76" s="2">
        <v>4</v>
      </c>
      <c r="BD76" s="2">
        <v>4</v>
      </c>
      <c r="BE76" s="2">
        <v>3</v>
      </c>
      <c r="BF76" s="2">
        <v>1</v>
      </c>
      <c r="BG76" s="2">
        <v>1</v>
      </c>
      <c r="BH76" s="2">
        <v>1</v>
      </c>
      <c r="BI76" s="2"/>
      <c r="BJ76" s="2">
        <v>1</v>
      </c>
      <c r="BK76" s="2">
        <v>1</v>
      </c>
      <c r="BL76" s="2">
        <v>2</v>
      </c>
      <c r="BM76" s="2">
        <v>7</v>
      </c>
      <c r="BN76" s="2">
        <v>8</v>
      </c>
      <c r="BO76" s="2">
        <v>8</v>
      </c>
      <c r="BP76" s="2" t="s">
        <v>425</v>
      </c>
      <c r="BQ76" s="2"/>
      <c r="BR76" s="2"/>
      <c r="BS76" s="2"/>
      <c r="BT76" s="2"/>
      <c r="BU76" s="2"/>
      <c r="BV76" s="2"/>
      <c r="BW76" s="2"/>
      <c r="BX76" s="2" t="s">
        <v>191</v>
      </c>
      <c r="BY76" s="2" t="s">
        <v>191</v>
      </c>
      <c r="BZ76" s="2" t="s">
        <v>191</v>
      </c>
      <c r="CA76" s="2" t="s">
        <v>191</v>
      </c>
      <c r="CB76" s="2" t="s">
        <v>191</v>
      </c>
      <c r="CC76" s="2" t="s">
        <v>191</v>
      </c>
      <c r="CD76" s="2" t="s">
        <v>191</v>
      </c>
      <c r="CE76" s="2" t="s">
        <v>191</v>
      </c>
      <c r="CF76" s="2" t="s">
        <v>191</v>
      </c>
      <c r="CG76" s="2" t="s">
        <v>191</v>
      </c>
      <c r="CH76" s="2" t="s">
        <v>191</v>
      </c>
      <c r="CI76" s="2" t="s">
        <v>191</v>
      </c>
      <c r="CJ76" s="2" t="s">
        <v>191</v>
      </c>
      <c r="CK76" s="2" t="s">
        <v>191</v>
      </c>
      <c r="CL76" s="2" t="s">
        <v>191</v>
      </c>
      <c r="CM76" s="2" t="s">
        <v>200</v>
      </c>
      <c r="CN76" s="2" t="s">
        <v>193</v>
      </c>
      <c r="CO76" s="2" t="s">
        <v>193</v>
      </c>
      <c r="CP76" s="2" t="s">
        <v>193</v>
      </c>
      <c r="CQ76" s="2" t="s">
        <v>200</v>
      </c>
      <c r="CR76" s="2" t="s">
        <v>193</v>
      </c>
      <c r="CS76" s="2" t="s">
        <v>193</v>
      </c>
      <c r="CT76" s="2" t="s">
        <v>193</v>
      </c>
      <c r="CU76" s="2" t="s">
        <v>200</v>
      </c>
      <c r="CV76" s="2" t="s">
        <v>193</v>
      </c>
      <c r="CW76" s="2" t="s">
        <v>193</v>
      </c>
      <c r="CX76" s="2" t="s">
        <v>193</v>
      </c>
      <c r="CY76" s="2" t="s">
        <v>193</v>
      </c>
      <c r="CZ76" s="2" t="s">
        <v>193</v>
      </c>
      <c r="DA76" s="2" t="s">
        <v>193</v>
      </c>
      <c r="DB76" s="2" t="s">
        <v>193</v>
      </c>
      <c r="DC76" s="2" t="s">
        <v>200</v>
      </c>
      <c r="DD76" s="2" t="s">
        <v>200</v>
      </c>
      <c r="DE76" s="2" t="s">
        <v>200</v>
      </c>
      <c r="DF76" s="2" t="s">
        <v>193</v>
      </c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>
        <v>1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1</v>
      </c>
      <c r="EI76" s="2">
        <v>0</v>
      </c>
      <c r="EJ76" s="2">
        <v>1</v>
      </c>
      <c r="EK76" s="2">
        <v>0</v>
      </c>
      <c r="EL76" s="2">
        <v>0</v>
      </c>
      <c r="EM76" s="2">
        <v>1</v>
      </c>
      <c r="EN76" s="2">
        <v>1</v>
      </c>
      <c r="EO76" s="2">
        <v>0</v>
      </c>
      <c r="EP76" s="2">
        <v>0</v>
      </c>
      <c r="EQ76" s="2">
        <v>1</v>
      </c>
      <c r="ER76" s="2">
        <v>0</v>
      </c>
      <c r="ES76" s="2">
        <v>1</v>
      </c>
      <c r="ET76" s="2">
        <v>0</v>
      </c>
      <c r="EU76" s="2">
        <v>1</v>
      </c>
      <c r="EV76" s="2">
        <v>0</v>
      </c>
      <c r="EW76" s="2">
        <v>1</v>
      </c>
      <c r="EX76" s="2">
        <v>0</v>
      </c>
      <c r="EY76" s="2">
        <v>1</v>
      </c>
      <c r="EZ76" s="2">
        <v>1</v>
      </c>
      <c r="FA76" s="2">
        <v>0</v>
      </c>
      <c r="FB76" s="2">
        <v>0</v>
      </c>
      <c r="FC76" s="2">
        <v>1</v>
      </c>
      <c r="FD76" s="2">
        <v>0</v>
      </c>
      <c r="FE76" s="2">
        <v>0</v>
      </c>
      <c r="FF76" s="2">
        <v>0</v>
      </c>
      <c r="FG76" s="2">
        <v>1</v>
      </c>
      <c r="FH76" s="2">
        <v>1</v>
      </c>
      <c r="FI76" s="2">
        <v>0</v>
      </c>
      <c r="FJ76" s="2">
        <v>1</v>
      </c>
      <c r="FK76" s="2">
        <v>0</v>
      </c>
      <c r="FL76" s="2">
        <v>1</v>
      </c>
      <c r="FM76" s="2">
        <v>0</v>
      </c>
      <c r="FN76" s="2">
        <v>0</v>
      </c>
      <c r="FO76" s="2">
        <v>1</v>
      </c>
      <c r="FP76" s="2">
        <v>0</v>
      </c>
      <c r="FQ76" s="2">
        <v>1</v>
      </c>
      <c r="FR76" s="2">
        <v>0</v>
      </c>
      <c r="FS76" s="2">
        <v>1</v>
      </c>
      <c r="FT76" s="2">
        <v>1</v>
      </c>
      <c r="FU76" s="2">
        <v>0</v>
      </c>
      <c r="FV76" s="2">
        <v>0</v>
      </c>
      <c r="FW76" s="2">
        <v>1</v>
      </c>
      <c r="FX76" s="2">
        <v>0</v>
      </c>
      <c r="FY76" s="2">
        <v>1</v>
      </c>
      <c r="FZ76" s="2"/>
      <c r="GA76" s="2">
        <v>4</v>
      </c>
      <c r="GB76" s="2">
        <v>4</v>
      </c>
      <c r="GC76" s="2">
        <v>3</v>
      </c>
      <c r="GD76" s="2">
        <v>4</v>
      </c>
      <c r="GE76" s="2">
        <v>3</v>
      </c>
      <c r="GG76" s="2">
        <v>4</v>
      </c>
      <c r="GH76" s="2">
        <v>4</v>
      </c>
      <c r="GI76" s="2">
        <v>4</v>
      </c>
      <c r="GJ76" s="2">
        <v>4</v>
      </c>
      <c r="GK76" s="2">
        <v>4</v>
      </c>
      <c r="GM76" s="2">
        <f t="shared" si="0"/>
        <v>18</v>
      </c>
      <c r="GN76" s="2">
        <f t="shared" si="1"/>
        <v>20</v>
      </c>
      <c r="GO76" s="2"/>
      <c r="GP76" s="2">
        <v>3</v>
      </c>
      <c r="GQ76" s="2">
        <v>1</v>
      </c>
      <c r="GR76" s="2">
        <v>1</v>
      </c>
      <c r="GS76" s="2">
        <v>1</v>
      </c>
      <c r="GU76" s="2">
        <v>2</v>
      </c>
      <c r="GV76" s="2">
        <v>2</v>
      </c>
      <c r="GW76" s="2">
        <v>3</v>
      </c>
      <c r="GY76" s="2">
        <v>3</v>
      </c>
      <c r="GZ76" s="2">
        <v>1</v>
      </c>
      <c r="HA76" s="2">
        <v>1</v>
      </c>
      <c r="HB76" s="2">
        <v>1</v>
      </c>
      <c r="HD76" s="2">
        <v>1</v>
      </c>
      <c r="HE76" s="2">
        <v>1</v>
      </c>
      <c r="HF76" s="2">
        <v>2</v>
      </c>
      <c r="HH76" s="2">
        <f t="shared" si="2"/>
        <v>13</v>
      </c>
      <c r="HI76" s="2">
        <f t="shared" si="3"/>
        <v>10</v>
      </c>
      <c r="HJ76" s="2"/>
      <c r="HK76" s="2">
        <v>8</v>
      </c>
      <c r="HL76" s="2">
        <v>8</v>
      </c>
      <c r="HM76" s="2"/>
      <c r="HN76" s="2"/>
    </row>
    <row r="77" spans="1:222" ht="15.75" customHeight="1" x14ac:dyDescent="0.2">
      <c r="A77" s="3" t="e">
        <f>VLOOKUP(B77,#REF!,1,FALSE)</f>
        <v>#REF!</v>
      </c>
      <c r="B77" s="3">
        <v>44642.814458564812</v>
      </c>
      <c r="C77" s="2">
        <v>84</v>
      </c>
      <c r="D77" s="2" t="s">
        <v>185</v>
      </c>
      <c r="E77" s="2">
        <v>0</v>
      </c>
      <c r="F77" s="2" t="s">
        <v>364</v>
      </c>
      <c r="G77" s="2">
        <v>2</v>
      </c>
      <c r="H77" s="2">
        <v>2</v>
      </c>
      <c r="I77" s="2">
        <v>1</v>
      </c>
      <c r="J77" s="2">
        <v>4</v>
      </c>
      <c r="K77" s="2">
        <v>0</v>
      </c>
      <c r="L77" s="2">
        <v>3</v>
      </c>
      <c r="M77" s="2" t="s">
        <v>213</v>
      </c>
      <c r="N77" s="2">
        <v>2</v>
      </c>
      <c r="O77" s="2">
        <v>5</v>
      </c>
      <c r="P77" s="2">
        <v>0</v>
      </c>
      <c r="Q77" s="2" t="s">
        <v>277</v>
      </c>
      <c r="R77" s="2">
        <v>2</v>
      </c>
      <c r="S77" s="2">
        <v>1</v>
      </c>
      <c r="T77" s="2">
        <v>0</v>
      </c>
      <c r="U77" s="2">
        <v>0</v>
      </c>
      <c r="V77" s="2">
        <v>-1</v>
      </c>
      <c r="W77" s="2">
        <v>-1</v>
      </c>
      <c r="X77" s="2"/>
      <c r="Y77" s="2">
        <v>0</v>
      </c>
      <c r="Z77" s="2">
        <v>1</v>
      </c>
      <c r="AA77" s="2">
        <v>1</v>
      </c>
      <c r="AB77" s="2">
        <v>2</v>
      </c>
      <c r="AC77" s="2">
        <v>2</v>
      </c>
      <c r="AD77" s="2">
        <v>2</v>
      </c>
      <c r="AE77" s="2">
        <v>2</v>
      </c>
      <c r="AF77" s="2">
        <v>2</v>
      </c>
      <c r="AG77" s="2">
        <v>-1</v>
      </c>
      <c r="AH77" s="2">
        <v>1</v>
      </c>
      <c r="AI77" s="2">
        <v>-1</v>
      </c>
      <c r="AJ77" s="2">
        <v>-1</v>
      </c>
      <c r="AK77" s="2">
        <v>-1</v>
      </c>
      <c r="AL77" s="2">
        <v>1</v>
      </c>
      <c r="AM77" s="2">
        <v>1</v>
      </c>
      <c r="AN77" s="2">
        <v>1</v>
      </c>
      <c r="AO77" s="2">
        <v>1</v>
      </c>
      <c r="AP77" s="2">
        <v>1</v>
      </c>
      <c r="AQ77" s="2">
        <v>2</v>
      </c>
      <c r="AR77" s="2">
        <v>2</v>
      </c>
      <c r="AS77" s="2">
        <v>1</v>
      </c>
      <c r="AT77" s="2">
        <v>2</v>
      </c>
      <c r="AU77" s="2">
        <v>1</v>
      </c>
      <c r="AV77" s="2"/>
      <c r="AW77" s="2">
        <v>2</v>
      </c>
      <c r="AX77" s="2">
        <v>1</v>
      </c>
      <c r="AY77" s="2">
        <v>0</v>
      </c>
      <c r="AZ77" s="2">
        <v>3</v>
      </c>
      <c r="BA77" s="2">
        <v>3</v>
      </c>
      <c r="BB77" s="2">
        <v>3</v>
      </c>
      <c r="BC77" s="2">
        <v>3</v>
      </c>
      <c r="BD77" s="2">
        <v>2</v>
      </c>
      <c r="BE77" s="2">
        <v>2</v>
      </c>
      <c r="BF77" s="2">
        <v>2</v>
      </c>
      <c r="BG77" s="2">
        <v>1</v>
      </c>
      <c r="BH77" s="2">
        <v>1</v>
      </c>
      <c r="BI77" s="2"/>
      <c r="BJ77" s="2">
        <v>1</v>
      </c>
      <c r="BK77" s="2">
        <v>1</v>
      </c>
      <c r="BL77" s="2">
        <v>0</v>
      </c>
      <c r="BM77" s="2">
        <v>7</v>
      </c>
      <c r="BN77" s="2">
        <v>9</v>
      </c>
      <c r="BO77" s="2">
        <v>9</v>
      </c>
      <c r="BP77" s="2"/>
      <c r="BQ77" s="2"/>
      <c r="BR77" s="2"/>
      <c r="BS77" s="2"/>
      <c r="BT77" s="2"/>
      <c r="BU77" s="2"/>
      <c r="BV77" s="2"/>
      <c r="BW77" s="2"/>
      <c r="BX77" s="2" t="s">
        <v>188</v>
      </c>
      <c r="BY77" s="2" t="s">
        <v>188</v>
      </c>
      <c r="BZ77" s="2" t="s">
        <v>191</v>
      </c>
      <c r="CA77" s="2" t="s">
        <v>191</v>
      </c>
      <c r="CB77" s="2" t="s">
        <v>191</v>
      </c>
      <c r="CC77" s="2" t="s">
        <v>188</v>
      </c>
      <c r="CD77" s="2" t="s">
        <v>189</v>
      </c>
      <c r="CE77" s="2" t="s">
        <v>191</v>
      </c>
      <c r="CF77" s="2" t="s">
        <v>190</v>
      </c>
      <c r="CG77" s="2" t="s">
        <v>191</v>
      </c>
      <c r="CH77" s="2" t="s">
        <v>190</v>
      </c>
      <c r="CI77" s="2" t="s">
        <v>190</v>
      </c>
      <c r="CJ77" s="2" t="s">
        <v>189</v>
      </c>
      <c r="CK77" s="2" t="s">
        <v>190</v>
      </c>
      <c r="CL77" s="2" t="s">
        <v>191</v>
      </c>
      <c r="CM77" s="2" t="s">
        <v>193</v>
      </c>
      <c r="CN77" s="2" t="s">
        <v>192</v>
      </c>
      <c r="CO77" s="2" t="s">
        <v>200</v>
      </c>
      <c r="CP77" s="2" t="s">
        <v>193</v>
      </c>
      <c r="CQ77" s="2" t="s">
        <v>193</v>
      </c>
      <c r="CR77" s="2" t="s">
        <v>192</v>
      </c>
      <c r="CS77" s="2" t="s">
        <v>192</v>
      </c>
      <c r="CT77" s="2" t="s">
        <v>192</v>
      </c>
      <c r="CU77" s="2" t="s">
        <v>192</v>
      </c>
      <c r="CV77" s="2" t="s">
        <v>200</v>
      </c>
      <c r="CW77" s="2" t="s">
        <v>193</v>
      </c>
      <c r="CX77" s="2" t="s">
        <v>193</v>
      </c>
      <c r="CY77" s="2" t="s">
        <v>193</v>
      </c>
      <c r="CZ77" s="2" t="s">
        <v>193</v>
      </c>
      <c r="DA77" s="2" t="s">
        <v>193</v>
      </c>
      <c r="DB77" s="2" t="s">
        <v>193</v>
      </c>
      <c r="DC77" s="2" t="s">
        <v>192</v>
      </c>
      <c r="DD77" s="2" t="s">
        <v>193</v>
      </c>
      <c r="DE77" s="2" t="s">
        <v>192</v>
      </c>
      <c r="DF77" s="2" t="s">
        <v>192</v>
      </c>
      <c r="DG77" s="2" t="s">
        <v>194</v>
      </c>
      <c r="DH77" s="2" t="s">
        <v>196</v>
      </c>
      <c r="DI77" s="2" t="s">
        <v>194</v>
      </c>
      <c r="DJ77" s="2" t="s">
        <v>196</v>
      </c>
      <c r="DK77" s="2" t="s">
        <v>196</v>
      </c>
      <c r="DL77" s="2" t="s">
        <v>196</v>
      </c>
      <c r="DM77" s="2" t="s">
        <v>194</v>
      </c>
      <c r="DN77" s="2" t="s">
        <v>196</v>
      </c>
      <c r="DO77" s="2" t="s">
        <v>196</v>
      </c>
      <c r="DP77" s="2" t="s">
        <v>194</v>
      </c>
      <c r="DQ77" s="2" t="s">
        <v>194</v>
      </c>
      <c r="DR77" s="2" t="s">
        <v>196</v>
      </c>
      <c r="DS77" s="2" t="s">
        <v>197</v>
      </c>
      <c r="DT77" s="2" t="s">
        <v>198</v>
      </c>
      <c r="DU77" s="2" t="s">
        <v>199</v>
      </c>
      <c r="DV77" s="2" t="s">
        <v>197</v>
      </c>
      <c r="DW77" s="2" t="s">
        <v>197</v>
      </c>
      <c r="DX77" s="2" t="s">
        <v>198</v>
      </c>
      <c r="DY77" s="2" t="s">
        <v>197</v>
      </c>
      <c r="DZ77" s="2"/>
      <c r="EA77" s="2">
        <v>0</v>
      </c>
      <c r="EB77" s="2">
        <v>1</v>
      </c>
      <c r="EC77" s="2">
        <v>1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1</v>
      </c>
      <c r="EJ77" s="2">
        <v>0</v>
      </c>
      <c r="EK77" s="2">
        <v>1</v>
      </c>
      <c r="EL77" s="2">
        <v>0</v>
      </c>
      <c r="EM77" s="2">
        <v>1</v>
      </c>
      <c r="EN77" s="2">
        <v>1</v>
      </c>
      <c r="EO77" s="2">
        <v>0</v>
      </c>
      <c r="EP77" s="2">
        <v>0</v>
      </c>
      <c r="EQ77" s="2">
        <v>0</v>
      </c>
      <c r="ER77" s="2">
        <v>0</v>
      </c>
      <c r="ES77" s="2">
        <v>1</v>
      </c>
      <c r="ET77" s="2">
        <v>0</v>
      </c>
      <c r="EU77" s="2">
        <v>1</v>
      </c>
      <c r="EV77" s="2">
        <v>0</v>
      </c>
      <c r="EW77" s="2">
        <v>1</v>
      </c>
      <c r="EX77" s="2">
        <v>0</v>
      </c>
      <c r="EY77" s="2">
        <v>1</v>
      </c>
      <c r="EZ77" s="2">
        <v>0</v>
      </c>
      <c r="FA77" s="2">
        <v>0</v>
      </c>
      <c r="FB77" s="2">
        <v>1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1</v>
      </c>
      <c r="FI77" s="2">
        <v>0</v>
      </c>
      <c r="FJ77" s="2">
        <v>0</v>
      </c>
      <c r="FK77" s="2">
        <v>0</v>
      </c>
      <c r="FL77" s="2">
        <v>1</v>
      </c>
      <c r="FM77" s="2">
        <v>0</v>
      </c>
      <c r="FN77" s="2">
        <v>1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1</v>
      </c>
      <c r="FZ77" s="2"/>
      <c r="GA77" s="2">
        <v>1</v>
      </c>
      <c r="GB77" s="2">
        <v>1</v>
      </c>
      <c r="GC77" s="2">
        <v>1</v>
      </c>
      <c r="GD77" s="2">
        <v>1</v>
      </c>
      <c r="GE77" s="2">
        <v>2</v>
      </c>
      <c r="GG77" s="2">
        <v>3</v>
      </c>
      <c r="GH77" s="2">
        <v>3</v>
      </c>
      <c r="GI77" s="2">
        <v>3</v>
      </c>
      <c r="GJ77" s="2">
        <v>3</v>
      </c>
      <c r="GK77" s="2">
        <v>2</v>
      </c>
      <c r="GM77" s="2">
        <f t="shared" si="0"/>
        <v>6</v>
      </c>
      <c r="GN77" s="2">
        <f t="shared" si="1"/>
        <v>14</v>
      </c>
      <c r="GO77" s="2"/>
      <c r="GP77" s="2">
        <v>2</v>
      </c>
      <c r="GQ77" s="2">
        <v>1</v>
      </c>
      <c r="GR77" s="2">
        <v>2</v>
      </c>
      <c r="GS77" s="2">
        <v>1</v>
      </c>
      <c r="GU77" s="2">
        <v>2</v>
      </c>
      <c r="GV77" s="2">
        <v>1</v>
      </c>
      <c r="GW77" s="2">
        <v>0</v>
      </c>
      <c r="GY77" s="2">
        <v>2</v>
      </c>
      <c r="GZ77" s="2">
        <v>2</v>
      </c>
      <c r="HA77" s="2">
        <v>1</v>
      </c>
      <c r="HB77" s="2">
        <v>1</v>
      </c>
      <c r="HD77" s="2">
        <v>1</v>
      </c>
      <c r="HE77" s="2">
        <v>1</v>
      </c>
      <c r="HF77" s="2">
        <v>0</v>
      </c>
      <c r="HH77" s="2">
        <f t="shared" si="2"/>
        <v>9</v>
      </c>
      <c r="HI77" s="2">
        <f t="shared" si="3"/>
        <v>8</v>
      </c>
      <c r="HJ77" s="2"/>
      <c r="HK77" s="2">
        <v>9</v>
      </c>
      <c r="HL77" s="2">
        <v>9</v>
      </c>
      <c r="HM77" s="2"/>
      <c r="HN77" s="2"/>
    </row>
    <row r="78" spans="1:222" ht="15.75" customHeight="1" x14ac:dyDescent="0.2">
      <c r="A78" s="3" t="e">
        <f>VLOOKUP(B78,#REF!,1,FALSE)</f>
        <v>#REF!</v>
      </c>
      <c r="B78" s="3">
        <v>44642.818731493055</v>
      </c>
      <c r="C78" s="2">
        <v>85</v>
      </c>
      <c r="D78" s="2" t="s">
        <v>185</v>
      </c>
      <c r="E78" s="2">
        <v>0</v>
      </c>
      <c r="F78" s="2" t="s">
        <v>232</v>
      </c>
      <c r="G78" s="2">
        <v>15</v>
      </c>
      <c r="H78" s="2">
        <v>2</v>
      </c>
      <c r="I78" s="2">
        <v>1</v>
      </c>
      <c r="J78" s="2">
        <v>1</v>
      </c>
      <c r="K78" s="2">
        <v>0</v>
      </c>
      <c r="L78" s="2">
        <v>5</v>
      </c>
      <c r="M78" s="2" t="s">
        <v>213</v>
      </c>
      <c r="N78" s="2">
        <v>2</v>
      </c>
      <c r="O78" s="2">
        <v>3</v>
      </c>
      <c r="P78" s="2">
        <v>0</v>
      </c>
      <c r="Q78" s="2" t="s">
        <v>426</v>
      </c>
      <c r="R78" s="2">
        <v>3</v>
      </c>
      <c r="S78" s="2">
        <v>1</v>
      </c>
      <c r="T78" s="2">
        <v>-1</v>
      </c>
      <c r="U78" s="2">
        <v>0</v>
      </c>
      <c r="V78" s="2">
        <v>-1</v>
      </c>
      <c r="W78" s="2">
        <v>-1</v>
      </c>
      <c r="X78" s="2"/>
      <c r="Y78" s="2">
        <v>-1</v>
      </c>
      <c r="Z78" s="2">
        <v>1</v>
      </c>
      <c r="AA78" s="2">
        <v>1</v>
      </c>
      <c r="AB78" s="2">
        <v>2</v>
      </c>
      <c r="AC78" s="2">
        <v>1</v>
      </c>
      <c r="AD78" s="2">
        <v>1</v>
      </c>
      <c r="AE78" s="2">
        <v>2</v>
      </c>
      <c r="AF78" s="2">
        <v>1</v>
      </c>
      <c r="AG78" s="2">
        <v>2</v>
      </c>
      <c r="AH78" s="2">
        <v>3</v>
      </c>
      <c r="AI78" s="2">
        <v>-1</v>
      </c>
      <c r="AJ78" s="2">
        <v>1</v>
      </c>
      <c r="AK78" s="2">
        <v>1</v>
      </c>
      <c r="AL78" s="2">
        <v>1</v>
      </c>
      <c r="AM78" s="2">
        <v>4</v>
      </c>
      <c r="AN78" s="2">
        <v>2</v>
      </c>
      <c r="AO78" s="2">
        <v>3</v>
      </c>
      <c r="AP78" s="2">
        <v>3</v>
      </c>
      <c r="AQ78" s="2">
        <v>3</v>
      </c>
      <c r="AR78" s="2">
        <v>3</v>
      </c>
      <c r="AS78" s="2">
        <v>0</v>
      </c>
      <c r="AT78" s="2">
        <v>0</v>
      </c>
      <c r="AU78" s="2">
        <v>0</v>
      </c>
      <c r="AV78" s="2"/>
      <c r="AW78" s="2">
        <v>1</v>
      </c>
      <c r="AX78" s="2">
        <v>1</v>
      </c>
      <c r="AY78" s="2">
        <v>2</v>
      </c>
      <c r="AZ78" s="2">
        <v>3</v>
      </c>
      <c r="BA78" s="2">
        <v>3</v>
      </c>
      <c r="BB78" s="2">
        <v>2</v>
      </c>
      <c r="BC78" s="2">
        <v>4</v>
      </c>
      <c r="BD78" s="2">
        <v>2</v>
      </c>
      <c r="BE78" s="2">
        <v>3</v>
      </c>
      <c r="BF78" s="2">
        <v>0</v>
      </c>
      <c r="BG78" s="2">
        <v>0</v>
      </c>
      <c r="BH78" s="2">
        <v>0</v>
      </c>
      <c r="BI78" s="2"/>
      <c r="BJ78" s="2">
        <v>0</v>
      </c>
      <c r="BK78" s="2">
        <v>1</v>
      </c>
      <c r="BL78" s="2">
        <v>2</v>
      </c>
      <c r="BM78" s="2">
        <v>8</v>
      </c>
      <c r="BN78" s="2">
        <v>8</v>
      </c>
      <c r="BO78" s="2">
        <v>9</v>
      </c>
      <c r="BP78" s="2"/>
      <c r="BQ78" s="2"/>
      <c r="BR78" s="2"/>
      <c r="BS78" s="2"/>
      <c r="BT78" s="2"/>
      <c r="BU78" s="2"/>
      <c r="BV78" s="2"/>
      <c r="BW78" s="2"/>
      <c r="BX78" s="2" t="s">
        <v>190</v>
      </c>
      <c r="BY78" s="2" t="s">
        <v>190</v>
      </c>
      <c r="BZ78" s="2" t="s">
        <v>190</v>
      </c>
      <c r="CA78" s="2" t="s">
        <v>191</v>
      </c>
      <c r="CB78" s="2" t="s">
        <v>190</v>
      </c>
      <c r="CC78" s="2" t="s">
        <v>190</v>
      </c>
      <c r="CD78" s="2" t="s">
        <v>189</v>
      </c>
      <c r="CE78" s="2" t="s">
        <v>189</v>
      </c>
      <c r="CF78" s="2" t="s">
        <v>189</v>
      </c>
      <c r="CG78" s="2" t="s">
        <v>189</v>
      </c>
      <c r="CH78" s="2" t="s">
        <v>189</v>
      </c>
      <c r="CI78" s="2" t="s">
        <v>189</v>
      </c>
      <c r="CJ78" s="2" t="s">
        <v>189</v>
      </c>
      <c r="CK78" s="2" t="s">
        <v>189</v>
      </c>
      <c r="CL78" s="2" t="s">
        <v>190</v>
      </c>
      <c r="CM78" s="2" t="s">
        <v>192</v>
      </c>
      <c r="CN78" s="2" t="s">
        <v>192</v>
      </c>
      <c r="CO78" s="2" t="s">
        <v>192</v>
      </c>
      <c r="CP78" s="2" t="s">
        <v>192</v>
      </c>
      <c r="CQ78" s="2" t="s">
        <v>193</v>
      </c>
      <c r="CR78" s="2" t="s">
        <v>200</v>
      </c>
      <c r="CS78" s="2" t="s">
        <v>193</v>
      </c>
      <c r="CT78" s="2" t="s">
        <v>193</v>
      </c>
      <c r="CU78" s="2" t="s">
        <v>193</v>
      </c>
      <c r="CV78" s="2" t="s">
        <v>192</v>
      </c>
      <c r="CW78" s="2" t="s">
        <v>192</v>
      </c>
      <c r="CX78" s="2" t="s">
        <v>200</v>
      </c>
      <c r="CY78" s="2" t="s">
        <v>192</v>
      </c>
      <c r="CZ78" s="2" t="s">
        <v>192</v>
      </c>
      <c r="DA78" s="2" t="s">
        <v>193</v>
      </c>
      <c r="DB78" s="2" t="s">
        <v>192</v>
      </c>
      <c r="DC78" s="2" t="s">
        <v>192</v>
      </c>
      <c r="DD78" s="2" t="s">
        <v>193</v>
      </c>
      <c r="DE78" s="2" t="s">
        <v>193</v>
      </c>
      <c r="DF78" s="2" t="s">
        <v>192</v>
      </c>
      <c r="DG78" s="2" t="s">
        <v>195</v>
      </c>
      <c r="DH78" s="2" t="s">
        <v>195</v>
      </c>
      <c r="DI78" s="2" t="s">
        <v>195</v>
      </c>
      <c r="DJ78" s="2" t="s">
        <v>194</v>
      </c>
      <c r="DK78" s="2" t="s">
        <v>194</v>
      </c>
      <c r="DL78" s="2" t="s">
        <v>195</v>
      </c>
      <c r="DM78" s="2" t="s">
        <v>195</v>
      </c>
      <c r="DN78" s="2" t="s">
        <v>196</v>
      </c>
      <c r="DO78" s="2" t="s">
        <v>195</v>
      </c>
      <c r="DP78" s="2" t="s">
        <v>194</v>
      </c>
      <c r="DQ78" s="2" t="s">
        <v>196</v>
      </c>
      <c r="DR78" s="2" t="s">
        <v>195</v>
      </c>
      <c r="DS78" s="2" t="s">
        <v>197</v>
      </c>
      <c r="DT78" s="2" t="s">
        <v>197</v>
      </c>
      <c r="DU78" s="2" t="s">
        <v>197</v>
      </c>
      <c r="DV78" s="2" t="s">
        <v>197</v>
      </c>
      <c r="DW78" s="2" t="s">
        <v>197</v>
      </c>
      <c r="DX78" s="2" t="s">
        <v>199</v>
      </c>
      <c r="DY78" s="2" t="s">
        <v>197</v>
      </c>
      <c r="DZ78" s="2"/>
      <c r="EA78" s="2">
        <v>0</v>
      </c>
      <c r="EB78" s="2">
        <v>0</v>
      </c>
      <c r="EC78" s="2">
        <v>0</v>
      </c>
      <c r="ED78" s="2">
        <v>0</v>
      </c>
      <c r="EE78" s="2">
        <v>1</v>
      </c>
      <c r="EF78" s="2">
        <v>0</v>
      </c>
      <c r="EG78" s="2">
        <v>0</v>
      </c>
      <c r="EH78" s="2">
        <v>1</v>
      </c>
      <c r="EI78" s="2">
        <v>1</v>
      </c>
      <c r="EJ78" s="2">
        <v>0</v>
      </c>
      <c r="EK78" s="2">
        <v>0</v>
      </c>
      <c r="EL78" s="2">
        <v>0</v>
      </c>
      <c r="EM78" s="2">
        <v>0</v>
      </c>
      <c r="EN78" s="2">
        <v>1</v>
      </c>
      <c r="EO78" s="2">
        <v>0</v>
      </c>
      <c r="EP78" s="2">
        <v>1</v>
      </c>
      <c r="EQ78" s="2">
        <v>0</v>
      </c>
      <c r="ER78" s="2">
        <v>1</v>
      </c>
      <c r="ES78" s="2">
        <v>0</v>
      </c>
      <c r="ET78" s="2">
        <v>1</v>
      </c>
      <c r="EU78" s="2">
        <v>1</v>
      </c>
      <c r="EV78" s="2">
        <v>0</v>
      </c>
      <c r="EW78" s="2">
        <v>0</v>
      </c>
      <c r="EX78" s="2">
        <v>1</v>
      </c>
      <c r="EY78" s="2">
        <v>1</v>
      </c>
      <c r="EZ78" s="2">
        <v>0</v>
      </c>
      <c r="FA78" s="2">
        <v>0</v>
      </c>
      <c r="FB78" s="2">
        <v>1</v>
      </c>
      <c r="FC78" s="2">
        <v>1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1</v>
      </c>
      <c r="FM78" s="2">
        <v>1</v>
      </c>
      <c r="FN78" s="2">
        <v>1</v>
      </c>
      <c r="FO78" s="2">
        <v>0</v>
      </c>
      <c r="FP78" s="2">
        <v>1</v>
      </c>
      <c r="FQ78" s="2">
        <v>1</v>
      </c>
      <c r="FR78" s="2">
        <v>1</v>
      </c>
      <c r="FS78" s="2">
        <v>1</v>
      </c>
      <c r="FT78" s="2">
        <v>1</v>
      </c>
      <c r="FU78" s="2">
        <v>0</v>
      </c>
      <c r="FV78" s="2">
        <v>1</v>
      </c>
      <c r="FW78" s="2">
        <v>1</v>
      </c>
      <c r="FX78" s="2">
        <v>1</v>
      </c>
      <c r="FY78" s="2">
        <v>0</v>
      </c>
      <c r="FZ78" s="2"/>
      <c r="GA78" s="2">
        <v>4</v>
      </c>
      <c r="GB78" s="2">
        <v>2</v>
      </c>
      <c r="GC78" s="2">
        <v>3</v>
      </c>
      <c r="GD78" s="2">
        <v>3</v>
      </c>
      <c r="GE78" s="2">
        <v>3</v>
      </c>
      <c r="GG78" s="2">
        <v>3</v>
      </c>
      <c r="GH78" s="2">
        <v>3</v>
      </c>
      <c r="GI78" s="2">
        <v>2</v>
      </c>
      <c r="GJ78" s="2">
        <v>4</v>
      </c>
      <c r="GK78" s="2">
        <v>2</v>
      </c>
      <c r="GM78" s="2">
        <f t="shared" si="0"/>
        <v>15</v>
      </c>
      <c r="GN78" s="2">
        <f t="shared" si="1"/>
        <v>14</v>
      </c>
      <c r="GO78" s="2"/>
      <c r="GP78" s="2">
        <v>3</v>
      </c>
      <c r="GQ78" s="2">
        <v>0</v>
      </c>
      <c r="GR78" s="2">
        <v>0</v>
      </c>
      <c r="GS78" s="2">
        <v>0</v>
      </c>
      <c r="GU78" s="2">
        <v>1</v>
      </c>
      <c r="GV78" s="2">
        <v>1</v>
      </c>
      <c r="GW78" s="2">
        <v>2</v>
      </c>
      <c r="GY78" s="2">
        <v>3</v>
      </c>
      <c r="GZ78" s="2">
        <v>0</v>
      </c>
      <c r="HA78" s="2">
        <v>0</v>
      </c>
      <c r="HB78" s="2">
        <v>0</v>
      </c>
      <c r="HD78" s="2">
        <v>0</v>
      </c>
      <c r="HE78" s="2">
        <v>1</v>
      </c>
      <c r="HF78" s="2">
        <v>2</v>
      </c>
      <c r="HH78" s="2">
        <f t="shared" si="2"/>
        <v>7</v>
      </c>
      <c r="HI78" s="2">
        <f t="shared" si="3"/>
        <v>6</v>
      </c>
      <c r="HJ78" s="2"/>
      <c r="HK78" s="2">
        <v>8</v>
      </c>
      <c r="HL78" s="2">
        <v>9</v>
      </c>
      <c r="HM78" s="2"/>
      <c r="HN78" s="2"/>
    </row>
    <row r="79" spans="1:222" ht="15.75" customHeight="1" x14ac:dyDescent="0.2">
      <c r="A79" s="3" t="e">
        <f>VLOOKUP(B79,#REF!,1,FALSE)</f>
        <v>#REF!</v>
      </c>
      <c r="B79" s="3">
        <v>44642.841762546297</v>
      </c>
      <c r="C79" s="2">
        <v>86</v>
      </c>
      <c r="D79" s="2" t="s">
        <v>185</v>
      </c>
      <c r="E79" s="2">
        <v>0</v>
      </c>
      <c r="F79" s="2" t="s">
        <v>186</v>
      </c>
      <c r="G79" s="2">
        <v>15</v>
      </c>
      <c r="H79" s="2">
        <v>2</v>
      </c>
      <c r="I79" s="2">
        <v>1</v>
      </c>
      <c r="J79" s="2">
        <v>4</v>
      </c>
      <c r="K79" s="2">
        <v>1</v>
      </c>
      <c r="L79" s="2">
        <v>4</v>
      </c>
      <c r="M79" s="2" t="s">
        <v>187</v>
      </c>
      <c r="N79" s="2">
        <v>2</v>
      </c>
      <c r="O79" s="2">
        <v>4</v>
      </c>
      <c r="P79" s="2">
        <v>0</v>
      </c>
      <c r="Q79" s="2" t="s">
        <v>427</v>
      </c>
      <c r="R79" s="2">
        <v>4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/>
      <c r="Y79" s="2">
        <v>-1</v>
      </c>
      <c r="Z79" s="2">
        <v>1</v>
      </c>
      <c r="AA79" s="2">
        <v>1</v>
      </c>
      <c r="AB79" s="2">
        <v>4</v>
      </c>
      <c r="AC79" s="2">
        <v>4</v>
      </c>
      <c r="AD79" s="2">
        <v>4</v>
      </c>
      <c r="AE79" s="2">
        <v>0</v>
      </c>
      <c r="AF79" s="2">
        <v>4</v>
      </c>
      <c r="AG79" s="2">
        <v>-2</v>
      </c>
      <c r="AH79" s="2">
        <v>-2</v>
      </c>
      <c r="AI79" s="2">
        <v>3</v>
      </c>
      <c r="AJ79" s="2">
        <v>3</v>
      </c>
      <c r="AK79" s="2">
        <v>-2</v>
      </c>
      <c r="AL79" s="2">
        <v>2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3</v>
      </c>
      <c r="AS79" s="2">
        <v>1</v>
      </c>
      <c r="AT79" s="2">
        <v>1</v>
      </c>
      <c r="AU79" s="2">
        <v>2</v>
      </c>
      <c r="AV79" s="2"/>
      <c r="AW79" s="2">
        <v>1</v>
      </c>
      <c r="AX79" s="2">
        <v>0</v>
      </c>
      <c r="AY79" s="2">
        <v>3</v>
      </c>
      <c r="AZ79" s="2">
        <v>5</v>
      </c>
      <c r="BA79" s="2">
        <v>5</v>
      </c>
      <c r="BB79" s="2">
        <v>5</v>
      </c>
      <c r="BC79" s="2">
        <v>5</v>
      </c>
      <c r="BD79" s="2">
        <v>5</v>
      </c>
      <c r="BE79" s="2">
        <v>3</v>
      </c>
      <c r="BF79" s="2">
        <v>1</v>
      </c>
      <c r="BG79" s="2">
        <v>1</v>
      </c>
      <c r="BH79" s="2">
        <v>1</v>
      </c>
      <c r="BI79" s="2"/>
      <c r="BJ79" s="2">
        <v>1</v>
      </c>
      <c r="BK79" s="2">
        <v>0</v>
      </c>
      <c r="BL79" s="2">
        <v>3</v>
      </c>
      <c r="BM79" s="2">
        <v>6</v>
      </c>
      <c r="BN79" s="2">
        <v>8</v>
      </c>
      <c r="BO79" s="2">
        <v>10</v>
      </c>
      <c r="BP79" s="2"/>
      <c r="BQ79" s="2" t="s">
        <v>428</v>
      </c>
      <c r="BR79" s="2"/>
      <c r="BS79" s="2"/>
      <c r="BT79" s="2"/>
      <c r="BU79" s="2"/>
      <c r="BV79" s="2" t="s">
        <v>429</v>
      </c>
      <c r="BW79" s="2" t="s">
        <v>430</v>
      </c>
      <c r="BX79" s="2" t="s">
        <v>189</v>
      </c>
      <c r="BY79" s="2" t="s">
        <v>189</v>
      </c>
      <c r="BZ79" s="2" t="s">
        <v>189</v>
      </c>
      <c r="CA79" s="2" t="s">
        <v>189</v>
      </c>
      <c r="CB79" s="2" t="s">
        <v>189</v>
      </c>
      <c r="CC79" s="2" t="s">
        <v>189</v>
      </c>
      <c r="CD79" s="2" t="s">
        <v>189</v>
      </c>
      <c r="CE79" s="2" t="s">
        <v>189</v>
      </c>
      <c r="CF79" s="2" t="s">
        <v>189</v>
      </c>
      <c r="CG79" s="2" t="s">
        <v>189</v>
      </c>
      <c r="CH79" s="2" t="s">
        <v>189</v>
      </c>
      <c r="CI79" s="2" t="s">
        <v>189</v>
      </c>
      <c r="CJ79" s="2" t="s">
        <v>189</v>
      </c>
      <c r="CK79" s="2" t="s">
        <v>189</v>
      </c>
      <c r="CL79" s="2" t="s">
        <v>189</v>
      </c>
      <c r="CM79" s="2" t="s">
        <v>192</v>
      </c>
      <c r="CN79" s="2" t="s">
        <v>192</v>
      </c>
      <c r="CO79" s="2" t="s">
        <v>192</v>
      </c>
      <c r="CP79" s="2" t="s">
        <v>192</v>
      </c>
      <c r="CQ79" s="2" t="s">
        <v>192</v>
      </c>
      <c r="CR79" s="2" t="s">
        <v>192</v>
      </c>
      <c r="CS79" s="2" t="s">
        <v>192</v>
      </c>
      <c r="CT79" s="2" t="s">
        <v>192</v>
      </c>
      <c r="CU79" s="2" t="s">
        <v>192</v>
      </c>
      <c r="CV79" s="2" t="s">
        <v>192</v>
      </c>
      <c r="CW79" s="2" t="s">
        <v>192</v>
      </c>
      <c r="CX79" s="2" t="s">
        <v>192</v>
      </c>
      <c r="CY79" s="2" t="s">
        <v>192</v>
      </c>
      <c r="CZ79" s="2" t="s">
        <v>192</v>
      </c>
      <c r="DA79" s="2" t="s">
        <v>192</v>
      </c>
      <c r="DB79" s="2" t="s">
        <v>192</v>
      </c>
      <c r="DC79" s="2" t="s">
        <v>192</v>
      </c>
      <c r="DD79" s="2" t="s">
        <v>192</v>
      </c>
      <c r="DE79" s="2" t="s">
        <v>192</v>
      </c>
      <c r="DF79" s="2" t="s">
        <v>193</v>
      </c>
      <c r="DG79" s="2" t="s">
        <v>196</v>
      </c>
      <c r="DH79" s="2" t="s">
        <v>196</v>
      </c>
      <c r="DI79" s="2" t="s">
        <v>196</v>
      </c>
      <c r="DJ79" s="2" t="s">
        <v>196</v>
      </c>
      <c r="DK79" s="2" t="s">
        <v>196</v>
      </c>
      <c r="DL79" s="2" t="s">
        <v>196</v>
      </c>
      <c r="DM79" s="2" t="s">
        <v>196</v>
      </c>
      <c r="DN79" s="2" t="s">
        <v>196</v>
      </c>
      <c r="DO79" s="2" t="s">
        <v>196</v>
      </c>
      <c r="DP79" s="2" t="s">
        <v>196</v>
      </c>
      <c r="DQ79" s="2" t="s">
        <v>196</v>
      </c>
      <c r="DR79" s="2" t="s">
        <v>196</v>
      </c>
      <c r="DS79" s="2" t="s">
        <v>197</v>
      </c>
      <c r="DT79" s="2" t="s">
        <v>197</v>
      </c>
      <c r="DU79" s="2" t="s">
        <v>197</v>
      </c>
      <c r="DV79" s="2" t="s">
        <v>197</v>
      </c>
      <c r="DW79" s="2" t="s">
        <v>197</v>
      </c>
      <c r="DX79" s="2" t="s">
        <v>197</v>
      </c>
      <c r="DY79" s="2" t="s">
        <v>197</v>
      </c>
      <c r="DZ79" s="2"/>
      <c r="EA79" s="2">
        <v>0</v>
      </c>
      <c r="EB79" s="2">
        <v>1</v>
      </c>
      <c r="EC79" s="2">
        <v>1</v>
      </c>
      <c r="ED79" s="2">
        <v>0</v>
      </c>
      <c r="EE79" s="2">
        <v>0</v>
      </c>
      <c r="EF79" s="2">
        <v>1</v>
      </c>
      <c r="EG79" s="2">
        <v>0</v>
      </c>
      <c r="EH79" s="2">
        <v>1</v>
      </c>
      <c r="EI79" s="2">
        <v>1</v>
      </c>
      <c r="EJ79" s="2">
        <v>1</v>
      </c>
      <c r="EK79" s="2">
        <v>1</v>
      </c>
      <c r="EL79" s="2">
        <v>1</v>
      </c>
      <c r="EM79" s="2">
        <v>1</v>
      </c>
      <c r="EN79" s="2">
        <v>1</v>
      </c>
      <c r="EO79" s="2">
        <v>0</v>
      </c>
      <c r="EP79" s="2">
        <v>1</v>
      </c>
      <c r="EQ79" s="2">
        <v>1</v>
      </c>
      <c r="ER79" s="2">
        <v>1</v>
      </c>
      <c r="ES79" s="2">
        <v>1</v>
      </c>
      <c r="ET79" s="2">
        <v>1</v>
      </c>
      <c r="EU79" s="2">
        <v>1</v>
      </c>
      <c r="EV79" s="2">
        <v>1</v>
      </c>
      <c r="EW79" s="2">
        <v>0</v>
      </c>
      <c r="EX79" s="2">
        <v>1</v>
      </c>
      <c r="EY79" s="2">
        <v>1</v>
      </c>
      <c r="EZ79" s="2">
        <v>0</v>
      </c>
      <c r="FA79" s="2">
        <v>0</v>
      </c>
      <c r="FB79" s="2">
        <v>0</v>
      </c>
      <c r="FC79" s="2">
        <v>1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1</v>
      </c>
      <c r="FN79" s="2">
        <v>1</v>
      </c>
      <c r="FO79" s="2">
        <v>1</v>
      </c>
      <c r="FP79" s="2">
        <v>1</v>
      </c>
      <c r="FQ79" s="2">
        <v>1</v>
      </c>
      <c r="FR79" s="2">
        <v>1</v>
      </c>
      <c r="FS79" s="2">
        <v>1</v>
      </c>
      <c r="FT79" s="2">
        <v>1</v>
      </c>
      <c r="FU79" s="2">
        <v>1</v>
      </c>
      <c r="FV79" s="2">
        <v>0</v>
      </c>
      <c r="FW79" s="2">
        <v>0</v>
      </c>
      <c r="FX79" s="2">
        <v>1</v>
      </c>
      <c r="FY79" s="2">
        <v>1</v>
      </c>
      <c r="FZ79" s="2"/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G79" s="2">
        <v>5</v>
      </c>
      <c r="GH79" s="2">
        <v>5</v>
      </c>
      <c r="GI79" s="2">
        <v>5</v>
      </c>
      <c r="GJ79" s="2">
        <v>5</v>
      </c>
      <c r="GK79" s="2">
        <v>5</v>
      </c>
      <c r="GM79" s="2">
        <f t="shared" si="0"/>
        <v>0</v>
      </c>
      <c r="GN79" s="2">
        <f t="shared" si="1"/>
        <v>25</v>
      </c>
      <c r="GO79" s="2"/>
      <c r="GP79" s="2">
        <v>3</v>
      </c>
      <c r="GQ79" s="2">
        <v>1</v>
      </c>
      <c r="GR79" s="2">
        <v>1</v>
      </c>
      <c r="GS79" s="2">
        <v>2</v>
      </c>
      <c r="GU79" s="2">
        <v>1</v>
      </c>
      <c r="GV79" s="2">
        <v>0</v>
      </c>
      <c r="GW79" s="2">
        <v>3</v>
      </c>
      <c r="GY79" s="2">
        <v>3</v>
      </c>
      <c r="GZ79" s="2">
        <v>1</v>
      </c>
      <c r="HA79" s="2">
        <v>1</v>
      </c>
      <c r="HB79" s="2">
        <v>1</v>
      </c>
      <c r="HD79" s="2">
        <v>1</v>
      </c>
      <c r="HE79" s="2">
        <v>0</v>
      </c>
      <c r="HF79" s="2">
        <v>3</v>
      </c>
      <c r="HH79" s="2">
        <f t="shared" si="2"/>
        <v>11</v>
      </c>
      <c r="HI79" s="2">
        <f t="shared" si="3"/>
        <v>10</v>
      </c>
      <c r="HJ79" s="2"/>
      <c r="HK79" s="2">
        <v>8</v>
      </c>
      <c r="HL79" s="2">
        <v>10</v>
      </c>
      <c r="HM79" s="2"/>
      <c r="HN79" s="2"/>
    </row>
    <row r="80" spans="1:222" ht="15.75" customHeight="1" x14ac:dyDescent="0.2">
      <c r="A80" s="3" t="e">
        <f>VLOOKUP(B80,#REF!,1,FALSE)</f>
        <v>#REF!</v>
      </c>
      <c r="B80" s="3">
        <v>44642.853155092591</v>
      </c>
      <c r="C80" s="2">
        <v>87</v>
      </c>
      <c r="D80" s="2" t="s">
        <v>185</v>
      </c>
      <c r="E80" s="2">
        <v>0</v>
      </c>
      <c r="F80" s="2" t="s">
        <v>232</v>
      </c>
      <c r="G80" s="2">
        <v>8</v>
      </c>
      <c r="H80" s="2">
        <v>2</v>
      </c>
      <c r="I80" s="2">
        <v>1</v>
      </c>
      <c r="J80" s="2">
        <v>2</v>
      </c>
      <c r="K80" s="2">
        <v>0</v>
      </c>
      <c r="L80" s="2">
        <v>3</v>
      </c>
      <c r="M80" s="2" t="s">
        <v>187</v>
      </c>
      <c r="N80" s="2">
        <v>2</v>
      </c>
      <c r="O80" s="2">
        <v>5</v>
      </c>
      <c r="P80" s="2">
        <v>2</v>
      </c>
      <c r="Q80" s="2">
        <v>0</v>
      </c>
      <c r="R80" s="2">
        <v>2</v>
      </c>
      <c r="S80" s="2">
        <v>0</v>
      </c>
      <c r="T80" s="2">
        <v>-1</v>
      </c>
      <c r="U80" s="2">
        <v>0</v>
      </c>
      <c r="V80" s="2">
        <v>-1</v>
      </c>
      <c r="W80" s="2">
        <v>-1</v>
      </c>
      <c r="X80" s="2"/>
      <c r="Y80" s="2">
        <v>0</v>
      </c>
      <c r="Z80" s="2">
        <v>0</v>
      </c>
      <c r="AA80" s="2">
        <v>0</v>
      </c>
      <c r="AB80" s="2">
        <v>2</v>
      </c>
      <c r="AC80" s="2">
        <v>2</v>
      </c>
      <c r="AD80" s="2">
        <v>2</v>
      </c>
      <c r="AE80" s="2">
        <v>2</v>
      </c>
      <c r="AF80" s="2">
        <v>2</v>
      </c>
      <c r="AG80" s="2">
        <v>2</v>
      </c>
      <c r="AH80" s="2">
        <v>2</v>
      </c>
      <c r="AI80" s="2">
        <v>2</v>
      </c>
      <c r="AJ80" s="2">
        <v>1</v>
      </c>
      <c r="AK80" s="2">
        <v>3</v>
      </c>
      <c r="AL80" s="2">
        <v>3</v>
      </c>
      <c r="AM80" s="2">
        <v>4</v>
      </c>
      <c r="AN80" s="2">
        <v>4</v>
      </c>
      <c r="AO80" s="2">
        <v>3</v>
      </c>
      <c r="AP80" s="2">
        <v>3</v>
      </c>
      <c r="AQ80" s="2">
        <v>3</v>
      </c>
      <c r="AR80" s="2">
        <v>2</v>
      </c>
      <c r="AS80" s="2">
        <v>2</v>
      </c>
      <c r="AT80" s="2">
        <v>1</v>
      </c>
      <c r="AU80" s="2">
        <v>1</v>
      </c>
      <c r="AV80" s="2"/>
      <c r="AW80" s="2">
        <v>1</v>
      </c>
      <c r="AX80" s="2">
        <v>1</v>
      </c>
      <c r="AY80" s="2">
        <v>1</v>
      </c>
      <c r="AZ80" s="2">
        <v>4</v>
      </c>
      <c r="BA80" s="2">
        <v>3</v>
      </c>
      <c r="BB80" s="2">
        <v>3</v>
      </c>
      <c r="BC80" s="2">
        <v>3</v>
      </c>
      <c r="BD80" s="2">
        <v>3</v>
      </c>
      <c r="BE80" s="2">
        <v>2</v>
      </c>
      <c r="BF80" s="2">
        <v>1</v>
      </c>
      <c r="BG80" s="2">
        <v>1</v>
      </c>
      <c r="BH80" s="2">
        <v>1</v>
      </c>
      <c r="BI80" s="2"/>
      <c r="BJ80" s="2">
        <v>1</v>
      </c>
      <c r="BK80" s="2">
        <v>1</v>
      </c>
      <c r="BL80" s="2">
        <v>1</v>
      </c>
      <c r="BM80" s="2">
        <v>7</v>
      </c>
      <c r="BN80" s="2">
        <v>8</v>
      </c>
      <c r="BO80" s="2">
        <v>8</v>
      </c>
      <c r="BP80" s="2"/>
      <c r="BQ80" s="2"/>
      <c r="BR80" s="2"/>
      <c r="BS80" s="2"/>
      <c r="BT80" s="2"/>
      <c r="BU80" s="2"/>
      <c r="BV80" s="2"/>
      <c r="BW80" s="2"/>
      <c r="BX80" s="2" t="s">
        <v>191</v>
      </c>
      <c r="BY80" s="2" t="s">
        <v>190</v>
      </c>
      <c r="BZ80" s="2" t="s">
        <v>191</v>
      </c>
      <c r="CA80" s="2" t="s">
        <v>191</v>
      </c>
      <c r="CB80" s="2" t="s">
        <v>188</v>
      </c>
      <c r="CC80" s="2" t="s">
        <v>191</v>
      </c>
      <c r="CD80" s="2" t="s">
        <v>189</v>
      </c>
      <c r="CE80" s="2" t="s">
        <v>190</v>
      </c>
      <c r="CF80" s="2" t="s">
        <v>190</v>
      </c>
      <c r="CG80" s="2" t="s">
        <v>190</v>
      </c>
      <c r="CH80" s="2" t="s">
        <v>191</v>
      </c>
      <c r="CI80" s="2" t="s">
        <v>190</v>
      </c>
      <c r="CJ80" s="2" t="s">
        <v>189</v>
      </c>
      <c r="CK80" s="2" t="s">
        <v>189</v>
      </c>
      <c r="CL80" s="2" t="s">
        <v>190</v>
      </c>
      <c r="CM80" s="2" t="s">
        <v>192</v>
      </c>
      <c r="CN80" s="2" t="s">
        <v>192</v>
      </c>
      <c r="CO80" s="2" t="s">
        <v>193</v>
      </c>
      <c r="CP80" s="2" t="s">
        <v>193</v>
      </c>
      <c r="CQ80" s="2" t="s">
        <v>193</v>
      </c>
      <c r="CR80" s="2" t="s">
        <v>200</v>
      </c>
      <c r="CS80" s="2" t="s">
        <v>200</v>
      </c>
      <c r="CT80" s="2" t="s">
        <v>193</v>
      </c>
      <c r="CU80" s="2" t="s">
        <v>193</v>
      </c>
      <c r="CV80" s="2" t="s">
        <v>200</v>
      </c>
      <c r="CW80" s="2" t="s">
        <v>193</v>
      </c>
      <c r="CX80" s="2" t="s">
        <v>200</v>
      </c>
      <c r="CY80" s="2" t="s">
        <v>192</v>
      </c>
      <c r="CZ80" s="2" t="s">
        <v>193</v>
      </c>
      <c r="DA80" s="2" t="s">
        <v>193</v>
      </c>
      <c r="DB80" s="2" t="s">
        <v>193</v>
      </c>
      <c r="DC80" s="2" t="s">
        <v>192</v>
      </c>
      <c r="DD80" s="2" t="s">
        <v>193</v>
      </c>
      <c r="DE80" s="2" t="s">
        <v>192</v>
      </c>
      <c r="DF80" s="2" t="s">
        <v>192</v>
      </c>
      <c r="DG80" s="2" t="s">
        <v>194</v>
      </c>
      <c r="DH80" s="2" t="s">
        <v>195</v>
      </c>
      <c r="DI80" s="2" t="s">
        <v>194</v>
      </c>
      <c r="DJ80" s="2" t="s">
        <v>194</v>
      </c>
      <c r="DK80" s="2" t="s">
        <v>196</v>
      </c>
      <c r="DL80" s="2" t="s">
        <v>194</v>
      </c>
      <c r="DM80" s="2" t="s">
        <v>220</v>
      </c>
      <c r="DN80" s="2" t="s">
        <v>196</v>
      </c>
      <c r="DO80" s="2" t="s">
        <v>220</v>
      </c>
      <c r="DP80" s="2" t="s">
        <v>194</v>
      </c>
      <c r="DQ80" s="2" t="s">
        <v>194</v>
      </c>
      <c r="DR80" s="2" t="s">
        <v>194</v>
      </c>
      <c r="DS80" s="2" t="s">
        <v>197</v>
      </c>
      <c r="DT80" s="2" t="s">
        <v>199</v>
      </c>
      <c r="DU80" s="2" t="s">
        <v>197</v>
      </c>
      <c r="DV80" s="2" t="s">
        <v>197</v>
      </c>
      <c r="DW80" s="2" t="s">
        <v>197</v>
      </c>
      <c r="DX80" s="2" t="s">
        <v>197</v>
      </c>
      <c r="DY80" s="2" t="s">
        <v>197</v>
      </c>
      <c r="DZ80" s="2"/>
      <c r="EA80" s="2">
        <v>1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1</v>
      </c>
      <c r="EI80" s="2">
        <v>0</v>
      </c>
      <c r="EJ80" s="2">
        <v>1</v>
      </c>
      <c r="EK80" s="2">
        <v>0</v>
      </c>
      <c r="EL80" s="2">
        <v>1</v>
      </c>
      <c r="EM80" s="2">
        <v>0</v>
      </c>
      <c r="EN80" s="2">
        <v>1</v>
      </c>
      <c r="EO80" s="2">
        <v>0</v>
      </c>
      <c r="EP80" s="2">
        <v>1</v>
      </c>
      <c r="EQ80" s="2">
        <v>0</v>
      </c>
      <c r="ER80" s="2">
        <v>0</v>
      </c>
      <c r="ES80" s="2">
        <v>1</v>
      </c>
      <c r="ET80" s="2">
        <v>0</v>
      </c>
      <c r="EU80" s="2">
        <v>1</v>
      </c>
      <c r="EV80" s="2">
        <v>1</v>
      </c>
      <c r="EW80" s="2">
        <v>0</v>
      </c>
      <c r="EX80" s="2">
        <v>0</v>
      </c>
      <c r="EY80" s="2">
        <v>1</v>
      </c>
      <c r="EZ80" s="2">
        <v>1</v>
      </c>
      <c r="FA80" s="2">
        <v>0</v>
      </c>
      <c r="FB80" s="2">
        <v>1</v>
      </c>
      <c r="FC80" s="2">
        <v>0</v>
      </c>
      <c r="FD80" s="2">
        <v>0</v>
      </c>
      <c r="FE80" s="2">
        <v>0</v>
      </c>
      <c r="FF80" s="2">
        <v>1</v>
      </c>
      <c r="FG80" s="2">
        <v>0</v>
      </c>
      <c r="FH80" s="2">
        <v>1</v>
      </c>
      <c r="FI80" s="2">
        <v>0</v>
      </c>
      <c r="FJ80" s="2">
        <v>1</v>
      </c>
      <c r="FK80" s="2">
        <v>0</v>
      </c>
      <c r="FL80" s="2">
        <v>1</v>
      </c>
      <c r="FM80" s="2">
        <v>0</v>
      </c>
      <c r="FN80" s="2">
        <v>1</v>
      </c>
      <c r="FO80" s="2">
        <v>0</v>
      </c>
      <c r="FP80" s="2">
        <v>0</v>
      </c>
      <c r="FQ80" s="2">
        <v>1</v>
      </c>
      <c r="FR80" s="2">
        <v>0</v>
      </c>
      <c r="FS80" s="2">
        <v>1</v>
      </c>
      <c r="FT80" s="2">
        <v>0</v>
      </c>
      <c r="FU80" s="2">
        <v>1</v>
      </c>
      <c r="FV80" s="2">
        <v>0</v>
      </c>
      <c r="FW80" s="2">
        <v>1</v>
      </c>
      <c r="FX80" s="2">
        <v>0</v>
      </c>
      <c r="FY80" s="2">
        <v>1</v>
      </c>
      <c r="FZ80" s="2"/>
      <c r="GA80" s="2">
        <v>4</v>
      </c>
      <c r="GB80" s="2">
        <v>4</v>
      </c>
      <c r="GC80" s="2">
        <v>3</v>
      </c>
      <c r="GD80" s="2">
        <v>3</v>
      </c>
      <c r="GE80" s="2">
        <v>3</v>
      </c>
      <c r="GG80" s="2">
        <v>4</v>
      </c>
      <c r="GH80" s="2">
        <v>3</v>
      </c>
      <c r="GI80" s="2">
        <v>3</v>
      </c>
      <c r="GJ80" s="2">
        <v>3</v>
      </c>
      <c r="GK80" s="2">
        <v>3</v>
      </c>
      <c r="GM80" s="2">
        <f t="shared" si="0"/>
        <v>17</v>
      </c>
      <c r="GN80" s="2">
        <f t="shared" si="1"/>
        <v>16</v>
      </c>
      <c r="GO80" s="2"/>
      <c r="GP80" s="2">
        <v>2</v>
      </c>
      <c r="GQ80" s="2">
        <v>2</v>
      </c>
      <c r="GR80" s="2">
        <v>1</v>
      </c>
      <c r="GS80" s="2">
        <v>1</v>
      </c>
      <c r="GU80" s="2">
        <v>1</v>
      </c>
      <c r="GV80" s="2">
        <v>1</v>
      </c>
      <c r="GW80" s="2">
        <v>1</v>
      </c>
      <c r="GY80" s="2">
        <v>2</v>
      </c>
      <c r="GZ80" s="2">
        <v>1</v>
      </c>
      <c r="HA80" s="2">
        <v>1</v>
      </c>
      <c r="HB80" s="2">
        <v>1</v>
      </c>
      <c r="HD80" s="2">
        <v>1</v>
      </c>
      <c r="HE80" s="2">
        <v>1</v>
      </c>
      <c r="HF80" s="2">
        <v>1</v>
      </c>
      <c r="HH80" s="2">
        <f t="shared" si="2"/>
        <v>9</v>
      </c>
      <c r="HI80" s="2">
        <f t="shared" si="3"/>
        <v>8</v>
      </c>
      <c r="HJ80" s="2"/>
      <c r="HK80" s="2">
        <v>8</v>
      </c>
      <c r="HL80" s="2">
        <v>8</v>
      </c>
      <c r="HM80" s="2"/>
      <c r="HN80" s="2"/>
    </row>
    <row r="81" spans="1:222" ht="15.75" customHeight="1" x14ac:dyDescent="0.2">
      <c r="A81" s="3" t="e">
        <f>VLOOKUP(B81,#REF!,1,FALSE)</f>
        <v>#REF!</v>
      </c>
      <c r="B81" s="3">
        <v>44642.862645659719</v>
      </c>
      <c r="C81" s="2">
        <v>88</v>
      </c>
      <c r="D81" s="2" t="s">
        <v>185</v>
      </c>
      <c r="E81" s="2">
        <v>0</v>
      </c>
      <c r="F81" s="2" t="s">
        <v>232</v>
      </c>
      <c r="G81" s="2">
        <v>15</v>
      </c>
      <c r="H81" s="2">
        <v>2</v>
      </c>
      <c r="I81" s="2">
        <v>1</v>
      </c>
      <c r="J81" s="2">
        <v>5</v>
      </c>
      <c r="K81" s="2">
        <v>0</v>
      </c>
      <c r="L81" s="2">
        <v>4</v>
      </c>
      <c r="M81" s="2" t="s">
        <v>187</v>
      </c>
      <c r="N81" s="2">
        <v>3</v>
      </c>
      <c r="O81" s="2">
        <v>3</v>
      </c>
      <c r="P81" s="2">
        <v>0</v>
      </c>
      <c r="Q81" s="2" t="s">
        <v>266</v>
      </c>
      <c r="R81" s="2">
        <v>2</v>
      </c>
      <c r="S81" s="2">
        <v>0</v>
      </c>
      <c r="T81" s="2">
        <v>-1</v>
      </c>
      <c r="U81" s="2">
        <v>-1</v>
      </c>
      <c r="V81" s="2">
        <v>1</v>
      </c>
      <c r="W81" s="2">
        <v>-1</v>
      </c>
      <c r="X81" s="2"/>
      <c r="Y81" s="2">
        <v>-1</v>
      </c>
      <c r="Z81" s="2">
        <v>0</v>
      </c>
      <c r="AA81" s="2">
        <v>1</v>
      </c>
      <c r="AB81" s="2">
        <v>2</v>
      </c>
      <c r="AC81" s="2">
        <v>-99</v>
      </c>
      <c r="AD81" s="2">
        <v>2</v>
      </c>
      <c r="AE81" s="2">
        <v>2</v>
      </c>
      <c r="AF81" s="2">
        <v>2</v>
      </c>
      <c r="AG81" s="2">
        <v>1</v>
      </c>
      <c r="AH81" s="2">
        <v>2</v>
      </c>
      <c r="AI81" s="2">
        <v>2</v>
      </c>
      <c r="AJ81" s="2">
        <v>2</v>
      </c>
      <c r="AK81" s="2">
        <v>2</v>
      </c>
      <c r="AL81" s="2">
        <v>2</v>
      </c>
      <c r="AM81" s="2">
        <v>2</v>
      </c>
      <c r="AN81" s="2">
        <v>2</v>
      </c>
      <c r="AO81" s="2">
        <v>1</v>
      </c>
      <c r="AP81" s="2">
        <v>3</v>
      </c>
      <c r="AQ81" s="2">
        <v>1</v>
      </c>
      <c r="AR81" s="2">
        <v>0</v>
      </c>
      <c r="AS81" s="2">
        <v>0</v>
      </c>
      <c r="AT81" s="2">
        <v>2</v>
      </c>
      <c r="AU81" s="2">
        <v>1</v>
      </c>
      <c r="AV81" s="2"/>
      <c r="AW81" s="2">
        <v>3</v>
      </c>
      <c r="AX81" s="2">
        <v>2</v>
      </c>
      <c r="AY81" s="2">
        <v>2</v>
      </c>
      <c r="AZ81" s="2">
        <v>2</v>
      </c>
      <c r="BA81" s="2">
        <v>2</v>
      </c>
      <c r="BB81" s="2">
        <v>2</v>
      </c>
      <c r="BC81" s="2">
        <v>3</v>
      </c>
      <c r="BD81" s="2">
        <v>1</v>
      </c>
      <c r="BE81" s="2">
        <v>0</v>
      </c>
      <c r="BF81" s="2">
        <v>0</v>
      </c>
      <c r="BG81" s="2">
        <v>2</v>
      </c>
      <c r="BH81" s="2">
        <v>3</v>
      </c>
      <c r="BI81" s="2"/>
      <c r="BJ81" s="2">
        <v>1</v>
      </c>
      <c r="BK81" s="2">
        <v>1</v>
      </c>
      <c r="BL81" s="2">
        <v>2</v>
      </c>
      <c r="BM81" s="2">
        <v>7</v>
      </c>
      <c r="BN81" s="2">
        <v>9</v>
      </c>
      <c r="BO81" s="2">
        <v>9</v>
      </c>
      <c r="BP81" s="2"/>
      <c r="BQ81" s="2"/>
      <c r="BR81" s="2"/>
      <c r="BS81" s="2"/>
      <c r="BT81" s="2"/>
      <c r="BU81" s="2"/>
      <c r="BV81" s="2"/>
      <c r="BW81" s="2"/>
      <c r="BX81" s="2" t="s">
        <v>191</v>
      </c>
      <c r="BY81" s="2" t="s">
        <v>188</v>
      </c>
      <c r="BZ81" s="2" t="s">
        <v>190</v>
      </c>
      <c r="CA81" s="2" t="s">
        <v>190</v>
      </c>
      <c r="CB81" s="2" t="s">
        <v>190</v>
      </c>
      <c r="CC81" s="2" t="s">
        <v>190</v>
      </c>
      <c r="CD81" s="2" t="s">
        <v>190</v>
      </c>
      <c r="CE81" s="2" t="s">
        <v>190</v>
      </c>
      <c r="CF81" s="2" t="s">
        <v>190</v>
      </c>
      <c r="CG81" s="2" t="s">
        <v>190</v>
      </c>
      <c r="CH81" s="2" t="s">
        <v>188</v>
      </c>
      <c r="CI81" s="2" t="s">
        <v>190</v>
      </c>
      <c r="CJ81" s="2" t="s">
        <v>190</v>
      </c>
      <c r="CK81" s="2" t="s">
        <v>190</v>
      </c>
      <c r="CL81" s="2" t="s">
        <v>190</v>
      </c>
      <c r="CM81" s="2" t="s">
        <v>192</v>
      </c>
      <c r="CN81" s="2" t="s">
        <v>192</v>
      </c>
      <c r="CO81" s="2" t="s">
        <v>193</v>
      </c>
      <c r="CP81" s="2" t="s">
        <v>192</v>
      </c>
      <c r="CQ81" s="2" t="s">
        <v>192</v>
      </c>
      <c r="CR81" s="2" t="s">
        <v>193</v>
      </c>
      <c r="CS81" s="2" t="s">
        <v>193</v>
      </c>
      <c r="CT81" s="2" t="s">
        <v>200</v>
      </c>
      <c r="CU81" s="2" t="s">
        <v>193</v>
      </c>
      <c r="CV81" s="2" t="s">
        <v>200</v>
      </c>
      <c r="CW81" s="2" t="s">
        <v>200</v>
      </c>
      <c r="CX81" s="2" t="s">
        <v>200</v>
      </c>
      <c r="CY81" s="2" t="s">
        <v>200</v>
      </c>
      <c r="CZ81" s="2" t="s">
        <v>200</v>
      </c>
      <c r="DA81" s="2" t="s">
        <v>200</v>
      </c>
      <c r="DB81" s="2" t="s">
        <v>193</v>
      </c>
      <c r="DC81" s="2" t="s">
        <v>192</v>
      </c>
      <c r="DD81" s="2" t="s">
        <v>193</v>
      </c>
      <c r="DE81" s="2" t="s">
        <v>200</v>
      </c>
      <c r="DF81" s="2" t="s">
        <v>192</v>
      </c>
      <c r="DG81" s="2" t="s">
        <v>196</v>
      </c>
      <c r="DH81" s="2" t="s">
        <v>194</v>
      </c>
      <c r="DI81" s="2" t="s">
        <v>195</v>
      </c>
      <c r="DJ81" s="2" t="s">
        <v>195</v>
      </c>
      <c r="DK81" s="2" t="s">
        <v>196</v>
      </c>
      <c r="DL81" s="2" t="s">
        <v>195</v>
      </c>
      <c r="DM81" s="2" t="s">
        <v>194</v>
      </c>
      <c r="DN81" s="2" t="s">
        <v>220</v>
      </c>
      <c r="DO81" s="2" t="s">
        <v>220</v>
      </c>
      <c r="DP81" s="2" t="s">
        <v>196</v>
      </c>
      <c r="DQ81" s="2" t="s">
        <v>195</v>
      </c>
      <c r="DR81" s="2" t="s">
        <v>195</v>
      </c>
      <c r="DS81" s="2" t="s">
        <v>198</v>
      </c>
      <c r="DT81" s="2" t="s">
        <v>198</v>
      </c>
      <c r="DU81" s="2" t="s">
        <v>198</v>
      </c>
      <c r="DV81" s="2" t="s">
        <v>198</v>
      </c>
      <c r="DW81" s="2" t="s">
        <v>198</v>
      </c>
      <c r="DX81" s="2" t="s">
        <v>198</v>
      </c>
      <c r="DY81" s="2" t="s">
        <v>198</v>
      </c>
      <c r="DZ81" s="2"/>
      <c r="EA81" s="2">
        <v>1</v>
      </c>
      <c r="EB81" s="2">
        <v>1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1</v>
      </c>
      <c r="EJ81" s="2">
        <v>0</v>
      </c>
      <c r="EK81" s="2">
        <v>1</v>
      </c>
      <c r="EL81" s="2">
        <v>0</v>
      </c>
      <c r="EM81" s="2">
        <v>1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1</v>
      </c>
      <c r="EV81" s="2">
        <v>0</v>
      </c>
      <c r="EW81" s="2">
        <v>0</v>
      </c>
      <c r="EX81" s="2">
        <v>0</v>
      </c>
      <c r="EY81" s="2">
        <v>1</v>
      </c>
      <c r="EZ81" s="2">
        <v>0</v>
      </c>
      <c r="FA81" s="2">
        <v>0</v>
      </c>
      <c r="FB81" s="2">
        <v>0</v>
      </c>
      <c r="FC81" s="2">
        <v>1</v>
      </c>
      <c r="FD81" s="2">
        <v>0</v>
      </c>
      <c r="FE81" s="2">
        <v>0</v>
      </c>
      <c r="FF81" s="2">
        <v>0</v>
      </c>
      <c r="FG81" s="2">
        <v>1</v>
      </c>
      <c r="FH81" s="2">
        <v>0</v>
      </c>
      <c r="FI81" s="2">
        <v>1</v>
      </c>
      <c r="FJ81" s="2">
        <v>0</v>
      </c>
      <c r="FK81" s="2">
        <v>0</v>
      </c>
      <c r="FL81" s="2">
        <v>1</v>
      </c>
      <c r="FM81" s="2">
        <v>0</v>
      </c>
      <c r="FN81" s="2">
        <v>0</v>
      </c>
      <c r="FO81" s="2">
        <v>0</v>
      </c>
      <c r="FP81" s="2">
        <v>0</v>
      </c>
      <c r="FQ81" s="2">
        <v>1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/>
      <c r="GA81" s="2">
        <v>2</v>
      </c>
      <c r="GB81" s="2">
        <v>2</v>
      </c>
      <c r="GC81" s="2">
        <v>1</v>
      </c>
      <c r="GD81" s="2">
        <v>3</v>
      </c>
      <c r="GE81" s="2">
        <v>1</v>
      </c>
      <c r="GG81" s="2">
        <v>2</v>
      </c>
      <c r="GH81" s="2">
        <v>2</v>
      </c>
      <c r="GI81" s="2">
        <v>2</v>
      </c>
      <c r="GJ81" s="2">
        <v>3</v>
      </c>
      <c r="GK81" s="2">
        <v>1</v>
      </c>
      <c r="GM81" s="2">
        <f t="shared" si="0"/>
        <v>9</v>
      </c>
      <c r="GN81" s="2">
        <f t="shared" si="1"/>
        <v>10</v>
      </c>
      <c r="GO81" s="2"/>
      <c r="GP81" s="2">
        <v>0</v>
      </c>
      <c r="GQ81" s="2">
        <v>0</v>
      </c>
      <c r="GR81" s="2">
        <v>2</v>
      </c>
      <c r="GS81" s="2">
        <v>1</v>
      </c>
      <c r="GU81" s="2">
        <v>3</v>
      </c>
      <c r="GV81" s="2">
        <v>2</v>
      </c>
      <c r="GW81" s="2">
        <v>2</v>
      </c>
      <c r="GY81" s="2">
        <v>0</v>
      </c>
      <c r="GZ81" s="2">
        <v>0</v>
      </c>
      <c r="HA81" s="2">
        <v>2</v>
      </c>
      <c r="HB81" s="2">
        <v>3</v>
      </c>
      <c r="HD81" s="2">
        <v>1</v>
      </c>
      <c r="HE81" s="2">
        <v>1</v>
      </c>
      <c r="HF81" s="2">
        <v>2</v>
      </c>
      <c r="HH81" s="2">
        <f t="shared" si="2"/>
        <v>10</v>
      </c>
      <c r="HI81" s="2">
        <f t="shared" si="3"/>
        <v>9</v>
      </c>
      <c r="HJ81" s="2"/>
      <c r="HK81" s="2">
        <v>9</v>
      </c>
      <c r="HL81" s="2">
        <v>9</v>
      </c>
      <c r="HM81" s="2"/>
      <c r="HN81" s="2"/>
    </row>
    <row r="82" spans="1:222" ht="15.75" customHeight="1" x14ac:dyDescent="0.2">
      <c r="A82" s="3" t="e">
        <f>VLOOKUP(B82,#REF!,1,FALSE)</f>
        <v>#REF!</v>
      </c>
      <c r="B82" s="3">
        <v>44642.878768055554</v>
      </c>
      <c r="C82" s="2">
        <v>89</v>
      </c>
      <c r="D82" s="2" t="s">
        <v>185</v>
      </c>
      <c r="E82" s="2">
        <v>0</v>
      </c>
      <c r="F82" s="2" t="s">
        <v>232</v>
      </c>
      <c r="G82" s="2">
        <v>15</v>
      </c>
      <c r="H82" s="2">
        <v>2</v>
      </c>
      <c r="I82" s="2">
        <v>1</v>
      </c>
      <c r="J82" s="2">
        <v>3</v>
      </c>
      <c r="K82" s="2">
        <v>0</v>
      </c>
      <c r="L82" s="2">
        <v>7</v>
      </c>
      <c r="M82" s="2" t="s">
        <v>213</v>
      </c>
      <c r="N82" s="2">
        <v>3</v>
      </c>
      <c r="O82" s="2">
        <v>3</v>
      </c>
      <c r="P82" s="2">
        <v>0</v>
      </c>
      <c r="Q82" s="2">
        <v>0</v>
      </c>
      <c r="R82" s="2">
        <v>2</v>
      </c>
      <c r="S82" s="2">
        <v>1</v>
      </c>
      <c r="T82" s="2">
        <v>-1</v>
      </c>
      <c r="U82" s="2">
        <v>0</v>
      </c>
      <c r="V82" s="2">
        <v>0</v>
      </c>
      <c r="W82" s="2">
        <v>0</v>
      </c>
      <c r="X82" s="2"/>
      <c r="Y82" s="2">
        <v>-1</v>
      </c>
      <c r="Z82" s="2">
        <v>0</v>
      </c>
      <c r="AA82" s="2">
        <v>1</v>
      </c>
      <c r="AB82" s="2">
        <v>2</v>
      </c>
      <c r="AC82" s="2">
        <v>0</v>
      </c>
      <c r="AD82" s="2">
        <v>1</v>
      </c>
      <c r="AE82" s="2">
        <v>2</v>
      </c>
      <c r="AF82" s="2">
        <v>1</v>
      </c>
      <c r="AG82" s="2">
        <v>2</v>
      </c>
      <c r="AH82" s="2">
        <v>2</v>
      </c>
      <c r="AI82" s="2">
        <v>1</v>
      </c>
      <c r="AJ82" s="2">
        <v>2</v>
      </c>
      <c r="AK82" s="2">
        <v>2</v>
      </c>
      <c r="AL82" s="2">
        <v>2</v>
      </c>
      <c r="AM82" s="2">
        <v>4</v>
      </c>
      <c r="AN82" s="2">
        <v>3</v>
      </c>
      <c r="AO82" s="2">
        <v>4</v>
      </c>
      <c r="AP82" s="2">
        <v>3</v>
      </c>
      <c r="AQ82" s="2">
        <v>4</v>
      </c>
      <c r="AR82" s="2">
        <v>3</v>
      </c>
      <c r="AS82" s="2">
        <v>1</v>
      </c>
      <c r="AT82" s="2">
        <v>0</v>
      </c>
      <c r="AU82" s="2">
        <v>1</v>
      </c>
      <c r="AV82" s="2"/>
      <c r="AW82" s="2">
        <v>1</v>
      </c>
      <c r="AX82" s="2">
        <v>1</v>
      </c>
      <c r="AY82" s="2">
        <v>0</v>
      </c>
      <c r="AZ82" s="2">
        <v>3</v>
      </c>
      <c r="BA82" s="2">
        <v>3</v>
      </c>
      <c r="BB82" s="2">
        <v>3</v>
      </c>
      <c r="BC82" s="2">
        <v>3</v>
      </c>
      <c r="BD82" s="2">
        <v>3</v>
      </c>
      <c r="BE82" s="2">
        <v>3</v>
      </c>
      <c r="BF82" s="2">
        <v>1</v>
      </c>
      <c r="BG82" s="2">
        <v>1</v>
      </c>
      <c r="BH82" s="2">
        <v>0</v>
      </c>
      <c r="BI82" s="2"/>
      <c r="BJ82" s="2">
        <v>1</v>
      </c>
      <c r="BK82" s="2">
        <v>0</v>
      </c>
      <c r="BL82" s="2">
        <v>0</v>
      </c>
      <c r="BM82" s="2">
        <v>8</v>
      </c>
      <c r="BN82" s="2">
        <v>8</v>
      </c>
      <c r="BO82" s="2">
        <v>9</v>
      </c>
      <c r="BP82" s="2"/>
      <c r="BQ82" s="2"/>
      <c r="BR82" s="2"/>
      <c r="BS82" s="2"/>
      <c r="BT82" s="2"/>
      <c r="BU82" s="2"/>
      <c r="BV82" s="2"/>
      <c r="BW82" s="2"/>
      <c r="BX82" s="2" t="s">
        <v>191</v>
      </c>
      <c r="BY82" s="2" t="s">
        <v>188</v>
      </c>
      <c r="BZ82" s="2" t="s">
        <v>188</v>
      </c>
      <c r="CA82" s="2" t="s">
        <v>190</v>
      </c>
      <c r="CB82" s="2" t="s">
        <v>188</v>
      </c>
      <c r="CC82" s="2" t="s">
        <v>191</v>
      </c>
      <c r="CD82" s="2" t="s">
        <v>190</v>
      </c>
      <c r="CE82" s="2" t="s">
        <v>188</v>
      </c>
      <c r="CF82" s="2" t="s">
        <v>188</v>
      </c>
      <c r="CG82" s="2" t="s">
        <v>188</v>
      </c>
      <c r="CH82" s="2" t="s">
        <v>190</v>
      </c>
      <c r="CI82" s="2" t="s">
        <v>190</v>
      </c>
      <c r="CJ82" s="2" t="s">
        <v>190</v>
      </c>
      <c r="CK82" s="2" t="s">
        <v>190</v>
      </c>
      <c r="CL82" s="2" t="s">
        <v>190</v>
      </c>
      <c r="CM82" s="2" t="s">
        <v>193</v>
      </c>
      <c r="CN82" s="2" t="s">
        <v>192</v>
      </c>
      <c r="CO82" s="2" t="s">
        <v>200</v>
      </c>
      <c r="CP82" s="2" t="s">
        <v>192</v>
      </c>
      <c r="CQ82" s="2" t="s">
        <v>192</v>
      </c>
      <c r="CR82" s="2" t="s">
        <v>193</v>
      </c>
      <c r="CS82" s="2" t="s">
        <v>192</v>
      </c>
      <c r="CT82" s="2" t="s">
        <v>192</v>
      </c>
      <c r="CU82" s="2" t="s">
        <v>192</v>
      </c>
      <c r="CV82" s="2" t="s">
        <v>193</v>
      </c>
      <c r="CW82" s="2" t="s">
        <v>193</v>
      </c>
      <c r="CX82" s="2" t="s">
        <v>193</v>
      </c>
      <c r="CY82" s="2" t="s">
        <v>193</v>
      </c>
      <c r="CZ82" s="2" t="s">
        <v>200</v>
      </c>
      <c r="DA82" s="2" t="s">
        <v>200</v>
      </c>
      <c r="DB82" s="2" t="s">
        <v>192</v>
      </c>
      <c r="DC82" s="2" t="s">
        <v>192</v>
      </c>
      <c r="DD82" s="2" t="s">
        <v>192</v>
      </c>
      <c r="DE82" s="2" t="s">
        <v>192</v>
      </c>
      <c r="DF82" s="2" t="s">
        <v>192</v>
      </c>
      <c r="DG82" s="2" t="s">
        <v>195</v>
      </c>
      <c r="DH82" s="2" t="s">
        <v>195</v>
      </c>
      <c r="DI82" s="2" t="s">
        <v>195</v>
      </c>
      <c r="DJ82" s="2" t="s">
        <v>195</v>
      </c>
      <c r="DK82" s="2" t="s">
        <v>196</v>
      </c>
      <c r="DL82" s="2" t="s">
        <v>195</v>
      </c>
      <c r="DM82" s="2" t="s">
        <v>196</v>
      </c>
      <c r="DN82" s="2" t="s">
        <v>196</v>
      </c>
      <c r="DO82" s="2" t="s">
        <v>196</v>
      </c>
      <c r="DP82" s="2" t="s">
        <v>194</v>
      </c>
      <c r="DQ82" s="2" t="s">
        <v>195</v>
      </c>
      <c r="DR82" s="2" t="s">
        <v>195</v>
      </c>
      <c r="DS82" s="2" t="s">
        <v>197</v>
      </c>
      <c r="DT82" s="2" t="s">
        <v>198</v>
      </c>
      <c r="DU82" s="2" t="s">
        <v>197</v>
      </c>
      <c r="DV82" s="2" t="s">
        <v>197</v>
      </c>
      <c r="DW82" s="2" t="s">
        <v>197</v>
      </c>
      <c r="DX82" s="2" t="s">
        <v>198</v>
      </c>
      <c r="DY82" s="2" t="s">
        <v>197</v>
      </c>
      <c r="DZ82" s="2"/>
      <c r="EA82" s="2">
        <v>1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1</v>
      </c>
      <c r="EJ82" s="2">
        <v>0</v>
      </c>
      <c r="EK82" s="2">
        <v>0</v>
      </c>
      <c r="EL82" s="2">
        <v>0</v>
      </c>
      <c r="EM82" s="2">
        <v>1</v>
      </c>
      <c r="EN82" s="2">
        <v>0</v>
      </c>
      <c r="EO82" s="2">
        <v>0</v>
      </c>
      <c r="EP82" s="2">
        <v>0</v>
      </c>
      <c r="EQ82" s="2">
        <v>1</v>
      </c>
      <c r="ER82" s="2">
        <v>0</v>
      </c>
      <c r="ES82" s="2">
        <v>1</v>
      </c>
      <c r="ET82" s="2">
        <v>0</v>
      </c>
      <c r="EU82" s="2">
        <v>1</v>
      </c>
      <c r="EV82" s="2">
        <v>0</v>
      </c>
      <c r="EW82" s="2">
        <v>0</v>
      </c>
      <c r="EX82" s="2">
        <v>0</v>
      </c>
      <c r="EY82" s="2">
        <v>1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1</v>
      </c>
      <c r="FM82" s="2">
        <v>0</v>
      </c>
      <c r="FN82" s="2">
        <v>0</v>
      </c>
      <c r="FO82" s="2">
        <v>0</v>
      </c>
      <c r="FP82" s="2">
        <v>0</v>
      </c>
      <c r="FQ82" s="2">
        <v>1</v>
      </c>
      <c r="FR82" s="2">
        <v>1</v>
      </c>
      <c r="FS82" s="2">
        <v>0</v>
      </c>
      <c r="FT82" s="2">
        <v>1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/>
      <c r="GA82" s="2">
        <v>4</v>
      </c>
      <c r="GB82" s="2">
        <v>3</v>
      </c>
      <c r="GC82" s="2">
        <v>4</v>
      </c>
      <c r="GD82" s="2">
        <v>3</v>
      </c>
      <c r="GE82" s="2">
        <v>4</v>
      </c>
      <c r="GG82" s="2">
        <v>3</v>
      </c>
      <c r="GH82" s="2">
        <v>3</v>
      </c>
      <c r="GI82" s="2">
        <v>3</v>
      </c>
      <c r="GJ82" s="2">
        <v>3</v>
      </c>
      <c r="GK82" s="2">
        <v>3</v>
      </c>
      <c r="GM82" s="2">
        <f t="shared" si="0"/>
        <v>18</v>
      </c>
      <c r="GN82" s="2">
        <f t="shared" si="1"/>
        <v>15</v>
      </c>
      <c r="GO82" s="2"/>
      <c r="GP82" s="2">
        <v>3</v>
      </c>
      <c r="GQ82" s="2">
        <v>1</v>
      </c>
      <c r="GR82" s="2">
        <v>0</v>
      </c>
      <c r="GS82" s="2">
        <v>1</v>
      </c>
      <c r="GU82" s="2">
        <v>1</v>
      </c>
      <c r="GV82" s="2">
        <v>1</v>
      </c>
      <c r="GW82" s="2">
        <v>0</v>
      </c>
      <c r="GY82" s="2">
        <v>3</v>
      </c>
      <c r="GZ82" s="2">
        <v>1</v>
      </c>
      <c r="HA82" s="2">
        <v>1</v>
      </c>
      <c r="HB82" s="2">
        <v>0</v>
      </c>
      <c r="HD82" s="2">
        <v>1</v>
      </c>
      <c r="HE82" s="2">
        <v>0</v>
      </c>
      <c r="HF82" s="2">
        <v>0</v>
      </c>
      <c r="HH82" s="2">
        <f t="shared" si="2"/>
        <v>7</v>
      </c>
      <c r="HI82" s="2">
        <f t="shared" si="3"/>
        <v>6</v>
      </c>
      <c r="HJ82" s="2"/>
      <c r="HK82" s="2">
        <v>8</v>
      </c>
      <c r="HL82" s="2">
        <v>9</v>
      </c>
      <c r="HM82" s="2"/>
      <c r="HN82" s="2"/>
    </row>
    <row r="83" spans="1:222" ht="15.75" customHeight="1" x14ac:dyDescent="0.2">
      <c r="A83" s="3" t="e">
        <f>VLOOKUP(B83,#REF!,1,FALSE)</f>
        <v>#REF!</v>
      </c>
      <c r="B83" s="3">
        <v>44642.895639247683</v>
      </c>
      <c r="C83" s="2">
        <v>90</v>
      </c>
      <c r="D83" s="2" t="s">
        <v>185</v>
      </c>
      <c r="E83" s="2">
        <v>0</v>
      </c>
      <c r="F83" s="2" t="s">
        <v>186</v>
      </c>
      <c r="G83" s="2">
        <v>15</v>
      </c>
      <c r="H83" s="2">
        <v>2</v>
      </c>
      <c r="I83" s="2">
        <v>1</v>
      </c>
      <c r="J83" s="2">
        <v>1</v>
      </c>
      <c r="K83" s="2">
        <v>0</v>
      </c>
      <c r="L83" s="2">
        <v>5</v>
      </c>
      <c r="M83" s="2" t="s">
        <v>187</v>
      </c>
      <c r="N83" s="2">
        <v>2</v>
      </c>
      <c r="O83" s="2">
        <v>4</v>
      </c>
      <c r="P83" s="2">
        <v>0</v>
      </c>
      <c r="Q83" s="2">
        <v>0</v>
      </c>
      <c r="R83" s="2">
        <v>3</v>
      </c>
      <c r="S83" s="2">
        <v>-1</v>
      </c>
      <c r="T83" s="2">
        <v>-1</v>
      </c>
      <c r="U83" s="2">
        <v>-1</v>
      </c>
      <c r="V83" s="2">
        <v>-1</v>
      </c>
      <c r="W83" s="2">
        <v>0</v>
      </c>
      <c r="X83" s="2"/>
      <c r="Y83" s="2">
        <v>0</v>
      </c>
      <c r="Z83" s="2">
        <v>0</v>
      </c>
      <c r="AA83" s="2">
        <v>1</v>
      </c>
      <c r="AB83" s="2">
        <v>2</v>
      </c>
      <c r="AC83" s="2">
        <v>-99</v>
      </c>
      <c r="AD83" s="2">
        <v>1</v>
      </c>
      <c r="AE83" s="2">
        <v>2</v>
      </c>
      <c r="AF83" s="2">
        <v>0</v>
      </c>
      <c r="AG83" s="2">
        <v>-1</v>
      </c>
      <c r="AH83" s="2">
        <v>2</v>
      </c>
      <c r="AI83" s="2">
        <v>1</v>
      </c>
      <c r="AJ83" s="2">
        <v>1</v>
      </c>
      <c r="AK83" s="2">
        <v>3</v>
      </c>
      <c r="AL83" s="2">
        <v>2</v>
      </c>
      <c r="AM83" s="2">
        <v>3</v>
      </c>
      <c r="AN83" s="2">
        <v>3</v>
      </c>
      <c r="AO83" s="2">
        <v>3</v>
      </c>
      <c r="AP83" s="2">
        <v>3</v>
      </c>
      <c r="AQ83" s="2">
        <v>3</v>
      </c>
      <c r="AR83" s="2">
        <v>2</v>
      </c>
      <c r="AS83" s="2">
        <v>2</v>
      </c>
      <c r="AT83" s="2">
        <v>1</v>
      </c>
      <c r="AU83" s="2">
        <v>2</v>
      </c>
      <c r="AV83" s="2"/>
      <c r="AW83" s="2">
        <v>2</v>
      </c>
      <c r="AX83" s="2">
        <v>1</v>
      </c>
      <c r="AY83" s="2">
        <v>0</v>
      </c>
      <c r="AZ83" s="2">
        <v>3</v>
      </c>
      <c r="BA83" s="2">
        <v>3</v>
      </c>
      <c r="BB83" s="2">
        <v>3</v>
      </c>
      <c r="BC83" s="2">
        <v>3</v>
      </c>
      <c r="BD83" s="2">
        <v>3</v>
      </c>
      <c r="BE83" s="2">
        <v>2</v>
      </c>
      <c r="BF83" s="2">
        <v>2</v>
      </c>
      <c r="BG83" s="2">
        <v>1</v>
      </c>
      <c r="BH83" s="2">
        <v>1</v>
      </c>
      <c r="BI83" s="2"/>
      <c r="BJ83" s="2">
        <v>1</v>
      </c>
      <c r="BK83" s="2">
        <v>1</v>
      </c>
      <c r="BL83" s="2">
        <v>0</v>
      </c>
      <c r="BM83" s="2">
        <v>8</v>
      </c>
      <c r="BN83" s="2">
        <v>8</v>
      </c>
      <c r="BO83" s="2">
        <v>8</v>
      </c>
      <c r="BP83" s="2"/>
      <c r="BQ83" s="2"/>
      <c r="BR83" s="2"/>
      <c r="BS83" s="2"/>
      <c r="BT83" s="2"/>
      <c r="BU83" s="2"/>
      <c r="BV83" s="2"/>
      <c r="BW83" s="2"/>
      <c r="BX83" s="2" t="s">
        <v>191</v>
      </c>
      <c r="BY83" s="2" t="s">
        <v>191</v>
      </c>
      <c r="BZ83" s="2" t="s">
        <v>191</v>
      </c>
      <c r="CA83" s="2" t="s">
        <v>190</v>
      </c>
      <c r="CB83" s="2" t="s">
        <v>191</v>
      </c>
      <c r="CC83" s="2" t="s">
        <v>190</v>
      </c>
      <c r="CD83" s="2" t="s">
        <v>189</v>
      </c>
      <c r="CE83" s="2" t="s">
        <v>190</v>
      </c>
      <c r="CF83" s="2" t="s">
        <v>191</v>
      </c>
      <c r="CG83" s="2" t="s">
        <v>190</v>
      </c>
      <c r="CH83" s="2" t="s">
        <v>190</v>
      </c>
      <c r="CI83" s="2" t="s">
        <v>188</v>
      </c>
      <c r="CJ83" s="2" t="s">
        <v>191</v>
      </c>
      <c r="CK83" s="2" t="s">
        <v>190</v>
      </c>
      <c r="CL83" s="2" t="s">
        <v>190</v>
      </c>
      <c r="CM83" s="2" t="s">
        <v>192</v>
      </c>
      <c r="CN83" s="2" t="s">
        <v>192</v>
      </c>
      <c r="CO83" s="2" t="s">
        <v>193</v>
      </c>
      <c r="CP83" s="2" t="s">
        <v>192</v>
      </c>
      <c r="CQ83" s="2" t="s">
        <v>192</v>
      </c>
      <c r="CR83" s="2" t="s">
        <v>193</v>
      </c>
      <c r="CS83" s="2" t="s">
        <v>192</v>
      </c>
      <c r="CT83" s="2" t="s">
        <v>192</v>
      </c>
      <c r="CU83" s="2" t="s">
        <v>192</v>
      </c>
      <c r="CV83" s="2" t="s">
        <v>192</v>
      </c>
      <c r="CW83" s="2" t="s">
        <v>192</v>
      </c>
      <c r="CX83" s="2" t="s">
        <v>192</v>
      </c>
      <c r="CY83" s="2" t="s">
        <v>192</v>
      </c>
      <c r="CZ83" s="2" t="s">
        <v>192</v>
      </c>
      <c r="DA83" s="2" t="s">
        <v>193</v>
      </c>
      <c r="DB83" s="2" t="s">
        <v>192</v>
      </c>
      <c r="DC83" s="2" t="s">
        <v>192</v>
      </c>
      <c r="DD83" s="2" t="s">
        <v>192</v>
      </c>
      <c r="DE83" s="2" t="s">
        <v>192</v>
      </c>
      <c r="DF83" s="2" t="s">
        <v>192</v>
      </c>
      <c r="DG83" s="2" t="s">
        <v>194</v>
      </c>
      <c r="DH83" s="2" t="s">
        <v>195</v>
      </c>
      <c r="DI83" s="2" t="s">
        <v>194</v>
      </c>
      <c r="DJ83" s="2" t="s">
        <v>194</v>
      </c>
      <c r="DK83" s="2" t="s">
        <v>196</v>
      </c>
      <c r="DL83" s="2" t="s">
        <v>194</v>
      </c>
      <c r="DM83" s="2" t="s">
        <v>194</v>
      </c>
      <c r="DN83" s="2" t="s">
        <v>194</v>
      </c>
      <c r="DO83" s="2" t="s">
        <v>194</v>
      </c>
      <c r="DP83" s="2" t="s">
        <v>194</v>
      </c>
      <c r="DQ83" s="2" t="s">
        <v>194</v>
      </c>
      <c r="DR83" s="2" t="s">
        <v>194</v>
      </c>
      <c r="DS83" s="2" t="s">
        <v>197</v>
      </c>
      <c r="DT83" s="2" t="s">
        <v>199</v>
      </c>
      <c r="DU83" s="2" t="s">
        <v>199</v>
      </c>
      <c r="DV83" s="2" t="s">
        <v>197</v>
      </c>
      <c r="DW83" s="2" t="s">
        <v>197</v>
      </c>
      <c r="DX83" s="2" t="s">
        <v>197</v>
      </c>
      <c r="DY83" s="2" t="s">
        <v>197</v>
      </c>
      <c r="DZ83" s="2"/>
      <c r="EA83" s="2">
        <v>1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1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1</v>
      </c>
      <c r="ET83" s="2">
        <v>0</v>
      </c>
      <c r="EU83" s="2">
        <v>0</v>
      </c>
      <c r="EV83" s="2">
        <v>1</v>
      </c>
      <c r="EW83" s="2">
        <v>0</v>
      </c>
      <c r="EX83" s="2">
        <v>0</v>
      </c>
      <c r="EY83" s="2">
        <v>1</v>
      </c>
      <c r="EZ83" s="2">
        <v>0</v>
      </c>
      <c r="FA83" s="2">
        <v>0</v>
      </c>
      <c r="FB83" s="2">
        <v>1</v>
      </c>
      <c r="FC83" s="2">
        <v>0</v>
      </c>
      <c r="FD83" s="2">
        <v>0</v>
      </c>
      <c r="FE83" s="2">
        <v>0</v>
      </c>
      <c r="FF83" s="2">
        <v>1</v>
      </c>
      <c r="FG83" s="2">
        <v>0</v>
      </c>
      <c r="FH83" s="2">
        <v>1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1</v>
      </c>
      <c r="FP83" s="2">
        <v>0</v>
      </c>
      <c r="FQ83" s="2">
        <v>1</v>
      </c>
      <c r="FR83" s="2">
        <v>0</v>
      </c>
      <c r="FS83" s="2">
        <v>1</v>
      </c>
      <c r="FT83" s="2">
        <v>0</v>
      </c>
      <c r="FU83" s="2">
        <v>1</v>
      </c>
      <c r="FV83" s="2">
        <v>0</v>
      </c>
      <c r="FW83" s="2">
        <v>1</v>
      </c>
      <c r="FX83" s="2">
        <v>0</v>
      </c>
      <c r="FY83" s="2">
        <v>1</v>
      </c>
      <c r="FZ83" s="2"/>
      <c r="GA83" s="2">
        <v>3</v>
      </c>
      <c r="GB83" s="2">
        <v>3</v>
      </c>
      <c r="GC83" s="2">
        <v>3</v>
      </c>
      <c r="GD83" s="2">
        <v>3</v>
      </c>
      <c r="GE83" s="2">
        <v>3</v>
      </c>
      <c r="GG83" s="2">
        <v>3</v>
      </c>
      <c r="GH83" s="2">
        <v>3</v>
      </c>
      <c r="GI83" s="2">
        <v>3</v>
      </c>
      <c r="GJ83" s="2">
        <v>3</v>
      </c>
      <c r="GK83" s="2">
        <v>3</v>
      </c>
      <c r="GM83" s="2">
        <f t="shared" si="0"/>
        <v>15</v>
      </c>
      <c r="GN83" s="2">
        <f t="shared" si="1"/>
        <v>15</v>
      </c>
      <c r="GO83" s="2"/>
      <c r="GP83" s="2">
        <v>2</v>
      </c>
      <c r="GQ83" s="2">
        <v>2</v>
      </c>
      <c r="GR83" s="2">
        <v>1</v>
      </c>
      <c r="GS83" s="2">
        <v>2</v>
      </c>
      <c r="GU83" s="2">
        <v>2</v>
      </c>
      <c r="GV83" s="2">
        <v>1</v>
      </c>
      <c r="GW83" s="2">
        <v>0</v>
      </c>
      <c r="GY83" s="2">
        <v>2</v>
      </c>
      <c r="GZ83" s="2">
        <v>2</v>
      </c>
      <c r="HA83" s="2">
        <v>1</v>
      </c>
      <c r="HB83" s="2">
        <v>1</v>
      </c>
      <c r="HD83" s="2">
        <v>1</v>
      </c>
      <c r="HE83" s="2">
        <v>1</v>
      </c>
      <c r="HF83" s="2">
        <v>0</v>
      </c>
      <c r="HH83" s="2">
        <f t="shared" si="2"/>
        <v>10</v>
      </c>
      <c r="HI83" s="2">
        <f t="shared" si="3"/>
        <v>8</v>
      </c>
      <c r="HJ83" s="2"/>
      <c r="HK83" s="2">
        <v>8</v>
      </c>
      <c r="HL83" s="2">
        <v>8</v>
      </c>
      <c r="HM83" s="2"/>
      <c r="HN83" s="2"/>
    </row>
    <row r="84" spans="1:222" ht="15.75" customHeight="1" x14ac:dyDescent="0.2">
      <c r="A84" s="3" t="e">
        <f>VLOOKUP(B84,#REF!,1,FALSE)</f>
        <v>#REF!</v>
      </c>
      <c r="B84" s="3">
        <v>44642.897748993055</v>
      </c>
      <c r="C84" s="2">
        <v>91</v>
      </c>
      <c r="D84" s="2" t="s">
        <v>185</v>
      </c>
      <c r="E84" s="2">
        <v>0</v>
      </c>
      <c r="F84" s="2" t="s">
        <v>186</v>
      </c>
      <c r="G84" s="2">
        <v>8</v>
      </c>
      <c r="H84" s="2">
        <v>2</v>
      </c>
      <c r="I84" s="2">
        <v>1</v>
      </c>
      <c r="J84" s="2">
        <v>2</v>
      </c>
      <c r="K84" s="2">
        <v>0</v>
      </c>
      <c r="L84" s="2">
        <v>4</v>
      </c>
      <c r="M84" s="2" t="s">
        <v>187</v>
      </c>
      <c r="N84" s="2">
        <v>2</v>
      </c>
      <c r="O84" s="2">
        <v>3</v>
      </c>
      <c r="P84" s="2">
        <v>0</v>
      </c>
      <c r="Q84" s="2">
        <v>0</v>
      </c>
      <c r="R84" s="2">
        <v>2</v>
      </c>
      <c r="S84" s="2">
        <v>0</v>
      </c>
      <c r="T84" s="2">
        <v>-1</v>
      </c>
      <c r="U84" s="2">
        <v>-1</v>
      </c>
      <c r="V84" s="2">
        <v>-1</v>
      </c>
      <c r="W84" s="2">
        <v>0</v>
      </c>
      <c r="X84" s="2"/>
      <c r="Y84" s="2">
        <v>-1</v>
      </c>
      <c r="Z84" s="2">
        <v>1</v>
      </c>
      <c r="AA84" s="2">
        <v>1</v>
      </c>
      <c r="AB84" s="2">
        <v>2</v>
      </c>
      <c r="AC84" s="2">
        <v>1</v>
      </c>
      <c r="AD84" s="2">
        <v>2</v>
      </c>
      <c r="AE84" s="2">
        <v>2</v>
      </c>
      <c r="AF84" s="2">
        <v>2</v>
      </c>
      <c r="AG84" s="2">
        <v>1</v>
      </c>
      <c r="AH84" s="2">
        <v>2</v>
      </c>
      <c r="AI84" s="2">
        <v>2</v>
      </c>
      <c r="AJ84" s="2">
        <v>2</v>
      </c>
      <c r="AK84" s="2">
        <v>2</v>
      </c>
      <c r="AL84" s="2">
        <v>2</v>
      </c>
      <c r="AM84" s="2">
        <v>5</v>
      </c>
      <c r="AN84" s="2">
        <v>5</v>
      </c>
      <c r="AO84" s="2">
        <v>5</v>
      </c>
      <c r="AP84" s="2">
        <v>5</v>
      </c>
      <c r="AQ84" s="2">
        <v>5</v>
      </c>
      <c r="AR84" s="2">
        <v>1</v>
      </c>
      <c r="AS84" s="2">
        <v>0</v>
      </c>
      <c r="AT84" s="2">
        <v>0</v>
      </c>
      <c r="AU84" s="2">
        <v>0</v>
      </c>
      <c r="AV84" s="2"/>
      <c r="AW84" s="2">
        <v>0</v>
      </c>
      <c r="AX84" s="2">
        <v>0</v>
      </c>
      <c r="AY84" s="2">
        <v>1</v>
      </c>
      <c r="AZ84" s="2">
        <v>5</v>
      </c>
      <c r="BA84" s="2">
        <v>5</v>
      </c>
      <c r="BB84" s="2">
        <v>5</v>
      </c>
      <c r="BC84" s="2">
        <v>5</v>
      </c>
      <c r="BD84" s="2">
        <v>5</v>
      </c>
      <c r="BE84" s="2">
        <v>2</v>
      </c>
      <c r="BF84" s="2">
        <v>0</v>
      </c>
      <c r="BG84" s="2">
        <v>0</v>
      </c>
      <c r="BH84" s="2">
        <v>0</v>
      </c>
      <c r="BI84" s="2"/>
      <c r="BJ84" s="2">
        <v>0</v>
      </c>
      <c r="BK84" s="2">
        <v>0</v>
      </c>
      <c r="BL84" s="2">
        <v>1</v>
      </c>
      <c r="BM84" s="2">
        <v>8</v>
      </c>
      <c r="BN84" s="2">
        <v>8</v>
      </c>
      <c r="BO84" s="2">
        <v>8</v>
      </c>
      <c r="BP84" s="2"/>
      <c r="BQ84" s="2"/>
      <c r="BR84" s="2"/>
      <c r="BS84" s="2"/>
      <c r="BT84" s="2"/>
      <c r="BU84" s="2"/>
      <c r="BV84" s="2"/>
      <c r="BW84" s="2"/>
      <c r="BX84" s="2" t="s">
        <v>188</v>
      </c>
      <c r="BY84" s="2" t="s">
        <v>188</v>
      </c>
      <c r="BZ84" s="2" t="s">
        <v>191</v>
      </c>
      <c r="CA84" s="2" t="s">
        <v>191</v>
      </c>
      <c r="CB84" s="2" t="s">
        <v>191</v>
      </c>
      <c r="CC84" s="2" t="s">
        <v>191</v>
      </c>
      <c r="CD84" s="2" t="s">
        <v>191</v>
      </c>
      <c r="CE84" s="2" t="s">
        <v>191</v>
      </c>
      <c r="CF84" s="2" t="s">
        <v>191</v>
      </c>
      <c r="CG84" s="2" t="s">
        <v>191</v>
      </c>
      <c r="CH84" s="2" t="s">
        <v>191</v>
      </c>
      <c r="CI84" s="2" t="s">
        <v>191</v>
      </c>
      <c r="CJ84" s="2" t="s">
        <v>191</v>
      </c>
      <c r="CK84" s="2" t="s">
        <v>191</v>
      </c>
      <c r="CL84" s="2" t="s">
        <v>191</v>
      </c>
      <c r="CM84" s="2" t="s">
        <v>192</v>
      </c>
      <c r="CN84" s="2" t="s">
        <v>192</v>
      </c>
      <c r="CO84" s="2" t="s">
        <v>192</v>
      </c>
      <c r="CP84" s="2" t="s">
        <v>192</v>
      </c>
      <c r="CQ84" s="2" t="s">
        <v>192</v>
      </c>
      <c r="CR84" s="2" t="s">
        <v>192</v>
      </c>
      <c r="CS84" s="2" t="s">
        <v>192</v>
      </c>
      <c r="CT84" s="2" t="s">
        <v>192</v>
      </c>
      <c r="CU84" s="2" t="s">
        <v>192</v>
      </c>
      <c r="CV84" s="2" t="s">
        <v>192</v>
      </c>
      <c r="CW84" s="2" t="s">
        <v>192</v>
      </c>
      <c r="CX84" s="2" t="s">
        <v>192</v>
      </c>
      <c r="CY84" s="2" t="s">
        <v>192</v>
      </c>
      <c r="CZ84" s="2" t="s">
        <v>192</v>
      </c>
      <c r="DA84" s="2" t="s">
        <v>192</v>
      </c>
      <c r="DB84" s="2" t="s">
        <v>192</v>
      </c>
      <c r="DC84" s="2" t="s">
        <v>192</v>
      </c>
      <c r="DD84" s="2" t="s">
        <v>192</v>
      </c>
      <c r="DE84" s="2" t="s">
        <v>192</v>
      </c>
      <c r="DF84" s="2" t="s">
        <v>192</v>
      </c>
      <c r="DG84" s="2" t="s">
        <v>196</v>
      </c>
      <c r="DH84" s="2" t="s">
        <v>196</v>
      </c>
      <c r="DI84" s="2" t="s">
        <v>196</v>
      </c>
      <c r="DJ84" s="2" t="s">
        <v>196</v>
      </c>
      <c r="DK84" s="2" t="s">
        <v>196</v>
      </c>
      <c r="DL84" s="2" t="s">
        <v>196</v>
      </c>
      <c r="DM84" s="2" t="s">
        <v>196</v>
      </c>
      <c r="DN84" s="2" t="s">
        <v>194</v>
      </c>
      <c r="DO84" s="2" t="s">
        <v>194</v>
      </c>
      <c r="DP84" s="2" t="s">
        <v>196</v>
      </c>
      <c r="DQ84" s="2" t="s">
        <v>196</v>
      </c>
      <c r="DR84" s="2" t="s">
        <v>196</v>
      </c>
      <c r="DS84" s="2" t="s">
        <v>197</v>
      </c>
      <c r="DT84" s="2" t="s">
        <v>198</v>
      </c>
      <c r="DU84" s="2" t="s">
        <v>221</v>
      </c>
      <c r="DV84" s="2" t="s">
        <v>197</v>
      </c>
      <c r="DW84" s="2" t="s">
        <v>199</v>
      </c>
      <c r="DX84" s="2" t="s">
        <v>198</v>
      </c>
      <c r="DY84" s="2" t="s">
        <v>198</v>
      </c>
      <c r="DZ84" s="2"/>
      <c r="EA84" s="2">
        <v>1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1</v>
      </c>
      <c r="EJ84" s="2">
        <v>0</v>
      </c>
      <c r="EK84" s="2">
        <v>1</v>
      </c>
      <c r="EL84" s="2">
        <v>0</v>
      </c>
      <c r="EM84" s="2">
        <v>1</v>
      </c>
      <c r="EN84" s="2">
        <v>1</v>
      </c>
      <c r="EO84" s="2">
        <v>0</v>
      </c>
      <c r="EP84" s="2">
        <v>0</v>
      </c>
      <c r="EQ84" s="2">
        <v>1</v>
      </c>
      <c r="ER84" s="2">
        <v>0</v>
      </c>
      <c r="ES84" s="2">
        <v>1</v>
      </c>
      <c r="ET84" s="2">
        <v>0</v>
      </c>
      <c r="EU84" s="2">
        <v>1</v>
      </c>
      <c r="EV84" s="2">
        <v>0</v>
      </c>
      <c r="EW84" s="2">
        <v>1</v>
      </c>
      <c r="EX84" s="2">
        <v>0</v>
      </c>
      <c r="EY84" s="2">
        <v>1</v>
      </c>
      <c r="EZ84" s="2">
        <v>1</v>
      </c>
      <c r="FA84" s="2">
        <v>0</v>
      </c>
      <c r="FB84" s="2">
        <v>0</v>
      </c>
      <c r="FC84" s="2">
        <v>1</v>
      </c>
      <c r="FD84" s="2">
        <v>0</v>
      </c>
      <c r="FE84" s="2">
        <v>0</v>
      </c>
      <c r="FF84" s="2">
        <v>0</v>
      </c>
      <c r="FG84" s="2">
        <v>1</v>
      </c>
      <c r="FH84" s="2">
        <v>0</v>
      </c>
      <c r="FI84" s="2">
        <v>1</v>
      </c>
      <c r="FJ84" s="2">
        <v>1</v>
      </c>
      <c r="FK84" s="2">
        <v>0</v>
      </c>
      <c r="FL84" s="2">
        <v>0</v>
      </c>
      <c r="FM84" s="2">
        <v>1</v>
      </c>
      <c r="FN84" s="2">
        <v>0</v>
      </c>
      <c r="FO84" s="2">
        <v>1</v>
      </c>
      <c r="FP84" s="2">
        <v>0</v>
      </c>
      <c r="FQ84" s="2">
        <v>1</v>
      </c>
      <c r="FR84" s="2">
        <v>0</v>
      </c>
      <c r="FS84" s="2">
        <v>1</v>
      </c>
      <c r="FT84" s="2">
        <v>0</v>
      </c>
      <c r="FU84" s="2">
        <v>1</v>
      </c>
      <c r="FV84" s="2">
        <v>0</v>
      </c>
      <c r="FW84" s="2">
        <v>1</v>
      </c>
      <c r="FX84" s="2">
        <v>0</v>
      </c>
      <c r="FY84" s="2">
        <v>1</v>
      </c>
      <c r="FZ84" s="2"/>
      <c r="GA84" s="2">
        <v>5</v>
      </c>
      <c r="GB84" s="2">
        <v>5</v>
      </c>
      <c r="GC84" s="2">
        <v>5</v>
      </c>
      <c r="GD84" s="2">
        <v>5</v>
      </c>
      <c r="GE84" s="2">
        <v>5</v>
      </c>
      <c r="GG84" s="2">
        <v>5</v>
      </c>
      <c r="GH84" s="2">
        <v>5</v>
      </c>
      <c r="GI84" s="2">
        <v>5</v>
      </c>
      <c r="GJ84" s="2">
        <v>5</v>
      </c>
      <c r="GK84" s="2">
        <v>5</v>
      </c>
      <c r="GM84" s="2">
        <f t="shared" si="0"/>
        <v>25</v>
      </c>
      <c r="GN84" s="2">
        <f t="shared" si="1"/>
        <v>25</v>
      </c>
      <c r="GO84" s="2"/>
      <c r="GP84" s="2">
        <v>1</v>
      </c>
      <c r="GQ84" s="2">
        <v>0</v>
      </c>
      <c r="GR84" s="2">
        <v>0</v>
      </c>
      <c r="GS84" s="2">
        <v>0</v>
      </c>
      <c r="GU84" s="2">
        <v>0</v>
      </c>
      <c r="GV84" s="2">
        <v>0</v>
      </c>
      <c r="GW84" s="2">
        <v>1</v>
      </c>
      <c r="GY84" s="2">
        <v>2</v>
      </c>
      <c r="GZ84" s="2">
        <v>0</v>
      </c>
      <c r="HA84" s="2">
        <v>0</v>
      </c>
      <c r="HB84" s="2">
        <v>0</v>
      </c>
      <c r="HD84" s="2">
        <v>0</v>
      </c>
      <c r="HE84" s="2">
        <v>0</v>
      </c>
      <c r="HF84" s="2">
        <v>1</v>
      </c>
      <c r="HH84" s="2">
        <f t="shared" si="2"/>
        <v>2</v>
      </c>
      <c r="HI84" s="2">
        <f t="shared" si="3"/>
        <v>3</v>
      </c>
      <c r="HJ84" s="2"/>
      <c r="HK84" s="2">
        <v>8</v>
      </c>
      <c r="HL84" s="2">
        <v>8</v>
      </c>
      <c r="HM84" s="2"/>
      <c r="HN84" s="2"/>
    </row>
    <row r="85" spans="1:222" ht="15.75" customHeight="1" x14ac:dyDescent="0.2">
      <c r="A85" s="3" t="e">
        <f>VLOOKUP(B85,#REF!,1,FALSE)</f>
        <v>#REF!</v>
      </c>
      <c r="B85" s="3">
        <v>44642.903675486108</v>
      </c>
      <c r="C85" s="2">
        <v>92</v>
      </c>
      <c r="D85" s="2" t="s">
        <v>185</v>
      </c>
      <c r="E85" s="2">
        <v>0</v>
      </c>
      <c r="F85" s="2" t="s">
        <v>186</v>
      </c>
      <c r="G85" s="2">
        <v>2</v>
      </c>
      <c r="H85" s="2">
        <v>2</v>
      </c>
      <c r="I85" s="2">
        <v>1</v>
      </c>
      <c r="J85" s="2">
        <v>4</v>
      </c>
      <c r="K85" s="2">
        <v>0</v>
      </c>
      <c r="L85" s="2">
        <v>2</v>
      </c>
      <c r="M85" s="2" t="s">
        <v>213</v>
      </c>
      <c r="N85" s="2">
        <v>2</v>
      </c>
      <c r="O85" s="2">
        <v>3</v>
      </c>
      <c r="P85" s="2">
        <v>0</v>
      </c>
      <c r="Q85" s="2" t="s">
        <v>431</v>
      </c>
      <c r="R85" s="2">
        <v>3</v>
      </c>
      <c r="S85" s="2">
        <v>1</v>
      </c>
      <c r="T85" s="2">
        <v>-1</v>
      </c>
      <c r="U85" s="2">
        <v>1</v>
      </c>
      <c r="V85" s="2">
        <v>-1</v>
      </c>
      <c r="W85" s="2">
        <v>-1</v>
      </c>
      <c r="X85" s="2"/>
      <c r="Y85" s="2">
        <v>1</v>
      </c>
      <c r="Z85" s="2">
        <v>-1</v>
      </c>
      <c r="AA85" s="2">
        <v>1</v>
      </c>
      <c r="AB85" s="2">
        <v>4</v>
      </c>
      <c r="AC85" s="2">
        <v>4</v>
      </c>
      <c r="AD85" s="2">
        <v>2</v>
      </c>
      <c r="AE85" s="2">
        <v>1</v>
      </c>
      <c r="AF85" s="2">
        <v>2</v>
      </c>
      <c r="AG85" s="2">
        <v>-3</v>
      </c>
      <c r="AH85" s="2">
        <v>-3</v>
      </c>
      <c r="AI85" s="2">
        <v>-3</v>
      </c>
      <c r="AJ85" s="2">
        <v>-3</v>
      </c>
      <c r="AK85" s="2">
        <v>1</v>
      </c>
      <c r="AL85" s="2">
        <v>-3</v>
      </c>
      <c r="AM85" s="2">
        <v>3</v>
      </c>
      <c r="AN85" s="2">
        <v>3</v>
      </c>
      <c r="AO85" s="2">
        <v>3</v>
      </c>
      <c r="AP85" s="2">
        <v>3</v>
      </c>
      <c r="AQ85" s="2">
        <v>3</v>
      </c>
      <c r="AR85" s="2">
        <v>2</v>
      </c>
      <c r="AS85" s="2">
        <v>1</v>
      </c>
      <c r="AT85" s="2">
        <v>0</v>
      </c>
      <c r="AU85" s="2">
        <v>3</v>
      </c>
      <c r="AV85" s="2"/>
      <c r="AW85" s="2">
        <v>2</v>
      </c>
      <c r="AX85" s="2">
        <v>2</v>
      </c>
      <c r="AY85" s="2">
        <v>1</v>
      </c>
      <c r="AZ85" s="2">
        <v>1</v>
      </c>
      <c r="BA85" s="2">
        <v>1</v>
      </c>
      <c r="BB85" s="2">
        <v>1</v>
      </c>
      <c r="BC85" s="2">
        <v>1</v>
      </c>
      <c r="BD85" s="2">
        <v>1</v>
      </c>
      <c r="BE85" s="2">
        <v>2</v>
      </c>
      <c r="BF85" s="2">
        <v>2</v>
      </c>
      <c r="BG85" s="2">
        <v>1</v>
      </c>
      <c r="BH85" s="2">
        <v>3</v>
      </c>
      <c r="BI85" s="2"/>
      <c r="BJ85" s="2">
        <v>4</v>
      </c>
      <c r="BK85" s="2">
        <v>2</v>
      </c>
      <c r="BL85" s="2">
        <v>0</v>
      </c>
      <c r="BM85" s="2">
        <v>6</v>
      </c>
      <c r="BN85" s="2">
        <v>7</v>
      </c>
      <c r="BO85" s="2">
        <v>7</v>
      </c>
      <c r="BP85" s="2" t="s">
        <v>432</v>
      </c>
      <c r="BQ85" s="2"/>
      <c r="BR85" s="2"/>
      <c r="BS85" s="2"/>
      <c r="BT85" s="2"/>
      <c r="BU85" s="2"/>
      <c r="BV85" s="2" t="s">
        <v>433</v>
      </c>
      <c r="BW85" s="2" t="s">
        <v>434</v>
      </c>
      <c r="BX85" s="2" t="s">
        <v>188</v>
      </c>
      <c r="BY85" s="2" t="s">
        <v>188</v>
      </c>
      <c r="BZ85" s="2" t="s">
        <v>188</v>
      </c>
      <c r="CA85" s="2" t="s">
        <v>188</v>
      </c>
      <c r="CB85" s="2" t="s">
        <v>188</v>
      </c>
      <c r="CC85" s="2" t="s">
        <v>188</v>
      </c>
      <c r="CD85" s="2" t="s">
        <v>189</v>
      </c>
      <c r="CE85" s="2" t="s">
        <v>189</v>
      </c>
      <c r="CF85" s="2" t="s">
        <v>188</v>
      </c>
      <c r="CG85" s="2" t="s">
        <v>188</v>
      </c>
      <c r="CH85" s="2" t="s">
        <v>188</v>
      </c>
      <c r="CI85" s="2" t="s">
        <v>191</v>
      </c>
      <c r="CJ85" s="2" t="s">
        <v>189</v>
      </c>
      <c r="CK85" s="2" t="s">
        <v>190</v>
      </c>
      <c r="CL85" s="2" t="s">
        <v>190</v>
      </c>
      <c r="CM85" s="2" t="s">
        <v>200</v>
      </c>
      <c r="CN85" s="2" t="s">
        <v>192</v>
      </c>
      <c r="CO85" s="2" t="s">
        <v>200</v>
      </c>
      <c r="CP85" s="2" t="s">
        <v>200</v>
      </c>
      <c r="CQ85" s="2" t="s">
        <v>192</v>
      </c>
      <c r="CR85" s="2" t="s">
        <v>200</v>
      </c>
      <c r="CS85" s="2" t="s">
        <v>193</v>
      </c>
      <c r="CT85" s="2" t="s">
        <v>193</v>
      </c>
      <c r="CU85" s="2" t="s">
        <v>200</v>
      </c>
      <c r="CV85" s="2" t="s">
        <v>192</v>
      </c>
      <c r="CW85" s="2" t="s">
        <v>192</v>
      </c>
      <c r="CX85" s="2" t="s">
        <v>200</v>
      </c>
      <c r="CY85" s="2" t="s">
        <v>200</v>
      </c>
      <c r="CZ85" s="2" t="s">
        <v>200</v>
      </c>
      <c r="DA85" s="2" t="s">
        <v>200</v>
      </c>
      <c r="DB85" s="2" t="s">
        <v>193</v>
      </c>
      <c r="DC85" s="2" t="s">
        <v>192</v>
      </c>
      <c r="DD85" s="2" t="s">
        <v>200</v>
      </c>
      <c r="DE85" s="2" t="s">
        <v>200</v>
      </c>
      <c r="DF85" s="2" t="s">
        <v>200</v>
      </c>
      <c r="DG85" s="2" t="s">
        <v>201</v>
      </c>
      <c r="DH85" s="2" t="s">
        <v>201</v>
      </c>
      <c r="DI85" s="2" t="s">
        <v>195</v>
      </c>
      <c r="DJ85" s="2" t="s">
        <v>195</v>
      </c>
      <c r="DK85" s="2" t="s">
        <v>194</v>
      </c>
      <c r="DL85" s="2" t="s">
        <v>195</v>
      </c>
      <c r="DM85" s="2" t="s">
        <v>195</v>
      </c>
      <c r="DN85" s="2" t="s">
        <v>194</v>
      </c>
      <c r="DO85" s="2" t="s">
        <v>195</v>
      </c>
      <c r="DP85" s="2" t="s">
        <v>194</v>
      </c>
      <c r="DQ85" s="2" t="s">
        <v>195</v>
      </c>
      <c r="DR85" s="2" t="s">
        <v>195</v>
      </c>
      <c r="DS85" s="2" t="s">
        <v>197</v>
      </c>
      <c r="DT85" s="2" t="s">
        <v>197</v>
      </c>
      <c r="DU85" s="2" t="s">
        <v>197</v>
      </c>
      <c r="DV85" s="2" t="s">
        <v>197</v>
      </c>
      <c r="DW85" s="2" t="s">
        <v>197</v>
      </c>
      <c r="DX85" s="2" t="s">
        <v>197</v>
      </c>
      <c r="DY85" s="2" t="s">
        <v>197</v>
      </c>
      <c r="DZ85" s="2"/>
      <c r="EA85" s="2">
        <v>0</v>
      </c>
      <c r="EB85" s="2">
        <v>1</v>
      </c>
      <c r="EC85" s="2">
        <v>0</v>
      </c>
      <c r="ED85" s="2">
        <v>0</v>
      </c>
      <c r="EE85" s="2">
        <v>1</v>
      </c>
      <c r="EF85" s="2">
        <v>1</v>
      </c>
      <c r="EG85" s="2">
        <v>0</v>
      </c>
      <c r="EH85" s="2">
        <v>0</v>
      </c>
      <c r="EI85" s="2">
        <v>1</v>
      </c>
      <c r="EJ85" s="2">
        <v>0</v>
      </c>
      <c r="EK85" s="2">
        <v>1</v>
      </c>
      <c r="EL85" s="2">
        <v>0</v>
      </c>
      <c r="EM85" s="2">
        <v>1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1</v>
      </c>
      <c r="EV85" s="2">
        <v>0</v>
      </c>
      <c r="EW85" s="2">
        <v>0</v>
      </c>
      <c r="EX85" s="2">
        <v>0</v>
      </c>
      <c r="EY85" s="2">
        <v>1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1</v>
      </c>
      <c r="FJ85" s="2">
        <v>0</v>
      </c>
      <c r="FK85" s="2">
        <v>0</v>
      </c>
      <c r="FL85" s="2">
        <v>0</v>
      </c>
      <c r="FM85" s="2">
        <v>1</v>
      </c>
      <c r="FN85" s="2">
        <v>0</v>
      </c>
      <c r="FO85" s="2">
        <v>0</v>
      </c>
      <c r="FP85" s="2">
        <v>0</v>
      </c>
      <c r="FQ85" s="2">
        <v>1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/>
      <c r="GA85" s="2">
        <v>3</v>
      </c>
      <c r="GB85" s="2">
        <v>3</v>
      </c>
      <c r="GC85" s="2">
        <v>3</v>
      </c>
      <c r="GD85" s="2">
        <v>3</v>
      </c>
      <c r="GE85" s="2">
        <v>3</v>
      </c>
      <c r="GG85" s="2">
        <v>1</v>
      </c>
      <c r="GH85" s="2">
        <v>1</v>
      </c>
      <c r="GI85" s="2">
        <v>1</v>
      </c>
      <c r="GJ85" s="2">
        <v>1</v>
      </c>
      <c r="GK85" s="2">
        <v>1</v>
      </c>
      <c r="GM85" s="2">
        <f t="shared" si="0"/>
        <v>15</v>
      </c>
      <c r="GN85" s="2">
        <f t="shared" si="1"/>
        <v>5</v>
      </c>
      <c r="GO85" s="2"/>
      <c r="GP85" s="2">
        <v>2</v>
      </c>
      <c r="GQ85" s="2">
        <v>1</v>
      </c>
      <c r="GR85" s="2">
        <v>0</v>
      </c>
      <c r="GS85" s="2">
        <v>3</v>
      </c>
      <c r="GU85" s="2">
        <v>2</v>
      </c>
      <c r="GV85" s="2">
        <v>2</v>
      </c>
      <c r="GW85" s="2">
        <v>1</v>
      </c>
      <c r="GY85" s="2">
        <v>2</v>
      </c>
      <c r="GZ85" s="2">
        <v>2</v>
      </c>
      <c r="HA85" s="2">
        <v>1</v>
      </c>
      <c r="HB85" s="2">
        <v>3</v>
      </c>
      <c r="HD85" s="2">
        <v>4</v>
      </c>
      <c r="HE85" s="2">
        <v>2</v>
      </c>
      <c r="HF85" s="2">
        <v>0</v>
      </c>
      <c r="HH85" s="2">
        <f t="shared" si="2"/>
        <v>11</v>
      </c>
      <c r="HI85" s="2">
        <f t="shared" si="3"/>
        <v>14</v>
      </c>
      <c r="HJ85" s="2"/>
      <c r="HK85" s="2">
        <v>7</v>
      </c>
      <c r="HL85" s="2">
        <v>7</v>
      </c>
      <c r="HM85" s="2"/>
      <c r="HN85" s="2"/>
    </row>
    <row r="86" spans="1:222" ht="15.75" customHeight="1" x14ac:dyDescent="0.2">
      <c r="A86" s="3" t="e">
        <f>VLOOKUP(B86,#REF!,1,FALSE)</f>
        <v>#REF!</v>
      </c>
      <c r="B86" s="3">
        <v>44642.91136568287</v>
      </c>
      <c r="C86" s="2">
        <v>93</v>
      </c>
      <c r="D86" s="2" t="s">
        <v>185</v>
      </c>
      <c r="E86" s="2">
        <v>0</v>
      </c>
      <c r="F86" s="2" t="s">
        <v>186</v>
      </c>
      <c r="G86" s="2">
        <v>2</v>
      </c>
      <c r="H86" s="2">
        <v>2</v>
      </c>
      <c r="I86" s="2">
        <v>1</v>
      </c>
      <c r="J86" s="2">
        <v>5</v>
      </c>
      <c r="K86" s="2">
        <v>0</v>
      </c>
      <c r="L86" s="2">
        <v>2</v>
      </c>
      <c r="M86" s="2" t="s">
        <v>213</v>
      </c>
      <c r="N86" s="2">
        <v>2</v>
      </c>
      <c r="O86" s="2">
        <v>3</v>
      </c>
      <c r="P86" s="2">
        <v>0</v>
      </c>
      <c r="Q86" s="2">
        <v>0</v>
      </c>
      <c r="R86" s="2">
        <v>3</v>
      </c>
      <c r="S86" s="2">
        <v>1</v>
      </c>
      <c r="T86" s="2">
        <v>-1</v>
      </c>
      <c r="U86" s="2">
        <v>-1</v>
      </c>
      <c r="V86" s="2">
        <v>0</v>
      </c>
      <c r="W86" s="2">
        <v>1</v>
      </c>
      <c r="X86" s="2"/>
      <c r="Y86" s="2">
        <v>0</v>
      </c>
      <c r="Z86" s="2">
        <v>1</v>
      </c>
      <c r="AA86" s="2">
        <v>1</v>
      </c>
      <c r="AB86" s="2">
        <v>2</v>
      </c>
      <c r="AC86" s="2">
        <v>-99</v>
      </c>
      <c r="AD86" s="2">
        <v>-99</v>
      </c>
      <c r="AE86" s="2">
        <v>1</v>
      </c>
      <c r="AF86" s="2">
        <v>0</v>
      </c>
      <c r="AG86" s="2">
        <v>2</v>
      </c>
      <c r="AH86" s="2">
        <v>3</v>
      </c>
      <c r="AI86" s="2">
        <v>1</v>
      </c>
      <c r="AJ86" s="2">
        <v>1</v>
      </c>
      <c r="AK86" s="2">
        <v>-1</v>
      </c>
      <c r="AL86" s="2">
        <v>2</v>
      </c>
      <c r="AM86" s="2">
        <v>5</v>
      </c>
      <c r="AN86" s="2">
        <v>5</v>
      </c>
      <c r="AO86" s="2">
        <v>5</v>
      </c>
      <c r="AP86" s="2">
        <v>5</v>
      </c>
      <c r="AQ86" s="2">
        <v>5</v>
      </c>
      <c r="AR86" s="2">
        <v>2</v>
      </c>
      <c r="AS86" s="2">
        <v>2</v>
      </c>
      <c r="AT86" s="2">
        <v>1</v>
      </c>
      <c r="AU86" s="2">
        <v>1</v>
      </c>
      <c r="AV86" s="2"/>
      <c r="AW86" s="2">
        <v>2</v>
      </c>
      <c r="AX86" s="2">
        <v>2</v>
      </c>
      <c r="AY86" s="2">
        <v>1</v>
      </c>
      <c r="AZ86" s="2">
        <v>4</v>
      </c>
      <c r="BA86" s="2">
        <v>4</v>
      </c>
      <c r="BB86" s="2">
        <v>3</v>
      </c>
      <c r="BC86" s="2">
        <v>5</v>
      </c>
      <c r="BD86" s="2">
        <v>4</v>
      </c>
      <c r="BE86" s="2">
        <v>3</v>
      </c>
      <c r="BF86" s="2">
        <v>2</v>
      </c>
      <c r="BG86" s="2">
        <v>3</v>
      </c>
      <c r="BH86" s="2">
        <v>2</v>
      </c>
      <c r="BI86" s="2"/>
      <c r="BJ86" s="2">
        <v>2</v>
      </c>
      <c r="BK86" s="2">
        <v>2</v>
      </c>
      <c r="BL86" s="2">
        <v>1</v>
      </c>
      <c r="BM86" s="2">
        <v>8</v>
      </c>
      <c r="BN86" s="2">
        <v>7</v>
      </c>
      <c r="BO86" s="2">
        <v>8</v>
      </c>
      <c r="BP86" s="2"/>
      <c r="BQ86" s="2"/>
      <c r="BR86" s="2"/>
      <c r="BS86" s="2"/>
      <c r="BT86" s="2"/>
      <c r="BU86" s="2"/>
      <c r="BV86" s="2"/>
      <c r="BW86" s="2"/>
      <c r="BX86" s="2" t="s">
        <v>190</v>
      </c>
      <c r="BY86" s="2" t="s">
        <v>190</v>
      </c>
      <c r="BZ86" s="2" t="s">
        <v>190</v>
      </c>
      <c r="CA86" s="2" t="s">
        <v>190</v>
      </c>
      <c r="CB86" s="2" t="s">
        <v>191</v>
      </c>
      <c r="CC86" s="2" t="s">
        <v>191</v>
      </c>
      <c r="CD86" s="2" t="s">
        <v>189</v>
      </c>
      <c r="CE86" s="2" t="s">
        <v>190</v>
      </c>
      <c r="CF86" s="2" t="s">
        <v>188</v>
      </c>
      <c r="CG86" s="2" t="s">
        <v>189</v>
      </c>
      <c r="CH86" s="2" t="s">
        <v>188</v>
      </c>
      <c r="CI86" s="2" t="s">
        <v>189</v>
      </c>
      <c r="CJ86" s="2" t="s">
        <v>188</v>
      </c>
      <c r="CK86" s="2" t="s">
        <v>189</v>
      </c>
      <c r="CL86" s="2" t="s">
        <v>189</v>
      </c>
      <c r="CM86" s="2" t="s">
        <v>193</v>
      </c>
      <c r="CN86" s="2" t="s">
        <v>193</v>
      </c>
      <c r="CO86" s="2" t="s">
        <v>193</v>
      </c>
      <c r="CP86" s="2" t="s">
        <v>193</v>
      </c>
      <c r="CQ86" s="2" t="s">
        <v>193</v>
      </c>
      <c r="CR86" s="2" t="s">
        <v>193</v>
      </c>
      <c r="CS86" s="2" t="s">
        <v>192</v>
      </c>
      <c r="CT86" s="2" t="s">
        <v>193</v>
      </c>
      <c r="CU86" s="2" t="s">
        <v>200</v>
      </c>
      <c r="CV86" s="2" t="s">
        <v>193</v>
      </c>
      <c r="CW86" s="2" t="s">
        <v>192</v>
      </c>
      <c r="CX86" s="2" t="s">
        <v>193</v>
      </c>
      <c r="CY86" s="2" t="s">
        <v>192</v>
      </c>
      <c r="CZ86" s="2" t="s">
        <v>193</v>
      </c>
      <c r="DA86" s="2" t="s">
        <v>193</v>
      </c>
      <c r="DB86" s="2" t="s">
        <v>193</v>
      </c>
      <c r="DC86" s="2" t="s">
        <v>193</v>
      </c>
      <c r="DD86" s="2" t="s">
        <v>193</v>
      </c>
      <c r="DE86" s="2" t="s">
        <v>193</v>
      </c>
      <c r="DF86" s="2" t="s">
        <v>193</v>
      </c>
      <c r="DG86" s="2" t="s">
        <v>194</v>
      </c>
      <c r="DH86" s="2" t="s">
        <v>195</v>
      </c>
      <c r="DI86" s="2" t="s">
        <v>194</v>
      </c>
      <c r="DJ86" s="2" t="s">
        <v>196</v>
      </c>
      <c r="DK86" s="2" t="s">
        <v>194</v>
      </c>
      <c r="DL86" s="2" t="s">
        <v>194</v>
      </c>
      <c r="DM86" s="2" t="s">
        <v>196</v>
      </c>
      <c r="DN86" s="2" t="s">
        <v>194</v>
      </c>
      <c r="DO86" s="2" t="s">
        <v>195</v>
      </c>
      <c r="DP86" s="2" t="s">
        <v>194</v>
      </c>
      <c r="DQ86" s="2" t="s">
        <v>194</v>
      </c>
      <c r="DR86" s="2" t="s">
        <v>194</v>
      </c>
      <c r="DS86" s="2" t="s">
        <v>197</v>
      </c>
      <c r="DT86" s="2" t="s">
        <v>197</v>
      </c>
      <c r="DU86" s="2" t="s">
        <v>197</v>
      </c>
      <c r="DV86" s="2" t="s">
        <v>197</v>
      </c>
      <c r="DW86" s="2" t="s">
        <v>197</v>
      </c>
      <c r="DX86" s="2" t="s">
        <v>197</v>
      </c>
      <c r="DY86" s="2" t="s">
        <v>198</v>
      </c>
      <c r="DZ86" s="2"/>
      <c r="EA86" s="2">
        <v>1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1</v>
      </c>
      <c r="EJ86" s="2">
        <v>1</v>
      </c>
      <c r="EK86" s="2">
        <v>0</v>
      </c>
      <c r="EL86" s="2">
        <v>0</v>
      </c>
      <c r="EM86" s="2">
        <v>1</v>
      </c>
      <c r="EN86" s="2">
        <v>1</v>
      </c>
      <c r="EO86" s="2">
        <v>0</v>
      </c>
      <c r="EP86" s="2">
        <v>0</v>
      </c>
      <c r="EQ86" s="2">
        <v>1</v>
      </c>
      <c r="ER86" s="2">
        <v>0</v>
      </c>
      <c r="ES86" s="2">
        <v>1</v>
      </c>
      <c r="ET86" s="2">
        <v>0</v>
      </c>
      <c r="EU86" s="2">
        <v>1</v>
      </c>
      <c r="EV86" s="2">
        <v>1</v>
      </c>
      <c r="EW86" s="2">
        <v>0</v>
      </c>
      <c r="EX86" s="2">
        <v>0</v>
      </c>
      <c r="EY86" s="2">
        <v>1</v>
      </c>
      <c r="EZ86" s="2">
        <v>1</v>
      </c>
      <c r="FA86" s="2">
        <v>0</v>
      </c>
      <c r="FB86" s="2">
        <v>1</v>
      </c>
      <c r="FC86" s="2">
        <v>0</v>
      </c>
      <c r="FD86" s="2">
        <v>0</v>
      </c>
      <c r="FE86" s="2">
        <v>0</v>
      </c>
      <c r="FF86" s="2">
        <v>1</v>
      </c>
      <c r="FG86" s="2">
        <v>0</v>
      </c>
      <c r="FH86" s="2">
        <v>1</v>
      </c>
      <c r="FI86" s="2">
        <v>0</v>
      </c>
      <c r="FJ86" s="2">
        <v>1</v>
      </c>
      <c r="FK86" s="2">
        <v>0</v>
      </c>
      <c r="FL86" s="2">
        <v>0</v>
      </c>
      <c r="FM86" s="2">
        <v>1</v>
      </c>
      <c r="FN86" s="2">
        <v>0</v>
      </c>
      <c r="FO86" s="2">
        <v>1</v>
      </c>
      <c r="FP86" s="2">
        <v>0</v>
      </c>
      <c r="FQ86" s="2">
        <v>1</v>
      </c>
      <c r="FR86" s="2">
        <v>0</v>
      </c>
      <c r="FS86" s="2">
        <v>1</v>
      </c>
      <c r="FT86" s="2">
        <v>0</v>
      </c>
      <c r="FU86" s="2">
        <v>1</v>
      </c>
      <c r="FV86" s="2">
        <v>0</v>
      </c>
      <c r="FW86" s="2">
        <v>1</v>
      </c>
      <c r="FX86" s="2">
        <v>0</v>
      </c>
      <c r="FY86" s="2">
        <v>1</v>
      </c>
      <c r="FZ86" s="2"/>
      <c r="GA86" s="2">
        <v>5</v>
      </c>
      <c r="GB86" s="2">
        <v>5</v>
      </c>
      <c r="GC86" s="2">
        <v>5</v>
      </c>
      <c r="GD86" s="2">
        <v>5</v>
      </c>
      <c r="GE86" s="2">
        <v>5</v>
      </c>
      <c r="GG86" s="2">
        <v>4</v>
      </c>
      <c r="GH86" s="2">
        <v>4</v>
      </c>
      <c r="GI86" s="2">
        <v>3</v>
      </c>
      <c r="GJ86" s="2">
        <v>5</v>
      </c>
      <c r="GK86" s="2">
        <v>4</v>
      </c>
      <c r="GM86" s="2">
        <f t="shared" si="0"/>
        <v>25</v>
      </c>
      <c r="GN86" s="2">
        <f t="shared" si="1"/>
        <v>20</v>
      </c>
      <c r="GO86" s="2"/>
      <c r="GP86" s="2">
        <v>2</v>
      </c>
      <c r="GQ86" s="2">
        <v>2</v>
      </c>
      <c r="GR86" s="2">
        <v>1</v>
      </c>
      <c r="GS86" s="2">
        <v>1</v>
      </c>
      <c r="GU86" s="2">
        <v>2</v>
      </c>
      <c r="GV86" s="2">
        <v>2</v>
      </c>
      <c r="GW86" s="2">
        <v>1</v>
      </c>
      <c r="GY86" s="2">
        <v>3</v>
      </c>
      <c r="GZ86" s="2">
        <v>2</v>
      </c>
      <c r="HA86" s="2">
        <v>3</v>
      </c>
      <c r="HB86" s="2">
        <v>2</v>
      </c>
      <c r="HD86" s="2">
        <v>2</v>
      </c>
      <c r="HE86" s="2">
        <v>2</v>
      </c>
      <c r="HF86" s="2">
        <v>1</v>
      </c>
      <c r="HH86" s="2">
        <f t="shared" si="2"/>
        <v>11</v>
      </c>
      <c r="HI86" s="2">
        <f t="shared" si="3"/>
        <v>15</v>
      </c>
      <c r="HJ86" s="2"/>
      <c r="HK86" s="2">
        <v>7</v>
      </c>
      <c r="HL86" s="2">
        <v>8</v>
      </c>
      <c r="HM86" s="2"/>
      <c r="HN86" s="2"/>
    </row>
    <row r="87" spans="1:222" ht="15.75" customHeight="1" x14ac:dyDescent="0.2">
      <c r="A87" s="3" t="e">
        <f>VLOOKUP(B87,#REF!,1,FALSE)</f>
        <v>#REF!</v>
      </c>
      <c r="B87" s="3">
        <v>44642.913409826389</v>
      </c>
      <c r="C87" s="2">
        <v>94</v>
      </c>
      <c r="D87" s="2" t="s">
        <v>185</v>
      </c>
      <c r="E87" s="2">
        <v>0</v>
      </c>
      <c r="F87" s="2" t="s">
        <v>237</v>
      </c>
      <c r="G87" s="2">
        <v>8</v>
      </c>
      <c r="H87" s="2">
        <v>2</v>
      </c>
      <c r="I87" s="2">
        <v>1</v>
      </c>
      <c r="J87" s="2">
        <v>3</v>
      </c>
      <c r="K87" s="2">
        <v>0</v>
      </c>
      <c r="L87" s="2">
        <v>4</v>
      </c>
      <c r="M87" s="2" t="s">
        <v>213</v>
      </c>
      <c r="N87" s="2">
        <v>3</v>
      </c>
      <c r="O87" s="2">
        <v>3</v>
      </c>
      <c r="P87" s="2">
        <v>0</v>
      </c>
      <c r="Q87" s="2">
        <v>0</v>
      </c>
      <c r="R87" s="2">
        <v>3</v>
      </c>
      <c r="S87" s="2">
        <v>1</v>
      </c>
      <c r="T87" s="2">
        <v>0</v>
      </c>
      <c r="U87" s="2">
        <v>1</v>
      </c>
      <c r="V87" s="2">
        <v>-1</v>
      </c>
      <c r="W87" s="2">
        <v>1</v>
      </c>
      <c r="X87" s="2"/>
      <c r="Y87" s="2">
        <v>-1</v>
      </c>
      <c r="Z87" s="2">
        <v>1</v>
      </c>
      <c r="AA87" s="2">
        <v>-1</v>
      </c>
      <c r="AB87" s="2">
        <v>4</v>
      </c>
      <c r="AC87" s="2">
        <v>0</v>
      </c>
      <c r="AD87" s="2">
        <v>2</v>
      </c>
      <c r="AE87" s="2">
        <v>2</v>
      </c>
      <c r="AF87" s="2">
        <v>4</v>
      </c>
      <c r="AG87" s="2">
        <v>-3</v>
      </c>
      <c r="AH87" s="2">
        <v>-1</v>
      </c>
      <c r="AI87" s="2">
        <v>-1</v>
      </c>
      <c r="AJ87" s="2">
        <v>-1</v>
      </c>
      <c r="AK87" s="2">
        <v>3</v>
      </c>
      <c r="AL87" s="2">
        <v>-3</v>
      </c>
      <c r="AM87" s="2">
        <v>3</v>
      </c>
      <c r="AN87" s="2">
        <v>3</v>
      </c>
      <c r="AO87" s="2">
        <v>4</v>
      </c>
      <c r="AP87" s="2">
        <v>2</v>
      </c>
      <c r="AQ87" s="2">
        <v>3</v>
      </c>
      <c r="AR87" s="2">
        <v>2</v>
      </c>
      <c r="AS87" s="2">
        <v>2</v>
      </c>
      <c r="AT87" s="2">
        <v>1</v>
      </c>
      <c r="AU87" s="2">
        <v>2</v>
      </c>
      <c r="AV87" s="2"/>
      <c r="AW87" s="2">
        <v>2</v>
      </c>
      <c r="AX87" s="2">
        <v>1</v>
      </c>
      <c r="AY87" s="2">
        <v>0</v>
      </c>
      <c r="AZ87" s="2">
        <v>1</v>
      </c>
      <c r="BA87" s="2">
        <v>1</v>
      </c>
      <c r="BB87" s="2">
        <v>1</v>
      </c>
      <c r="BC87" s="2">
        <v>3</v>
      </c>
      <c r="BD87" s="2">
        <v>2</v>
      </c>
      <c r="BE87" s="2">
        <v>1</v>
      </c>
      <c r="BF87" s="2">
        <v>2</v>
      </c>
      <c r="BG87" s="2">
        <v>2</v>
      </c>
      <c r="BH87" s="2">
        <v>2</v>
      </c>
      <c r="BI87" s="2"/>
      <c r="BJ87" s="2">
        <v>3</v>
      </c>
      <c r="BK87" s="2">
        <v>1</v>
      </c>
      <c r="BL87" s="2">
        <v>-1</v>
      </c>
      <c r="BM87" s="2">
        <v>8</v>
      </c>
      <c r="BN87" s="2">
        <v>6</v>
      </c>
      <c r="BO87" s="2">
        <v>5</v>
      </c>
      <c r="BP87" s="2" t="s">
        <v>435</v>
      </c>
      <c r="BQ87" s="2" t="s">
        <v>436</v>
      </c>
      <c r="BR87" s="2" t="s">
        <v>437</v>
      </c>
      <c r="BS87" s="2" t="s">
        <v>224</v>
      </c>
      <c r="BT87" s="2" t="s">
        <v>438</v>
      </c>
      <c r="BU87" s="2" t="s">
        <v>439</v>
      </c>
      <c r="BV87" s="2" t="s">
        <v>440</v>
      </c>
      <c r="BW87" s="2" t="s">
        <v>441</v>
      </c>
      <c r="BX87" s="2" t="s">
        <v>188</v>
      </c>
      <c r="BY87" s="2" t="s">
        <v>188</v>
      </c>
      <c r="BZ87" s="2" t="s">
        <v>188</v>
      </c>
      <c r="CA87" s="2" t="s">
        <v>188</v>
      </c>
      <c r="CB87" s="2" t="s">
        <v>188</v>
      </c>
      <c r="CC87" s="2" t="s">
        <v>188</v>
      </c>
      <c r="CD87" s="2" t="s">
        <v>190</v>
      </c>
      <c r="CE87" s="2" t="s">
        <v>188</v>
      </c>
      <c r="CF87" s="2" t="s">
        <v>190</v>
      </c>
      <c r="CG87" s="2" t="s">
        <v>190</v>
      </c>
      <c r="CH87" s="2" t="s">
        <v>190</v>
      </c>
      <c r="CI87" s="2" t="s">
        <v>191</v>
      </c>
      <c r="CJ87" s="2" t="s">
        <v>190</v>
      </c>
      <c r="CK87" s="2" t="s">
        <v>191</v>
      </c>
      <c r="CL87" s="2" t="s">
        <v>188</v>
      </c>
      <c r="CM87" s="2" t="s">
        <v>200</v>
      </c>
      <c r="CN87" s="2" t="s">
        <v>192</v>
      </c>
      <c r="CO87" s="2" t="s">
        <v>200</v>
      </c>
      <c r="CP87" s="2" t="s">
        <v>200</v>
      </c>
      <c r="CQ87" s="2" t="s">
        <v>193</v>
      </c>
      <c r="CR87" s="2" t="s">
        <v>200</v>
      </c>
      <c r="CS87" s="2" t="s">
        <v>193</v>
      </c>
      <c r="CT87" s="2" t="s">
        <v>192</v>
      </c>
      <c r="CU87" s="2" t="s">
        <v>193</v>
      </c>
      <c r="CV87" s="2" t="s">
        <v>193</v>
      </c>
      <c r="CW87" s="2" t="s">
        <v>200</v>
      </c>
      <c r="CX87" s="2" t="s">
        <v>193</v>
      </c>
      <c r="CY87" s="2" t="s">
        <v>193</v>
      </c>
      <c r="CZ87" s="2" t="s">
        <v>192</v>
      </c>
      <c r="DA87" s="2" t="s">
        <v>193</v>
      </c>
      <c r="DB87" s="2" t="s">
        <v>193</v>
      </c>
      <c r="DC87" s="2" t="s">
        <v>192</v>
      </c>
      <c r="DD87" s="2" t="s">
        <v>200</v>
      </c>
      <c r="DE87" s="2" t="s">
        <v>192</v>
      </c>
      <c r="DF87" s="2" t="s">
        <v>193</v>
      </c>
      <c r="DG87" s="2" t="s">
        <v>195</v>
      </c>
      <c r="DH87" s="2" t="s">
        <v>201</v>
      </c>
      <c r="DI87" s="2" t="s">
        <v>195</v>
      </c>
      <c r="DJ87" s="2" t="s">
        <v>201</v>
      </c>
      <c r="DK87" s="2" t="s">
        <v>194</v>
      </c>
      <c r="DL87" s="2" t="s">
        <v>195</v>
      </c>
      <c r="DM87" s="2" t="s">
        <v>194</v>
      </c>
      <c r="DN87" s="2" t="s">
        <v>194</v>
      </c>
      <c r="DO87" s="2" t="s">
        <v>194</v>
      </c>
      <c r="DP87" s="2" t="s">
        <v>195</v>
      </c>
      <c r="DQ87" s="2" t="s">
        <v>201</v>
      </c>
      <c r="DR87" s="2" t="s">
        <v>194</v>
      </c>
      <c r="DS87" s="2" t="s">
        <v>197</v>
      </c>
      <c r="DT87" s="2" t="s">
        <v>221</v>
      </c>
      <c r="DU87" s="2" t="s">
        <v>221</v>
      </c>
      <c r="DV87" s="2" t="s">
        <v>197</v>
      </c>
      <c r="DW87" s="2" t="s">
        <v>197</v>
      </c>
      <c r="DX87" s="2" t="s">
        <v>197</v>
      </c>
      <c r="DY87" s="2" t="s">
        <v>197</v>
      </c>
      <c r="DZ87" s="2"/>
      <c r="EA87" s="2">
        <v>1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1</v>
      </c>
      <c r="EI87" s="2">
        <v>1</v>
      </c>
      <c r="EJ87" s="2">
        <v>1</v>
      </c>
      <c r="EK87" s="2">
        <v>0</v>
      </c>
      <c r="EL87" s="2">
        <v>1</v>
      </c>
      <c r="EM87" s="2">
        <v>0</v>
      </c>
      <c r="EN87" s="2">
        <v>1</v>
      </c>
      <c r="EO87" s="2">
        <v>0</v>
      </c>
      <c r="EP87" s="2">
        <v>1</v>
      </c>
      <c r="EQ87" s="2">
        <v>1</v>
      </c>
      <c r="ER87" s="2">
        <v>1</v>
      </c>
      <c r="ES87" s="2">
        <v>1</v>
      </c>
      <c r="ET87" s="2">
        <v>1</v>
      </c>
      <c r="EU87" s="2">
        <v>1</v>
      </c>
      <c r="EV87" s="2">
        <v>0</v>
      </c>
      <c r="EW87" s="2">
        <v>0</v>
      </c>
      <c r="EX87" s="2">
        <v>1</v>
      </c>
      <c r="EY87" s="2">
        <v>1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1</v>
      </c>
      <c r="FK87" s="2">
        <v>0</v>
      </c>
      <c r="FL87" s="2">
        <v>1</v>
      </c>
      <c r="FM87" s="2">
        <v>0</v>
      </c>
      <c r="FN87" s="2">
        <v>0</v>
      </c>
      <c r="FO87" s="2">
        <v>0</v>
      </c>
      <c r="FP87" s="2">
        <v>1</v>
      </c>
      <c r="FQ87" s="2">
        <v>1</v>
      </c>
      <c r="FR87" s="2">
        <v>1</v>
      </c>
      <c r="FS87" s="2">
        <v>1</v>
      </c>
      <c r="FT87" s="2">
        <v>1</v>
      </c>
      <c r="FU87" s="2">
        <v>1</v>
      </c>
      <c r="FV87" s="2">
        <v>0</v>
      </c>
      <c r="FW87" s="2">
        <v>0</v>
      </c>
      <c r="FX87" s="2">
        <v>1</v>
      </c>
      <c r="FY87" s="2">
        <v>1</v>
      </c>
      <c r="FZ87" s="2"/>
      <c r="GA87" s="2">
        <v>3</v>
      </c>
      <c r="GB87" s="2">
        <v>3</v>
      </c>
      <c r="GC87" s="2">
        <v>4</v>
      </c>
      <c r="GD87" s="2">
        <v>2</v>
      </c>
      <c r="GE87" s="2">
        <v>3</v>
      </c>
      <c r="GG87" s="2">
        <v>1</v>
      </c>
      <c r="GH87" s="2">
        <v>1</v>
      </c>
      <c r="GI87" s="2">
        <v>1</v>
      </c>
      <c r="GJ87" s="2">
        <v>3</v>
      </c>
      <c r="GK87" s="2">
        <v>2</v>
      </c>
      <c r="GM87" s="2">
        <f t="shared" si="0"/>
        <v>15</v>
      </c>
      <c r="GN87" s="2">
        <f t="shared" si="1"/>
        <v>8</v>
      </c>
      <c r="GO87" s="2"/>
      <c r="GP87" s="2">
        <v>2</v>
      </c>
      <c r="GQ87" s="2">
        <v>2</v>
      </c>
      <c r="GR87" s="2">
        <v>1</v>
      </c>
      <c r="GS87" s="2">
        <v>2</v>
      </c>
      <c r="GU87" s="2">
        <v>2</v>
      </c>
      <c r="GV87" s="2">
        <v>1</v>
      </c>
      <c r="GW87" s="2">
        <v>0</v>
      </c>
      <c r="GY87" s="2">
        <v>1</v>
      </c>
      <c r="GZ87" s="2">
        <v>2</v>
      </c>
      <c r="HA87" s="2">
        <v>2</v>
      </c>
      <c r="HB87" s="2">
        <v>2</v>
      </c>
      <c r="HD87" s="2">
        <v>3</v>
      </c>
      <c r="HE87" s="2">
        <v>1</v>
      </c>
      <c r="HF87" s="2">
        <v>-1</v>
      </c>
      <c r="HH87" s="2">
        <f t="shared" si="2"/>
        <v>10</v>
      </c>
      <c r="HI87" s="2">
        <f t="shared" si="3"/>
        <v>10</v>
      </c>
      <c r="HJ87" s="2"/>
      <c r="HK87" s="2">
        <v>6</v>
      </c>
      <c r="HL87" s="2">
        <v>5</v>
      </c>
      <c r="HM87" s="2"/>
      <c r="HN87" s="2"/>
    </row>
    <row r="88" spans="1:222" ht="15.75" customHeight="1" x14ac:dyDescent="0.2">
      <c r="A88" s="3" t="e">
        <f>VLOOKUP(B88,#REF!,1,FALSE)</f>
        <v>#REF!</v>
      </c>
      <c r="B88" s="3">
        <v>44642.920452789353</v>
      </c>
      <c r="C88" s="2">
        <v>95</v>
      </c>
      <c r="D88" s="2" t="s">
        <v>185</v>
      </c>
      <c r="E88" s="2">
        <v>0</v>
      </c>
      <c r="F88" s="2" t="s">
        <v>186</v>
      </c>
      <c r="G88" s="2">
        <v>8</v>
      </c>
      <c r="H88" s="2">
        <v>2</v>
      </c>
      <c r="I88" s="2">
        <v>1</v>
      </c>
      <c r="J88" s="2">
        <v>4</v>
      </c>
      <c r="K88" s="2">
        <v>0</v>
      </c>
      <c r="L88" s="2">
        <v>3</v>
      </c>
      <c r="M88" s="2" t="s">
        <v>187</v>
      </c>
      <c r="N88" s="2">
        <v>2</v>
      </c>
      <c r="O88" s="2">
        <v>3</v>
      </c>
      <c r="P88" s="2">
        <v>0</v>
      </c>
      <c r="Q88" s="2">
        <v>2</v>
      </c>
      <c r="R88" s="2">
        <v>3</v>
      </c>
      <c r="S88" s="2">
        <v>0</v>
      </c>
      <c r="T88" s="2">
        <v>0</v>
      </c>
      <c r="U88" s="2">
        <v>0</v>
      </c>
      <c r="V88" s="2">
        <v>-1</v>
      </c>
      <c r="W88" s="2">
        <v>0</v>
      </c>
      <c r="X88" s="2"/>
      <c r="Y88" s="2">
        <v>1</v>
      </c>
      <c r="Z88" s="2">
        <v>0</v>
      </c>
      <c r="AA88" s="2">
        <v>1</v>
      </c>
      <c r="AB88" s="2">
        <v>2</v>
      </c>
      <c r="AC88" s="2">
        <v>2</v>
      </c>
      <c r="AD88" s="2">
        <v>4</v>
      </c>
      <c r="AE88" s="2">
        <v>2</v>
      </c>
      <c r="AF88" s="2">
        <v>4</v>
      </c>
      <c r="AG88" s="2">
        <v>2</v>
      </c>
      <c r="AH88" s="2">
        <v>2</v>
      </c>
      <c r="AI88" s="2">
        <v>2</v>
      </c>
      <c r="AJ88" s="2">
        <v>2</v>
      </c>
      <c r="AK88" s="2">
        <v>-1</v>
      </c>
      <c r="AL88" s="2">
        <v>1</v>
      </c>
      <c r="AM88" s="2">
        <v>4</v>
      </c>
      <c r="AN88" s="2">
        <v>4</v>
      </c>
      <c r="AO88" s="2">
        <v>4</v>
      </c>
      <c r="AP88" s="2">
        <v>4</v>
      </c>
      <c r="AQ88" s="2">
        <v>4</v>
      </c>
      <c r="AR88" s="2">
        <v>3</v>
      </c>
      <c r="AS88" s="2">
        <v>3</v>
      </c>
      <c r="AT88" s="2">
        <v>3</v>
      </c>
      <c r="AU88" s="2">
        <v>3</v>
      </c>
      <c r="AV88" s="2"/>
      <c r="AW88" s="2">
        <v>3</v>
      </c>
      <c r="AX88" s="2">
        <v>3</v>
      </c>
      <c r="AY88" s="2">
        <v>3</v>
      </c>
      <c r="AZ88" s="2">
        <v>4</v>
      </c>
      <c r="BA88" s="2">
        <v>4</v>
      </c>
      <c r="BB88" s="2">
        <v>4</v>
      </c>
      <c r="BC88" s="2">
        <v>4</v>
      </c>
      <c r="BD88" s="2">
        <v>4</v>
      </c>
      <c r="BE88" s="2">
        <v>3</v>
      </c>
      <c r="BF88" s="2">
        <v>3</v>
      </c>
      <c r="BG88" s="2">
        <v>3</v>
      </c>
      <c r="BH88" s="2">
        <v>3</v>
      </c>
      <c r="BI88" s="2"/>
      <c r="BJ88" s="2">
        <v>3</v>
      </c>
      <c r="BK88" s="2">
        <v>3</v>
      </c>
      <c r="BL88" s="2">
        <v>2</v>
      </c>
      <c r="BM88" s="2">
        <v>9</v>
      </c>
      <c r="BN88" s="2">
        <v>8</v>
      </c>
      <c r="BO88" s="2">
        <v>8</v>
      </c>
      <c r="BP88" s="2"/>
      <c r="BQ88" s="2"/>
      <c r="BR88" s="2" t="s">
        <v>442</v>
      </c>
      <c r="BS88" s="2" t="s">
        <v>443</v>
      </c>
      <c r="BT88" s="2"/>
      <c r="BU88" s="2"/>
      <c r="BV88" s="2" t="s">
        <v>444</v>
      </c>
      <c r="BW88" s="2" t="s">
        <v>445</v>
      </c>
      <c r="BX88" s="2" t="s">
        <v>191</v>
      </c>
      <c r="BY88" s="2" t="s">
        <v>191</v>
      </c>
      <c r="BZ88" s="2" t="s">
        <v>191</v>
      </c>
      <c r="CA88" s="2" t="s">
        <v>191</v>
      </c>
      <c r="CB88" s="2" t="s">
        <v>191</v>
      </c>
      <c r="CC88" s="2" t="s">
        <v>191</v>
      </c>
      <c r="CD88" s="2" t="s">
        <v>191</v>
      </c>
      <c r="CE88" s="2" t="s">
        <v>191</v>
      </c>
      <c r="CF88" s="2" t="s">
        <v>191</v>
      </c>
      <c r="CG88" s="2" t="s">
        <v>191</v>
      </c>
      <c r="CH88" s="2" t="s">
        <v>191</v>
      </c>
      <c r="CI88" s="2" t="s">
        <v>191</v>
      </c>
      <c r="CJ88" s="2" t="s">
        <v>191</v>
      </c>
      <c r="CK88" s="2" t="s">
        <v>191</v>
      </c>
      <c r="CL88" s="2" t="s">
        <v>191</v>
      </c>
      <c r="CM88" s="2" t="s">
        <v>193</v>
      </c>
      <c r="CN88" s="2" t="s">
        <v>193</v>
      </c>
      <c r="CO88" s="2" t="s">
        <v>193</v>
      </c>
      <c r="CP88" s="2" t="s">
        <v>193</v>
      </c>
      <c r="CQ88" s="2" t="s">
        <v>193</v>
      </c>
      <c r="CR88" s="2" t="s">
        <v>192</v>
      </c>
      <c r="CS88" s="2" t="s">
        <v>193</v>
      </c>
      <c r="CT88" s="2" t="s">
        <v>193</v>
      </c>
      <c r="CU88" s="2" t="s">
        <v>192</v>
      </c>
      <c r="CV88" s="2" t="s">
        <v>193</v>
      </c>
      <c r="CW88" s="2" t="s">
        <v>193</v>
      </c>
      <c r="CX88" s="2" t="s">
        <v>193</v>
      </c>
      <c r="CY88" s="2" t="s">
        <v>192</v>
      </c>
      <c r="CZ88" s="2" t="s">
        <v>193</v>
      </c>
      <c r="DA88" s="2" t="s">
        <v>193</v>
      </c>
      <c r="DB88" s="2" t="s">
        <v>192</v>
      </c>
      <c r="DC88" s="2" t="s">
        <v>192</v>
      </c>
      <c r="DD88" s="2" t="s">
        <v>193</v>
      </c>
      <c r="DE88" s="2" t="s">
        <v>192</v>
      </c>
      <c r="DF88" s="2" t="s">
        <v>193</v>
      </c>
      <c r="DG88" s="2" t="s">
        <v>196</v>
      </c>
      <c r="DH88" s="2" t="s">
        <v>196</v>
      </c>
      <c r="DI88" s="2" t="s">
        <v>220</v>
      </c>
      <c r="DJ88" s="2" t="s">
        <v>194</v>
      </c>
      <c r="DK88" s="2" t="s">
        <v>196</v>
      </c>
      <c r="DL88" s="2" t="s">
        <v>196</v>
      </c>
      <c r="DM88" s="2" t="s">
        <v>196</v>
      </c>
      <c r="DN88" s="2" t="s">
        <v>196</v>
      </c>
      <c r="DO88" s="2" t="s">
        <v>196</v>
      </c>
      <c r="DP88" s="2" t="s">
        <v>196</v>
      </c>
      <c r="DQ88" s="2" t="s">
        <v>196</v>
      </c>
      <c r="DR88" s="2" t="s">
        <v>196</v>
      </c>
      <c r="DS88" s="2" t="s">
        <v>198</v>
      </c>
      <c r="DT88" s="2" t="s">
        <v>221</v>
      </c>
      <c r="DU88" s="2" t="s">
        <v>222</v>
      </c>
      <c r="DV88" s="2" t="s">
        <v>222</v>
      </c>
      <c r="DW88" s="2" t="s">
        <v>222</v>
      </c>
      <c r="DX88" s="2" t="s">
        <v>222</v>
      </c>
      <c r="DY88" s="2" t="s">
        <v>222</v>
      </c>
      <c r="DZ88" s="2"/>
      <c r="EA88" s="2">
        <v>0</v>
      </c>
      <c r="EB88" s="2">
        <v>1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1</v>
      </c>
      <c r="EJ88" s="2">
        <v>0</v>
      </c>
      <c r="EK88" s="2">
        <v>1</v>
      </c>
      <c r="EL88" s="2">
        <v>0</v>
      </c>
      <c r="EM88" s="2">
        <v>1</v>
      </c>
      <c r="EN88" s="2">
        <v>1</v>
      </c>
      <c r="EO88" s="2">
        <v>0</v>
      </c>
      <c r="EP88" s="2">
        <v>0</v>
      </c>
      <c r="EQ88" s="2">
        <v>1</v>
      </c>
      <c r="ER88" s="2">
        <v>0</v>
      </c>
      <c r="ES88" s="2">
        <v>1</v>
      </c>
      <c r="ET88" s="2">
        <v>0</v>
      </c>
      <c r="EU88" s="2">
        <v>1</v>
      </c>
      <c r="EV88" s="2">
        <v>0</v>
      </c>
      <c r="EW88" s="2">
        <v>1</v>
      </c>
      <c r="EX88" s="2">
        <v>0</v>
      </c>
      <c r="EY88" s="2">
        <v>1</v>
      </c>
      <c r="EZ88" s="2">
        <v>0</v>
      </c>
      <c r="FA88" s="2">
        <v>1</v>
      </c>
      <c r="FB88" s="2">
        <v>0</v>
      </c>
      <c r="FC88" s="2">
        <v>1</v>
      </c>
      <c r="FD88" s="2">
        <v>0</v>
      </c>
      <c r="FE88" s="2">
        <v>0</v>
      </c>
      <c r="FF88" s="2">
        <v>0</v>
      </c>
      <c r="FG88" s="2">
        <v>1</v>
      </c>
      <c r="FH88" s="2">
        <v>0</v>
      </c>
      <c r="FI88" s="2">
        <v>1</v>
      </c>
      <c r="FJ88" s="2">
        <v>0</v>
      </c>
      <c r="FK88" s="2">
        <v>1</v>
      </c>
      <c r="FL88" s="2">
        <v>0</v>
      </c>
      <c r="FM88" s="2">
        <v>1</v>
      </c>
      <c r="FN88" s="2">
        <v>0</v>
      </c>
      <c r="FO88" s="2">
        <v>1</v>
      </c>
      <c r="FP88" s="2">
        <v>0</v>
      </c>
      <c r="FQ88" s="2">
        <v>1</v>
      </c>
      <c r="FR88" s="2">
        <v>0</v>
      </c>
      <c r="FS88" s="2">
        <v>1</v>
      </c>
      <c r="FT88" s="2">
        <v>0</v>
      </c>
      <c r="FU88" s="2">
        <v>1</v>
      </c>
      <c r="FV88" s="2">
        <v>0</v>
      </c>
      <c r="FW88" s="2">
        <v>1</v>
      </c>
      <c r="FX88" s="2">
        <v>0</v>
      </c>
      <c r="FY88" s="2">
        <v>1</v>
      </c>
      <c r="FZ88" s="2"/>
      <c r="GA88" s="2">
        <v>4</v>
      </c>
      <c r="GB88" s="2">
        <v>4</v>
      </c>
      <c r="GC88" s="2">
        <v>4</v>
      </c>
      <c r="GD88" s="2">
        <v>4</v>
      </c>
      <c r="GE88" s="2">
        <v>4</v>
      </c>
      <c r="GG88" s="2">
        <v>4</v>
      </c>
      <c r="GH88" s="2">
        <v>4</v>
      </c>
      <c r="GI88" s="2">
        <v>4</v>
      </c>
      <c r="GJ88" s="2">
        <v>4</v>
      </c>
      <c r="GK88" s="2">
        <v>4</v>
      </c>
      <c r="GM88" s="2">
        <f t="shared" si="0"/>
        <v>20</v>
      </c>
      <c r="GN88" s="2">
        <f t="shared" si="1"/>
        <v>20</v>
      </c>
      <c r="GO88" s="2"/>
      <c r="GP88" s="2">
        <v>3</v>
      </c>
      <c r="GQ88" s="2">
        <v>3</v>
      </c>
      <c r="GR88" s="2">
        <v>3</v>
      </c>
      <c r="GS88" s="2">
        <v>3</v>
      </c>
      <c r="GU88" s="2">
        <v>3</v>
      </c>
      <c r="GV88" s="2">
        <v>3</v>
      </c>
      <c r="GW88" s="2">
        <v>3</v>
      </c>
      <c r="GY88" s="2">
        <v>3</v>
      </c>
      <c r="GZ88" s="2">
        <v>3</v>
      </c>
      <c r="HA88" s="2">
        <v>3</v>
      </c>
      <c r="HB88" s="2">
        <v>3</v>
      </c>
      <c r="HD88" s="2">
        <v>3</v>
      </c>
      <c r="HE88" s="2">
        <v>3</v>
      </c>
      <c r="HF88" s="2">
        <v>2</v>
      </c>
      <c r="HH88" s="2">
        <f t="shared" si="2"/>
        <v>21</v>
      </c>
      <c r="HI88" s="2">
        <f t="shared" si="3"/>
        <v>20</v>
      </c>
      <c r="HJ88" s="2"/>
      <c r="HK88" s="2">
        <v>8</v>
      </c>
      <c r="HL88" s="2">
        <v>8</v>
      </c>
      <c r="HM88" s="2"/>
      <c r="HN88" s="2"/>
    </row>
    <row r="89" spans="1:222" ht="15.75" customHeight="1" x14ac:dyDescent="0.2">
      <c r="A89" s="3" t="e">
        <f>VLOOKUP(B89,#REF!,1,FALSE)</f>
        <v>#REF!</v>
      </c>
      <c r="B89" s="3">
        <v>44642.922452881947</v>
      </c>
      <c r="C89" s="2">
        <v>96</v>
      </c>
      <c r="D89" s="2" t="s">
        <v>185</v>
      </c>
      <c r="E89" s="2">
        <v>0</v>
      </c>
      <c r="F89" s="2" t="s">
        <v>232</v>
      </c>
      <c r="G89" s="2">
        <v>15</v>
      </c>
      <c r="H89" s="2">
        <v>2</v>
      </c>
      <c r="I89" s="2">
        <v>1</v>
      </c>
      <c r="J89" s="2">
        <v>4</v>
      </c>
      <c r="K89" s="2">
        <v>2</v>
      </c>
      <c r="L89" s="2">
        <v>5</v>
      </c>
      <c r="M89" s="2" t="s">
        <v>187</v>
      </c>
      <c r="N89" s="2">
        <v>3</v>
      </c>
      <c r="O89" s="2">
        <v>3</v>
      </c>
      <c r="P89" s="2">
        <v>0</v>
      </c>
      <c r="Q89" s="2">
        <v>0</v>
      </c>
      <c r="R89" s="2">
        <v>2</v>
      </c>
      <c r="S89" s="2">
        <v>-1</v>
      </c>
      <c r="T89" s="2">
        <v>-1</v>
      </c>
      <c r="U89" s="2">
        <v>-1</v>
      </c>
      <c r="V89" s="2">
        <v>-1</v>
      </c>
      <c r="W89" s="2">
        <v>-1</v>
      </c>
      <c r="X89" s="2"/>
      <c r="Y89" s="2">
        <v>-1</v>
      </c>
      <c r="Z89" s="2">
        <v>0</v>
      </c>
      <c r="AA89" s="2">
        <v>1</v>
      </c>
      <c r="AB89" s="2">
        <v>0</v>
      </c>
      <c r="AC89" s="2">
        <v>0</v>
      </c>
      <c r="AD89" s="2">
        <v>0</v>
      </c>
      <c r="AE89" s="2">
        <v>2</v>
      </c>
      <c r="AF89" s="2">
        <v>2</v>
      </c>
      <c r="AG89" s="2">
        <v>3</v>
      </c>
      <c r="AH89" s="2">
        <v>3</v>
      </c>
      <c r="AI89" s="2">
        <v>3</v>
      </c>
      <c r="AJ89" s="2">
        <v>3</v>
      </c>
      <c r="AK89" s="2">
        <v>3</v>
      </c>
      <c r="AL89" s="2">
        <v>3</v>
      </c>
      <c r="AM89" s="2">
        <v>5</v>
      </c>
      <c r="AN89" s="2">
        <v>5</v>
      </c>
      <c r="AO89" s="2">
        <v>5</v>
      </c>
      <c r="AP89" s="2">
        <v>4</v>
      </c>
      <c r="AQ89" s="2">
        <v>4</v>
      </c>
      <c r="AR89" s="2">
        <v>2</v>
      </c>
      <c r="AS89" s="2">
        <v>2</v>
      </c>
      <c r="AT89" s="2">
        <v>1</v>
      </c>
      <c r="AU89" s="2">
        <v>1</v>
      </c>
      <c r="AV89" s="2"/>
      <c r="AW89" s="2">
        <v>1</v>
      </c>
      <c r="AX89" s="2">
        <v>1</v>
      </c>
      <c r="AY89" s="2">
        <v>0</v>
      </c>
      <c r="AZ89" s="2">
        <v>5</v>
      </c>
      <c r="BA89" s="2">
        <v>5</v>
      </c>
      <c r="BB89" s="2">
        <v>5</v>
      </c>
      <c r="BC89" s="2">
        <v>4</v>
      </c>
      <c r="BD89" s="2">
        <v>4</v>
      </c>
      <c r="BE89" s="2">
        <v>2</v>
      </c>
      <c r="BF89" s="2">
        <v>2</v>
      </c>
      <c r="BG89" s="2">
        <v>1</v>
      </c>
      <c r="BH89" s="2">
        <v>1</v>
      </c>
      <c r="BI89" s="2"/>
      <c r="BJ89" s="2">
        <v>1</v>
      </c>
      <c r="BK89" s="2">
        <v>1</v>
      </c>
      <c r="BL89" s="2">
        <v>0</v>
      </c>
      <c r="BM89" s="2">
        <v>8</v>
      </c>
      <c r="BN89" s="2">
        <v>8</v>
      </c>
      <c r="BO89" s="2">
        <v>8</v>
      </c>
      <c r="BP89" s="2"/>
      <c r="BQ89" s="2"/>
      <c r="BR89" s="2"/>
      <c r="BS89" s="2"/>
      <c r="BT89" s="2"/>
      <c r="BU89" s="2"/>
      <c r="BV89" s="2"/>
      <c r="BW89" s="2"/>
      <c r="BX89" s="2" t="s">
        <v>189</v>
      </c>
      <c r="BY89" s="2" t="s">
        <v>189</v>
      </c>
      <c r="BZ89" s="2" t="s">
        <v>189</v>
      </c>
      <c r="CA89" s="2" t="s">
        <v>190</v>
      </c>
      <c r="CB89" s="2" t="s">
        <v>190</v>
      </c>
      <c r="CC89" s="2" t="s">
        <v>190</v>
      </c>
      <c r="CD89" s="2" t="s">
        <v>189</v>
      </c>
      <c r="CE89" s="2" t="s">
        <v>189</v>
      </c>
      <c r="CF89" s="2" t="s">
        <v>190</v>
      </c>
      <c r="CG89" s="2" t="s">
        <v>191</v>
      </c>
      <c r="CH89" s="2" t="s">
        <v>191</v>
      </c>
      <c r="CI89" s="2" t="s">
        <v>190</v>
      </c>
      <c r="CJ89" s="2" t="s">
        <v>190</v>
      </c>
      <c r="CK89" s="2" t="s">
        <v>189</v>
      </c>
      <c r="CL89" s="2" t="s">
        <v>189</v>
      </c>
      <c r="CM89" s="2" t="s">
        <v>192</v>
      </c>
      <c r="CN89" s="2" t="s">
        <v>192</v>
      </c>
      <c r="CO89" s="2" t="s">
        <v>192</v>
      </c>
      <c r="CP89" s="2" t="s">
        <v>192</v>
      </c>
      <c r="CQ89" s="2" t="s">
        <v>192</v>
      </c>
      <c r="CR89" s="2" t="s">
        <v>192</v>
      </c>
      <c r="CS89" s="2" t="s">
        <v>192</v>
      </c>
      <c r="CT89" s="2" t="s">
        <v>192</v>
      </c>
      <c r="CU89" s="2" t="s">
        <v>192</v>
      </c>
      <c r="CV89" s="2" t="s">
        <v>193</v>
      </c>
      <c r="CW89" s="2" t="s">
        <v>192</v>
      </c>
      <c r="CX89" s="2" t="s">
        <v>192</v>
      </c>
      <c r="CY89" s="2" t="s">
        <v>192</v>
      </c>
      <c r="CZ89" s="2" t="s">
        <v>192</v>
      </c>
      <c r="DA89" s="2" t="s">
        <v>192</v>
      </c>
      <c r="DB89" s="2" t="s">
        <v>192</v>
      </c>
      <c r="DC89" s="2" t="s">
        <v>192</v>
      </c>
      <c r="DD89" s="2" t="s">
        <v>192</v>
      </c>
      <c r="DE89" s="2" t="s">
        <v>192</v>
      </c>
      <c r="DF89" s="2" t="s">
        <v>192</v>
      </c>
      <c r="DG89" s="2" t="s">
        <v>196</v>
      </c>
      <c r="DH89" s="2" t="s">
        <v>196</v>
      </c>
      <c r="DI89" s="2" t="s">
        <v>196</v>
      </c>
      <c r="DJ89" s="2" t="s">
        <v>196</v>
      </c>
      <c r="DK89" s="2" t="s">
        <v>196</v>
      </c>
      <c r="DL89" s="2" t="s">
        <v>194</v>
      </c>
      <c r="DM89" s="2" t="s">
        <v>196</v>
      </c>
      <c r="DN89" s="2" t="s">
        <v>196</v>
      </c>
      <c r="DO89" s="2" t="s">
        <v>194</v>
      </c>
      <c r="DP89" s="2" t="s">
        <v>196</v>
      </c>
      <c r="DQ89" s="2" t="s">
        <v>194</v>
      </c>
      <c r="DR89" s="2" t="s">
        <v>196</v>
      </c>
      <c r="DS89" s="2" t="s">
        <v>197</v>
      </c>
      <c r="DT89" s="2" t="s">
        <v>198</v>
      </c>
      <c r="DU89" s="2" t="s">
        <v>222</v>
      </c>
      <c r="DV89" s="2" t="s">
        <v>198</v>
      </c>
      <c r="DW89" s="2" t="s">
        <v>222</v>
      </c>
      <c r="DX89" s="2" t="s">
        <v>198</v>
      </c>
      <c r="DY89" s="2" t="s">
        <v>198</v>
      </c>
      <c r="DZ89" s="2"/>
      <c r="EA89" s="2">
        <v>1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1</v>
      </c>
      <c r="EJ89" s="2">
        <v>0</v>
      </c>
      <c r="EK89" s="2">
        <v>1</v>
      </c>
      <c r="EL89" s="2">
        <v>0</v>
      </c>
      <c r="EM89" s="2">
        <v>1</v>
      </c>
      <c r="EN89" s="2">
        <v>1</v>
      </c>
      <c r="EO89" s="2">
        <v>0</v>
      </c>
      <c r="EP89" s="2">
        <v>1</v>
      </c>
      <c r="EQ89" s="2">
        <v>0</v>
      </c>
      <c r="ER89" s="2">
        <v>0</v>
      </c>
      <c r="ES89" s="2">
        <v>1</v>
      </c>
      <c r="ET89" s="2">
        <v>1</v>
      </c>
      <c r="EU89" s="2">
        <v>0</v>
      </c>
      <c r="EV89" s="2">
        <v>0</v>
      </c>
      <c r="EW89" s="2">
        <v>0</v>
      </c>
      <c r="EX89" s="2">
        <v>0</v>
      </c>
      <c r="EY89" s="2">
        <v>1</v>
      </c>
      <c r="EZ89" s="2">
        <v>0</v>
      </c>
      <c r="FA89" s="2">
        <v>1</v>
      </c>
      <c r="FB89" s="2">
        <v>0</v>
      </c>
      <c r="FC89" s="2">
        <v>1</v>
      </c>
      <c r="FD89" s="2">
        <v>0</v>
      </c>
      <c r="FE89" s="2">
        <v>0</v>
      </c>
      <c r="FF89" s="2">
        <v>0</v>
      </c>
      <c r="FG89" s="2">
        <v>1</v>
      </c>
      <c r="FH89" s="2">
        <v>0</v>
      </c>
      <c r="FI89" s="2">
        <v>1</v>
      </c>
      <c r="FJ89" s="2">
        <v>0</v>
      </c>
      <c r="FK89" s="2">
        <v>0</v>
      </c>
      <c r="FL89" s="2">
        <v>0</v>
      </c>
      <c r="FM89" s="2">
        <v>1</v>
      </c>
      <c r="FN89" s="2">
        <v>0</v>
      </c>
      <c r="FO89" s="2">
        <v>0</v>
      </c>
      <c r="FP89" s="2">
        <v>0</v>
      </c>
      <c r="FQ89" s="2">
        <v>1</v>
      </c>
      <c r="FR89" s="2">
        <v>0</v>
      </c>
      <c r="FS89" s="2">
        <v>1</v>
      </c>
      <c r="FT89" s="2">
        <v>0</v>
      </c>
      <c r="FU89" s="2">
        <v>1</v>
      </c>
      <c r="FV89" s="2">
        <v>0</v>
      </c>
      <c r="FW89" s="2">
        <v>0</v>
      </c>
      <c r="FX89" s="2">
        <v>0</v>
      </c>
      <c r="FY89" s="2">
        <v>0</v>
      </c>
      <c r="FZ89" s="2"/>
      <c r="GA89" s="2">
        <v>5</v>
      </c>
      <c r="GB89" s="2">
        <v>5</v>
      </c>
      <c r="GC89" s="2">
        <v>5</v>
      </c>
      <c r="GD89" s="2">
        <v>4</v>
      </c>
      <c r="GE89" s="2">
        <v>4</v>
      </c>
      <c r="GG89" s="2">
        <v>5</v>
      </c>
      <c r="GH89" s="2">
        <v>5</v>
      </c>
      <c r="GI89" s="2">
        <v>5</v>
      </c>
      <c r="GJ89" s="2">
        <v>4</v>
      </c>
      <c r="GK89" s="2">
        <v>4</v>
      </c>
      <c r="GM89" s="2">
        <f t="shared" si="0"/>
        <v>23</v>
      </c>
      <c r="GN89" s="2">
        <f t="shared" si="1"/>
        <v>23</v>
      </c>
      <c r="GO89" s="2"/>
      <c r="GP89" s="2">
        <v>2</v>
      </c>
      <c r="GQ89" s="2">
        <v>2</v>
      </c>
      <c r="GR89" s="2">
        <v>1</v>
      </c>
      <c r="GS89" s="2">
        <v>1</v>
      </c>
      <c r="GU89" s="2">
        <v>1</v>
      </c>
      <c r="GV89" s="2">
        <v>1</v>
      </c>
      <c r="GW89" s="2">
        <v>0</v>
      </c>
      <c r="GY89" s="2">
        <v>2</v>
      </c>
      <c r="GZ89" s="2">
        <v>2</v>
      </c>
      <c r="HA89" s="2">
        <v>1</v>
      </c>
      <c r="HB89" s="2">
        <v>1</v>
      </c>
      <c r="HD89" s="2">
        <v>1</v>
      </c>
      <c r="HE89" s="2">
        <v>1</v>
      </c>
      <c r="HF89" s="2">
        <v>0</v>
      </c>
      <c r="HH89" s="2">
        <f t="shared" si="2"/>
        <v>8</v>
      </c>
      <c r="HI89" s="2">
        <f t="shared" si="3"/>
        <v>8</v>
      </c>
      <c r="HJ89" s="2"/>
      <c r="HK89" s="2">
        <v>8</v>
      </c>
      <c r="HL89" s="2">
        <v>8</v>
      </c>
      <c r="HM89" s="2"/>
      <c r="HN89" s="2"/>
    </row>
    <row r="90" spans="1:222" ht="15.75" customHeight="1" x14ac:dyDescent="0.2">
      <c r="A90" s="3" t="e">
        <f>VLOOKUP(B90,#REF!,1,FALSE)</f>
        <v>#REF!</v>
      </c>
      <c r="B90" s="3">
        <v>44642.932288807868</v>
      </c>
      <c r="C90" s="2">
        <v>97</v>
      </c>
      <c r="D90" s="2" t="s">
        <v>185</v>
      </c>
      <c r="E90" s="2">
        <v>0</v>
      </c>
      <c r="F90" s="2" t="s">
        <v>186</v>
      </c>
      <c r="G90" s="2">
        <v>8</v>
      </c>
      <c r="H90" s="2">
        <v>2</v>
      </c>
      <c r="I90" s="2">
        <v>1</v>
      </c>
      <c r="J90" s="2">
        <v>3</v>
      </c>
      <c r="K90" s="2">
        <v>0</v>
      </c>
      <c r="L90" s="2">
        <v>4</v>
      </c>
      <c r="M90" s="2" t="s">
        <v>213</v>
      </c>
      <c r="N90" s="2">
        <v>3</v>
      </c>
      <c r="O90" s="2">
        <v>3</v>
      </c>
      <c r="P90" s="2">
        <v>0</v>
      </c>
      <c r="Q90" s="2" t="s">
        <v>422</v>
      </c>
      <c r="R90" s="2">
        <v>3</v>
      </c>
      <c r="S90" s="2">
        <v>1</v>
      </c>
      <c r="T90" s="2">
        <v>-1</v>
      </c>
      <c r="U90" s="2">
        <v>0</v>
      </c>
      <c r="V90" s="2">
        <v>-1</v>
      </c>
      <c r="W90" s="2">
        <v>1</v>
      </c>
      <c r="X90" s="2"/>
      <c r="Y90" s="2">
        <v>1</v>
      </c>
      <c r="Z90" s="2">
        <v>1</v>
      </c>
      <c r="AA90" s="2">
        <v>1</v>
      </c>
      <c r="AB90" s="2">
        <v>1</v>
      </c>
      <c r="AC90" s="2">
        <v>-99</v>
      </c>
      <c r="AD90" s="2">
        <v>-99</v>
      </c>
      <c r="AE90" s="2">
        <v>1</v>
      </c>
      <c r="AF90" s="2">
        <v>-99</v>
      </c>
      <c r="AG90" s="2">
        <v>-1</v>
      </c>
      <c r="AH90" s="2">
        <v>2</v>
      </c>
      <c r="AI90" s="2">
        <v>-2</v>
      </c>
      <c r="AJ90" s="2">
        <v>-1</v>
      </c>
      <c r="AK90" s="2">
        <v>-3</v>
      </c>
      <c r="AL90" s="2">
        <v>-2</v>
      </c>
      <c r="AM90" s="2">
        <v>4</v>
      </c>
      <c r="AN90" s="2">
        <v>0</v>
      </c>
      <c r="AO90" s="2">
        <v>2</v>
      </c>
      <c r="AP90" s="2">
        <v>2</v>
      </c>
      <c r="AQ90" s="2">
        <v>2</v>
      </c>
      <c r="AR90" s="2">
        <v>3</v>
      </c>
      <c r="AS90" s="2">
        <v>0</v>
      </c>
      <c r="AT90" s="2">
        <v>0</v>
      </c>
      <c r="AU90" s="2">
        <v>0</v>
      </c>
      <c r="AV90" s="2"/>
      <c r="AW90" s="2">
        <v>0</v>
      </c>
      <c r="AX90" s="2">
        <v>0</v>
      </c>
      <c r="AY90" s="2">
        <v>3</v>
      </c>
      <c r="AZ90" s="2">
        <v>5</v>
      </c>
      <c r="BA90" s="2">
        <v>4</v>
      </c>
      <c r="BB90" s="2">
        <v>4</v>
      </c>
      <c r="BC90" s="2">
        <v>4</v>
      </c>
      <c r="BD90" s="2">
        <v>4</v>
      </c>
      <c r="BE90" s="2">
        <v>4</v>
      </c>
      <c r="BF90" s="2">
        <v>0</v>
      </c>
      <c r="BG90" s="2">
        <v>1</v>
      </c>
      <c r="BH90" s="2">
        <v>0</v>
      </c>
      <c r="BI90" s="2"/>
      <c r="BJ90" s="2">
        <v>2</v>
      </c>
      <c r="BK90" s="2">
        <v>1</v>
      </c>
      <c r="BL90" s="2">
        <v>3</v>
      </c>
      <c r="BM90" s="2">
        <v>9</v>
      </c>
      <c r="BN90" s="2">
        <v>9</v>
      </c>
      <c r="BO90" s="2">
        <v>9</v>
      </c>
      <c r="BP90" s="2"/>
      <c r="BQ90" s="2"/>
      <c r="BR90" s="2"/>
      <c r="BS90" s="2"/>
      <c r="BT90" s="2"/>
      <c r="BU90" s="2"/>
      <c r="BV90" s="2"/>
      <c r="BW90" s="2"/>
      <c r="BX90" s="2" t="s">
        <v>188</v>
      </c>
      <c r="BY90" s="2" t="s">
        <v>189</v>
      </c>
      <c r="BZ90" s="2" t="s">
        <v>188</v>
      </c>
      <c r="CA90" s="2" t="s">
        <v>188</v>
      </c>
      <c r="CB90" s="2" t="s">
        <v>188</v>
      </c>
      <c r="CC90" s="2" t="s">
        <v>188</v>
      </c>
      <c r="CD90" s="2" t="s">
        <v>189</v>
      </c>
      <c r="CE90" s="2" t="s">
        <v>189</v>
      </c>
      <c r="CF90" s="2" t="s">
        <v>189</v>
      </c>
      <c r="CG90" s="2" t="s">
        <v>190</v>
      </c>
      <c r="CH90" s="2" t="s">
        <v>190</v>
      </c>
      <c r="CI90" s="2" t="s">
        <v>189</v>
      </c>
      <c r="CJ90" s="2" t="s">
        <v>189</v>
      </c>
      <c r="CK90" s="2" t="s">
        <v>189</v>
      </c>
      <c r="CL90" s="2" t="s">
        <v>190</v>
      </c>
      <c r="CM90" s="2" t="s">
        <v>193</v>
      </c>
      <c r="CN90" s="2" t="s">
        <v>193</v>
      </c>
      <c r="CO90" s="2" t="s">
        <v>192</v>
      </c>
      <c r="CP90" s="2" t="s">
        <v>193</v>
      </c>
      <c r="CQ90" s="2" t="s">
        <v>192</v>
      </c>
      <c r="CR90" s="2" t="s">
        <v>193</v>
      </c>
      <c r="CS90" s="2" t="s">
        <v>193</v>
      </c>
      <c r="CT90" s="2" t="s">
        <v>192</v>
      </c>
      <c r="CU90" s="2" t="s">
        <v>193</v>
      </c>
      <c r="CV90" s="2" t="s">
        <v>192</v>
      </c>
      <c r="CW90" s="2" t="s">
        <v>192</v>
      </c>
      <c r="CX90" s="2" t="s">
        <v>193</v>
      </c>
      <c r="CY90" s="2" t="s">
        <v>192</v>
      </c>
      <c r="CZ90" s="2" t="s">
        <v>192</v>
      </c>
      <c r="DA90" s="2" t="s">
        <v>192</v>
      </c>
      <c r="DB90" s="2" t="s">
        <v>192</v>
      </c>
      <c r="DC90" s="2" t="s">
        <v>192</v>
      </c>
      <c r="DD90" s="2" t="s">
        <v>192</v>
      </c>
      <c r="DE90" s="2" t="s">
        <v>192</v>
      </c>
      <c r="DF90" s="2" t="s">
        <v>200</v>
      </c>
      <c r="DG90" s="2" t="s">
        <v>201</v>
      </c>
      <c r="DH90" s="2" t="s">
        <v>201</v>
      </c>
      <c r="DI90" s="2" t="s">
        <v>201</v>
      </c>
      <c r="DJ90" s="2" t="s">
        <v>195</v>
      </c>
      <c r="DK90" s="2" t="s">
        <v>195</v>
      </c>
      <c r="DL90" s="2" t="s">
        <v>201</v>
      </c>
      <c r="DM90" s="2" t="s">
        <v>201</v>
      </c>
      <c r="DN90" s="2" t="s">
        <v>195</v>
      </c>
      <c r="DO90" s="2" t="s">
        <v>195</v>
      </c>
      <c r="DP90" s="2" t="s">
        <v>194</v>
      </c>
      <c r="DQ90" s="2" t="s">
        <v>201</v>
      </c>
      <c r="DR90" s="2" t="s">
        <v>194</v>
      </c>
      <c r="DS90" s="2" t="s">
        <v>197</v>
      </c>
      <c r="DT90" s="2" t="s">
        <v>197</v>
      </c>
      <c r="DU90" s="2" t="s">
        <v>198</v>
      </c>
      <c r="DV90" s="2" t="s">
        <v>198</v>
      </c>
      <c r="DW90" s="2" t="s">
        <v>198</v>
      </c>
      <c r="DX90" s="2" t="s">
        <v>221</v>
      </c>
      <c r="DY90" s="2" t="s">
        <v>198</v>
      </c>
      <c r="DZ90" s="2"/>
      <c r="EA90" s="2">
        <v>0</v>
      </c>
      <c r="EB90" s="2">
        <v>0</v>
      </c>
      <c r="EC90" s="2">
        <v>1</v>
      </c>
      <c r="ED90" s="2">
        <v>1</v>
      </c>
      <c r="EE90" s="2">
        <v>0</v>
      </c>
      <c r="EF90" s="2">
        <v>0</v>
      </c>
      <c r="EG90" s="2">
        <v>0</v>
      </c>
      <c r="EH90" s="2">
        <v>1</v>
      </c>
      <c r="EI90" s="2">
        <v>0</v>
      </c>
      <c r="EJ90" s="2">
        <v>1</v>
      </c>
      <c r="EK90" s="2">
        <v>0</v>
      </c>
      <c r="EL90" s="2">
        <v>1</v>
      </c>
      <c r="EM90" s="2">
        <v>1</v>
      </c>
      <c r="EN90" s="2">
        <v>1</v>
      </c>
      <c r="EO90" s="2">
        <v>0</v>
      </c>
      <c r="EP90" s="2">
        <v>1</v>
      </c>
      <c r="EQ90" s="2">
        <v>0</v>
      </c>
      <c r="ER90" s="2">
        <v>1</v>
      </c>
      <c r="ES90" s="2">
        <v>1</v>
      </c>
      <c r="ET90" s="2">
        <v>1</v>
      </c>
      <c r="EU90" s="2">
        <v>1</v>
      </c>
      <c r="EV90" s="2">
        <v>1</v>
      </c>
      <c r="EW90" s="2">
        <v>0</v>
      </c>
      <c r="EX90" s="2">
        <v>1</v>
      </c>
      <c r="EY90" s="2">
        <v>1</v>
      </c>
      <c r="EZ90" s="2">
        <v>1</v>
      </c>
      <c r="FA90" s="2">
        <v>0</v>
      </c>
      <c r="FB90" s="2">
        <v>0</v>
      </c>
      <c r="FC90" s="2">
        <v>1</v>
      </c>
      <c r="FD90" s="2">
        <v>0</v>
      </c>
      <c r="FE90" s="2">
        <v>0</v>
      </c>
      <c r="FF90" s="2">
        <v>0</v>
      </c>
      <c r="FG90" s="2">
        <v>1</v>
      </c>
      <c r="FH90" s="2">
        <v>1</v>
      </c>
      <c r="FI90" s="2">
        <v>0</v>
      </c>
      <c r="FJ90" s="2">
        <v>1</v>
      </c>
      <c r="FK90" s="2">
        <v>0</v>
      </c>
      <c r="FL90" s="2">
        <v>1</v>
      </c>
      <c r="FM90" s="2">
        <v>0</v>
      </c>
      <c r="FN90" s="2">
        <v>1</v>
      </c>
      <c r="FO90" s="2">
        <v>1</v>
      </c>
      <c r="FP90" s="2">
        <v>1</v>
      </c>
      <c r="FQ90" s="2">
        <v>1</v>
      </c>
      <c r="FR90" s="2">
        <v>1</v>
      </c>
      <c r="FS90" s="2">
        <v>1</v>
      </c>
      <c r="FT90" s="2">
        <v>1</v>
      </c>
      <c r="FU90" s="2">
        <v>1</v>
      </c>
      <c r="FV90" s="2">
        <v>1</v>
      </c>
      <c r="FW90" s="2">
        <v>1</v>
      </c>
      <c r="FX90" s="2">
        <v>1</v>
      </c>
      <c r="FY90" s="2">
        <v>1</v>
      </c>
      <c r="FZ90" s="2"/>
      <c r="GA90" s="2">
        <v>4</v>
      </c>
      <c r="GB90" s="2">
        <v>0</v>
      </c>
      <c r="GC90" s="2">
        <v>2</v>
      </c>
      <c r="GD90" s="2">
        <v>2</v>
      </c>
      <c r="GE90" s="2">
        <v>2</v>
      </c>
      <c r="GG90" s="2">
        <v>5</v>
      </c>
      <c r="GH90" s="2">
        <v>4</v>
      </c>
      <c r="GI90" s="2">
        <v>4</v>
      </c>
      <c r="GJ90" s="2">
        <v>4</v>
      </c>
      <c r="GK90" s="2">
        <v>4</v>
      </c>
      <c r="GM90" s="2">
        <f t="shared" si="0"/>
        <v>10</v>
      </c>
      <c r="GN90" s="2">
        <f t="shared" si="1"/>
        <v>21</v>
      </c>
      <c r="GO90" s="2"/>
      <c r="GP90" s="2">
        <v>3</v>
      </c>
      <c r="GQ90" s="2">
        <v>0</v>
      </c>
      <c r="GR90" s="2">
        <v>0</v>
      </c>
      <c r="GS90" s="2">
        <v>0</v>
      </c>
      <c r="GU90" s="2">
        <v>0</v>
      </c>
      <c r="GV90" s="2">
        <v>0</v>
      </c>
      <c r="GW90" s="2">
        <v>3</v>
      </c>
      <c r="GY90" s="2">
        <v>4</v>
      </c>
      <c r="GZ90" s="2">
        <v>0</v>
      </c>
      <c r="HA90" s="2">
        <v>1</v>
      </c>
      <c r="HB90" s="2">
        <v>0</v>
      </c>
      <c r="HD90" s="2">
        <v>2</v>
      </c>
      <c r="HE90" s="2">
        <v>1</v>
      </c>
      <c r="HF90" s="2">
        <v>3</v>
      </c>
      <c r="HH90" s="2">
        <f t="shared" si="2"/>
        <v>6</v>
      </c>
      <c r="HI90" s="2">
        <f t="shared" si="3"/>
        <v>11</v>
      </c>
      <c r="HJ90" s="2"/>
      <c r="HK90" s="2">
        <v>9</v>
      </c>
      <c r="HL90" s="2">
        <v>9</v>
      </c>
      <c r="HM90" s="2"/>
      <c r="HN90" s="2"/>
    </row>
    <row r="91" spans="1:222" ht="15.75" customHeight="1" x14ac:dyDescent="0.2">
      <c r="A91" s="3" t="e">
        <f>VLOOKUP(B91,#REF!,1,FALSE)</f>
        <v>#REF!</v>
      </c>
      <c r="B91" s="3">
        <v>44642.93468554398</v>
      </c>
      <c r="C91" s="2">
        <v>98</v>
      </c>
      <c r="D91" s="2" t="s">
        <v>185</v>
      </c>
      <c r="E91" s="2">
        <v>0</v>
      </c>
      <c r="F91" s="2" t="s">
        <v>186</v>
      </c>
      <c r="G91" s="2">
        <v>8</v>
      </c>
      <c r="H91" s="2">
        <v>2</v>
      </c>
      <c r="I91" s="2">
        <v>1</v>
      </c>
      <c r="J91" s="2">
        <v>5</v>
      </c>
      <c r="K91" s="2">
        <v>1</v>
      </c>
      <c r="L91" s="2">
        <v>3</v>
      </c>
      <c r="M91" s="2" t="s">
        <v>187</v>
      </c>
      <c r="N91" s="2">
        <v>3</v>
      </c>
      <c r="O91" s="2">
        <v>3</v>
      </c>
      <c r="P91" s="2">
        <v>0</v>
      </c>
      <c r="Q91" s="2" t="s">
        <v>354</v>
      </c>
      <c r="R91" s="2">
        <v>3</v>
      </c>
      <c r="S91" s="2">
        <v>0</v>
      </c>
      <c r="T91" s="2">
        <v>1</v>
      </c>
      <c r="U91" s="2">
        <v>-1</v>
      </c>
      <c r="V91" s="2">
        <v>1</v>
      </c>
      <c r="W91" s="2">
        <v>1</v>
      </c>
      <c r="X91" s="2"/>
      <c r="Y91" s="2">
        <v>1</v>
      </c>
      <c r="Z91" s="2">
        <v>0</v>
      </c>
      <c r="AA91" s="2">
        <v>1</v>
      </c>
      <c r="AB91" s="2">
        <v>2</v>
      </c>
      <c r="AC91" s="2">
        <v>1</v>
      </c>
      <c r="AD91" s="2">
        <v>0</v>
      </c>
      <c r="AE91" s="2">
        <v>0</v>
      </c>
      <c r="AF91" s="2">
        <v>2</v>
      </c>
      <c r="AG91" s="2">
        <v>1</v>
      </c>
      <c r="AH91" s="2">
        <v>1</v>
      </c>
      <c r="AI91" s="2">
        <v>-2</v>
      </c>
      <c r="AJ91" s="2">
        <v>-1</v>
      </c>
      <c r="AK91" s="2">
        <v>-3</v>
      </c>
      <c r="AL91" s="2">
        <v>-2</v>
      </c>
      <c r="AM91" s="2">
        <v>4</v>
      </c>
      <c r="AN91" s="2">
        <v>4</v>
      </c>
      <c r="AO91" s="2">
        <v>4</v>
      </c>
      <c r="AP91" s="2">
        <v>4</v>
      </c>
      <c r="AQ91" s="2">
        <v>2</v>
      </c>
      <c r="AR91" s="2">
        <v>2</v>
      </c>
      <c r="AS91" s="2">
        <v>3</v>
      </c>
      <c r="AT91" s="2">
        <v>1</v>
      </c>
      <c r="AU91" s="2">
        <v>2</v>
      </c>
      <c r="AV91" s="2"/>
      <c r="AW91" s="2">
        <v>1</v>
      </c>
      <c r="AX91" s="2">
        <v>2</v>
      </c>
      <c r="AY91" s="2">
        <v>-3</v>
      </c>
      <c r="AZ91" s="2">
        <v>3</v>
      </c>
      <c r="BA91" s="2">
        <v>3</v>
      </c>
      <c r="BB91" s="2">
        <v>3</v>
      </c>
      <c r="BC91" s="2">
        <v>3</v>
      </c>
      <c r="BD91" s="2">
        <v>3</v>
      </c>
      <c r="BE91" s="2">
        <v>2</v>
      </c>
      <c r="BF91" s="2">
        <v>2</v>
      </c>
      <c r="BG91" s="2">
        <v>2</v>
      </c>
      <c r="BH91" s="2">
        <v>2</v>
      </c>
      <c r="BI91" s="2"/>
      <c r="BJ91" s="2">
        <v>2</v>
      </c>
      <c r="BK91" s="2">
        <v>2</v>
      </c>
      <c r="BL91" s="2">
        <v>-2</v>
      </c>
      <c r="BM91" s="2">
        <v>6</v>
      </c>
      <c r="BN91" s="2">
        <v>3</v>
      </c>
      <c r="BO91" s="2">
        <v>3</v>
      </c>
      <c r="BP91" s="2"/>
      <c r="BQ91" s="2"/>
      <c r="BR91" s="2"/>
      <c r="BS91" s="2"/>
      <c r="BT91" s="2"/>
      <c r="BU91" s="2"/>
      <c r="BV91" s="2"/>
      <c r="BW91" s="2"/>
      <c r="BX91" s="2" t="s">
        <v>190</v>
      </c>
      <c r="BY91" s="2" t="s">
        <v>190</v>
      </c>
      <c r="BZ91" s="2" t="s">
        <v>190</v>
      </c>
      <c r="CA91" s="2" t="s">
        <v>190</v>
      </c>
      <c r="CB91" s="2" t="s">
        <v>189</v>
      </c>
      <c r="CC91" s="2" t="s">
        <v>189</v>
      </c>
      <c r="CD91" s="2" t="s">
        <v>189</v>
      </c>
      <c r="CE91" s="2" t="s">
        <v>191</v>
      </c>
      <c r="CF91" s="2" t="s">
        <v>189</v>
      </c>
      <c r="CG91" s="2" t="s">
        <v>190</v>
      </c>
      <c r="CH91" s="2" t="s">
        <v>189</v>
      </c>
      <c r="CI91" s="2" t="s">
        <v>191</v>
      </c>
      <c r="CJ91" s="2" t="s">
        <v>189</v>
      </c>
      <c r="CK91" s="2" t="s">
        <v>188</v>
      </c>
      <c r="CL91" s="2" t="s">
        <v>188</v>
      </c>
      <c r="CM91" s="2" t="s">
        <v>193</v>
      </c>
      <c r="CN91" s="2" t="s">
        <v>193</v>
      </c>
      <c r="CO91" s="2" t="s">
        <v>193</v>
      </c>
      <c r="CP91" s="2" t="s">
        <v>192</v>
      </c>
      <c r="CQ91" s="2" t="s">
        <v>193</v>
      </c>
      <c r="CR91" s="2" t="s">
        <v>192</v>
      </c>
      <c r="CS91" s="2" t="s">
        <v>193</v>
      </c>
      <c r="CT91" s="2" t="s">
        <v>193</v>
      </c>
      <c r="CU91" s="2" t="s">
        <v>200</v>
      </c>
      <c r="CV91" s="2" t="s">
        <v>193</v>
      </c>
      <c r="CW91" s="2" t="s">
        <v>200</v>
      </c>
      <c r="CX91" s="2" t="s">
        <v>193</v>
      </c>
      <c r="CY91" s="2" t="s">
        <v>200</v>
      </c>
      <c r="CZ91" s="2" t="s">
        <v>200</v>
      </c>
      <c r="DA91" s="2" t="s">
        <v>193</v>
      </c>
      <c r="DB91" s="2" t="s">
        <v>200</v>
      </c>
      <c r="DC91" s="2" t="s">
        <v>200</v>
      </c>
      <c r="DD91" s="2" t="s">
        <v>193</v>
      </c>
      <c r="DE91" s="2" t="s">
        <v>192</v>
      </c>
      <c r="DF91" s="2" t="s">
        <v>192</v>
      </c>
      <c r="DG91" s="2" t="s">
        <v>194</v>
      </c>
      <c r="DH91" s="2" t="s">
        <v>194</v>
      </c>
      <c r="DI91" s="2" t="s">
        <v>194</v>
      </c>
      <c r="DJ91" s="2" t="s">
        <v>195</v>
      </c>
      <c r="DK91" s="2" t="s">
        <v>194</v>
      </c>
      <c r="DL91" s="2" t="s">
        <v>194</v>
      </c>
      <c r="DM91" s="2" t="s">
        <v>194</v>
      </c>
      <c r="DN91" s="2" t="s">
        <v>194</v>
      </c>
      <c r="DO91" s="2" t="s">
        <v>194</v>
      </c>
      <c r="DP91" s="2" t="s">
        <v>194</v>
      </c>
      <c r="DQ91" s="2" t="s">
        <v>194</v>
      </c>
      <c r="DR91" s="2" t="s">
        <v>194</v>
      </c>
      <c r="DS91" s="2" t="s">
        <v>198</v>
      </c>
      <c r="DT91" s="2" t="s">
        <v>199</v>
      </c>
      <c r="DU91" s="2" t="s">
        <v>222</v>
      </c>
      <c r="DV91" s="2" t="s">
        <v>198</v>
      </c>
      <c r="DW91" s="2" t="s">
        <v>198</v>
      </c>
      <c r="DX91" s="2" t="s">
        <v>199</v>
      </c>
      <c r="DY91" s="2" t="s">
        <v>199</v>
      </c>
      <c r="DZ91" s="2"/>
      <c r="EA91" s="2">
        <v>0</v>
      </c>
      <c r="EB91" s="2">
        <v>1</v>
      </c>
      <c r="EC91" s="2">
        <v>0</v>
      </c>
      <c r="ED91" s="2">
        <v>1</v>
      </c>
      <c r="EE91" s="2">
        <v>1</v>
      </c>
      <c r="EF91" s="2">
        <v>0</v>
      </c>
      <c r="EG91" s="2">
        <v>0</v>
      </c>
      <c r="EH91" s="2">
        <v>0</v>
      </c>
      <c r="EI91" s="2">
        <v>1</v>
      </c>
      <c r="EJ91" s="2">
        <v>1</v>
      </c>
      <c r="EK91" s="2">
        <v>0</v>
      </c>
      <c r="EL91" s="2">
        <v>0</v>
      </c>
      <c r="EM91" s="2">
        <v>1</v>
      </c>
      <c r="EN91" s="2">
        <v>1</v>
      </c>
      <c r="EO91" s="2">
        <v>0</v>
      </c>
      <c r="EP91" s="2">
        <v>1</v>
      </c>
      <c r="EQ91" s="2">
        <v>0</v>
      </c>
      <c r="ER91" s="2">
        <v>1</v>
      </c>
      <c r="ES91" s="2">
        <v>0</v>
      </c>
      <c r="ET91" s="2">
        <v>1</v>
      </c>
      <c r="EU91" s="2">
        <v>0</v>
      </c>
      <c r="EV91" s="2">
        <v>1</v>
      </c>
      <c r="EW91" s="2">
        <v>0</v>
      </c>
      <c r="EX91" s="2">
        <v>0</v>
      </c>
      <c r="EY91" s="2">
        <v>1</v>
      </c>
      <c r="EZ91" s="2">
        <v>1</v>
      </c>
      <c r="FA91" s="2">
        <v>0</v>
      </c>
      <c r="FB91" s="2">
        <v>1</v>
      </c>
      <c r="FC91" s="2">
        <v>0</v>
      </c>
      <c r="FD91" s="2">
        <v>0</v>
      </c>
      <c r="FE91" s="2">
        <v>0</v>
      </c>
      <c r="FF91" s="2">
        <v>0</v>
      </c>
      <c r="FG91" s="2">
        <v>1</v>
      </c>
      <c r="FH91" s="2">
        <v>1</v>
      </c>
      <c r="FI91" s="2">
        <v>0</v>
      </c>
      <c r="FJ91" s="2">
        <v>1</v>
      </c>
      <c r="FK91" s="2">
        <v>0</v>
      </c>
      <c r="FL91" s="2">
        <v>1</v>
      </c>
      <c r="FM91" s="2">
        <v>0</v>
      </c>
      <c r="FN91" s="2">
        <v>1</v>
      </c>
      <c r="FO91" s="2">
        <v>0</v>
      </c>
      <c r="FP91" s="2">
        <v>0</v>
      </c>
      <c r="FQ91" s="2">
        <v>1</v>
      </c>
      <c r="FR91" s="2">
        <v>0</v>
      </c>
      <c r="FS91" s="2">
        <v>1</v>
      </c>
      <c r="FT91" s="2">
        <v>0</v>
      </c>
      <c r="FU91" s="2">
        <v>1</v>
      </c>
      <c r="FV91" s="2">
        <v>0</v>
      </c>
      <c r="FW91" s="2">
        <v>1</v>
      </c>
      <c r="FX91" s="2">
        <v>0</v>
      </c>
      <c r="FY91" s="2">
        <v>1</v>
      </c>
      <c r="FZ91" s="2"/>
      <c r="GA91" s="2">
        <v>4</v>
      </c>
      <c r="GB91" s="2">
        <v>4</v>
      </c>
      <c r="GC91" s="2">
        <v>4</v>
      </c>
      <c r="GD91" s="2">
        <v>4</v>
      </c>
      <c r="GE91" s="2">
        <v>2</v>
      </c>
      <c r="GG91" s="2">
        <v>3</v>
      </c>
      <c r="GH91" s="2">
        <v>3</v>
      </c>
      <c r="GI91" s="2">
        <v>3</v>
      </c>
      <c r="GJ91" s="2">
        <v>3</v>
      </c>
      <c r="GK91" s="2">
        <v>3</v>
      </c>
      <c r="GM91" s="2">
        <f t="shared" si="0"/>
        <v>18</v>
      </c>
      <c r="GN91" s="2">
        <f t="shared" si="1"/>
        <v>15</v>
      </c>
      <c r="GO91" s="2"/>
      <c r="GP91" s="2">
        <v>2</v>
      </c>
      <c r="GQ91" s="2">
        <v>3</v>
      </c>
      <c r="GR91" s="2">
        <v>1</v>
      </c>
      <c r="GS91" s="2">
        <v>2</v>
      </c>
      <c r="GU91" s="2">
        <v>1</v>
      </c>
      <c r="GV91" s="2">
        <v>2</v>
      </c>
      <c r="GW91" s="2">
        <v>-3</v>
      </c>
      <c r="GY91" s="2">
        <v>2</v>
      </c>
      <c r="GZ91" s="2">
        <v>2</v>
      </c>
      <c r="HA91" s="2">
        <v>2</v>
      </c>
      <c r="HB91" s="2">
        <v>2</v>
      </c>
      <c r="HD91" s="2">
        <v>2</v>
      </c>
      <c r="HE91" s="2">
        <v>2</v>
      </c>
      <c r="HF91" s="2">
        <v>-2</v>
      </c>
      <c r="HH91" s="2">
        <f t="shared" si="2"/>
        <v>8</v>
      </c>
      <c r="HI91" s="2">
        <f t="shared" si="3"/>
        <v>10</v>
      </c>
      <c r="HJ91" s="2"/>
      <c r="HK91" s="2">
        <v>3</v>
      </c>
      <c r="HL91" s="2">
        <v>3</v>
      </c>
      <c r="HM91" s="2"/>
      <c r="HN91" s="2"/>
    </row>
    <row r="92" spans="1:222" ht="15.75" customHeight="1" x14ac:dyDescent="0.2">
      <c r="A92" s="3" t="e">
        <f>VLOOKUP(B92,#REF!,1,FALSE)</f>
        <v>#REF!</v>
      </c>
      <c r="B92" s="3">
        <v>44643.004879803244</v>
      </c>
      <c r="C92" s="2">
        <v>100</v>
      </c>
      <c r="D92" s="2" t="s">
        <v>185</v>
      </c>
      <c r="E92" s="2">
        <v>0</v>
      </c>
      <c r="F92" s="2" t="s">
        <v>446</v>
      </c>
      <c r="G92" s="2">
        <v>2</v>
      </c>
      <c r="H92" s="2">
        <v>2</v>
      </c>
      <c r="I92" s="2">
        <v>1</v>
      </c>
      <c r="J92" s="2">
        <v>4</v>
      </c>
      <c r="K92" s="2">
        <v>4</v>
      </c>
      <c r="L92" s="2">
        <v>4</v>
      </c>
      <c r="M92" s="2" t="s">
        <v>187</v>
      </c>
      <c r="N92" s="2">
        <v>2</v>
      </c>
      <c r="O92" s="2">
        <v>4</v>
      </c>
      <c r="P92" s="2">
        <v>0</v>
      </c>
      <c r="Q92" s="2">
        <v>5</v>
      </c>
      <c r="R92" s="2">
        <v>3</v>
      </c>
      <c r="S92" s="2">
        <v>0</v>
      </c>
      <c r="T92" s="2">
        <v>0</v>
      </c>
      <c r="U92" s="2">
        <v>1</v>
      </c>
      <c r="V92" s="2">
        <v>-1</v>
      </c>
      <c r="W92" s="2">
        <v>0</v>
      </c>
      <c r="X92" s="2"/>
      <c r="Y92" s="2">
        <v>1</v>
      </c>
      <c r="Z92" s="2">
        <v>1</v>
      </c>
      <c r="AA92" s="2">
        <v>1</v>
      </c>
      <c r="AB92" s="2">
        <v>4</v>
      </c>
      <c r="AC92" s="2">
        <v>2</v>
      </c>
      <c r="AD92" s="2">
        <v>4</v>
      </c>
      <c r="AE92" s="2">
        <v>4</v>
      </c>
      <c r="AF92" s="2">
        <v>4</v>
      </c>
      <c r="AG92" s="2">
        <v>2</v>
      </c>
      <c r="AH92" s="2">
        <v>3</v>
      </c>
      <c r="AI92" s="2">
        <v>2</v>
      </c>
      <c r="AJ92" s="2">
        <v>1</v>
      </c>
      <c r="AK92" s="2">
        <v>2</v>
      </c>
      <c r="AL92" s="2">
        <v>2</v>
      </c>
      <c r="AM92" s="2">
        <v>4</v>
      </c>
      <c r="AN92" s="2">
        <v>4</v>
      </c>
      <c r="AO92" s="2">
        <v>4</v>
      </c>
      <c r="AP92" s="2">
        <v>4</v>
      </c>
      <c r="AQ92" s="2">
        <v>4</v>
      </c>
      <c r="AR92" s="2">
        <v>2</v>
      </c>
      <c r="AS92" s="2">
        <v>2</v>
      </c>
      <c r="AT92" s="2">
        <v>0</v>
      </c>
      <c r="AU92" s="2">
        <v>1</v>
      </c>
      <c r="AV92" s="2"/>
      <c r="AW92" s="2">
        <v>2</v>
      </c>
      <c r="AX92" s="2">
        <v>1</v>
      </c>
      <c r="AY92" s="2">
        <v>1</v>
      </c>
      <c r="AZ92" s="2">
        <v>4</v>
      </c>
      <c r="BA92" s="2">
        <v>4</v>
      </c>
      <c r="BB92" s="2">
        <v>4</v>
      </c>
      <c r="BC92" s="2">
        <v>4</v>
      </c>
      <c r="BD92" s="2">
        <v>3</v>
      </c>
      <c r="BE92" s="2">
        <v>2</v>
      </c>
      <c r="BF92" s="2">
        <v>0</v>
      </c>
      <c r="BG92" s="2">
        <v>0</v>
      </c>
      <c r="BH92" s="2">
        <v>1</v>
      </c>
      <c r="BI92" s="2"/>
      <c r="BJ92" s="2">
        <v>1</v>
      </c>
      <c r="BK92" s="2">
        <v>0</v>
      </c>
      <c r="BL92" s="2">
        <v>1</v>
      </c>
      <c r="BM92" s="2">
        <v>8</v>
      </c>
      <c r="BN92" s="2">
        <v>8</v>
      </c>
      <c r="BO92" s="2">
        <v>8</v>
      </c>
      <c r="BP92" s="2" t="s">
        <v>258</v>
      </c>
      <c r="BQ92" s="2" t="s">
        <v>258</v>
      </c>
      <c r="BR92" s="2" t="s">
        <v>258</v>
      </c>
      <c r="BS92" s="2" t="s">
        <v>258</v>
      </c>
      <c r="BT92" s="2" t="s">
        <v>258</v>
      </c>
      <c r="BU92" s="2" t="s">
        <v>258</v>
      </c>
      <c r="BV92" s="2" t="s">
        <v>319</v>
      </c>
      <c r="BW92" s="2" t="s">
        <v>447</v>
      </c>
      <c r="BX92" s="2" t="s">
        <v>191</v>
      </c>
      <c r="BY92" s="2" t="s">
        <v>188</v>
      </c>
      <c r="BZ92" s="2" t="s">
        <v>190</v>
      </c>
      <c r="CA92" s="2" t="s">
        <v>190</v>
      </c>
      <c r="CB92" s="2" t="s">
        <v>191</v>
      </c>
      <c r="CC92" s="2" t="s">
        <v>190</v>
      </c>
      <c r="CD92" s="2" t="s">
        <v>189</v>
      </c>
      <c r="CE92" s="2" t="s">
        <v>191</v>
      </c>
      <c r="CF92" s="2" t="s">
        <v>188</v>
      </c>
      <c r="CG92" s="2" t="s">
        <v>191</v>
      </c>
      <c r="CH92" s="2" t="s">
        <v>191</v>
      </c>
      <c r="CI92" s="2" t="s">
        <v>189</v>
      </c>
      <c r="CJ92" s="2" t="s">
        <v>190</v>
      </c>
      <c r="CK92" s="2" t="s">
        <v>190</v>
      </c>
      <c r="CL92" s="2" t="s">
        <v>191</v>
      </c>
      <c r="CM92" s="2" t="s">
        <v>192</v>
      </c>
      <c r="CN92" s="2" t="s">
        <v>192</v>
      </c>
      <c r="CO92" s="2" t="s">
        <v>200</v>
      </c>
      <c r="CP92" s="2" t="s">
        <v>192</v>
      </c>
      <c r="CQ92" s="2" t="s">
        <v>192</v>
      </c>
      <c r="CR92" s="2" t="s">
        <v>200</v>
      </c>
      <c r="CS92" s="2" t="s">
        <v>200</v>
      </c>
      <c r="CT92" s="2" t="s">
        <v>193</v>
      </c>
      <c r="CU92" s="2" t="s">
        <v>193</v>
      </c>
      <c r="CV92" s="2" t="s">
        <v>193</v>
      </c>
      <c r="CW92" s="2" t="s">
        <v>193</v>
      </c>
      <c r="CX92" s="2" t="s">
        <v>200</v>
      </c>
      <c r="CY92" s="2" t="s">
        <v>193</v>
      </c>
      <c r="CZ92" s="2" t="s">
        <v>193</v>
      </c>
      <c r="DA92" s="2" t="s">
        <v>200</v>
      </c>
      <c r="DB92" s="2" t="s">
        <v>193</v>
      </c>
      <c r="DC92" s="2" t="s">
        <v>192</v>
      </c>
      <c r="DD92" s="2" t="s">
        <v>193</v>
      </c>
      <c r="DE92" s="2" t="s">
        <v>192</v>
      </c>
      <c r="DF92" s="2" t="s">
        <v>192</v>
      </c>
      <c r="DG92" s="2" t="s">
        <v>195</v>
      </c>
      <c r="DH92" s="2" t="s">
        <v>194</v>
      </c>
      <c r="DI92" s="2" t="s">
        <v>195</v>
      </c>
      <c r="DJ92" s="2" t="s">
        <v>195</v>
      </c>
      <c r="DK92" s="2" t="s">
        <v>194</v>
      </c>
      <c r="DL92" s="2" t="s">
        <v>195</v>
      </c>
      <c r="DM92" s="2" t="s">
        <v>195</v>
      </c>
      <c r="DN92" s="2" t="s">
        <v>196</v>
      </c>
      <c r="DO92" s="2" t="s">
        <v>196</v>
      </c>
      <c r="DP92" s="2" t="s">
        <v>194</v>
      </c>
      <c r="DQ92" s="2" t="s">
        <v>195</v>
      </c>
      <c r="DR92" s="2" t="s">
        <v>195</v>
      </c>
      <c r="DS92" s="2" t="s">
        <v>197</v>
      </c>
      <c r="DT92" s="2" t="s">
        <v>197</v>
      </c>
      <c r="DU92" s="2" t="s">
        <v>198</v>
      </c>
      <c r="DV92" s="2" t="s">
        <v>197</v>
      </c>
      <c r="DW92" s="2" t="s">
        <v>197</v>
      </c>
      <c r="DX92" s="2" t="s">
        <v>198</v>
      </c>
      <c r="DY92" s="2" t="s">
        <v>197</v>
      </c>
      <c r="DZ92" s="2"/>
      <c r="EA92" s="2">
        <v>0</v>
      </c>
      <c r="EB92" s="2">
        <v>0</v>
      </c>
      <c r="EC92" s="2">
        <v>0</v>
      </c>
      <c r="ED92" s="2">
        <v>1</v>
      </c>
      <c r="EE92" s="2">
        <v>0</v>
      </c>
      <c r="EF92" s="2">
        <v>0</v>
      </c>
      <c r="EG92" s="2">
        <v>0</v>
      </c>
      <c r="EH92" s="2">
        <v>1</v>
      </c>
      <c r="EI92" s="2">
        <v>0</v>
      </c>
      <c r="EJ92" s="2">
        <v>0</v>
      </c>
      <c r="EK92" s="2">
        <v>1</v>
      </c>
      <c r="EL92" s="2">
        <v>0</v>
      </c>
      <c r="EM92" s="2">
        <v>1</v>
      </c>
      <c r="EN92" s="2">
        <v>1</v>
      </c>
      <c r="EO92" s="2">
        <v>0</v>
      </c>
      <c r="EP92" s="2">
        <v>1</v>
      </c>
      <c r="EQ92" s="2">
        <v>0</v>
      </c>
      <c r="ER92" s="2">
        <v>0</v>
      </c>
      <c r="ES92" s="2">
        <v>1</v>
      </c>
      <c r="ET92" s="2">
        <v>0</v>
      </c>
      <c r="EU92" s="2">
        <v>1</v>
      </c>
      <c r="EV92" s="2">
        <v>1</v>
      </c>
      <c r="EW92" s="2">
        <v>0</v>
      </c>
      <c r="EX92" s="2">
        <v>0</v>
      </c>
      <c r="EY92" s="2">
        <v>1</v>
      </c>
      <c r="EZ92" s="2">
        <v>1</v>
      </c>
      <c r="FA92" s="2">
        <v>0</v>
      </c>
      <c r="FB92" s="2">
        <v>0</v>
      </c>
      <c r="FC92" s="2">
        <v>1</v>
      </c>
      <c r="FD92" s="2">
        <v>0</v>
      </c>
      <c r="FE92" s="2">
        <v>0</v>
      </c>
      <c r="FF92" s="2">
        <v>1</v>
      </c>
      <c r="FG92" s="2">
        <v>0</v>
      </c>
      <c r="FH92" s="2">
        <v>1</v>
      </c>
      <c r="FI92" s="2">
        <v>0</v>
      </c>
      <c r="FJ92" s="2">
        <v>1</v>
      </c>
      <c r="FK92" s="2">
        <v>0</v>
      </c>
      <c r="FL92" s="2">
        <v>1</v>
      </c>
      <c r="FM92" s="2">
        <v>0</v>
      </c>
      <c r="FN92" s="2">
        <v>1</v>
      </c>
      <c r="FO92" s="2">
        <v>0</v>
      </c>
      <c r="FP92" s="2">
        <v>0</v>
      </c>
      <c r="FQ92" s="2">
        <v>1</v>
      </c>
      <c r="FR92" s="2">
        <v>0</v>
      </c>
      <c r="FS92" s="2">
        <v>1</v>
      </c>
      <c r="FT92" s="2">
        <v>1</v>
      </c>
      <c r="FU92" s="2">
        <v>0</v>
      </c>
      <c r="FV92" s="2">
        <v>1</v>
      </c>
      <c r="FW92" s="2">
        <v>0</v>
      </c>
      <c r="FX92" s="2">
        <v>1</v>
      </c>
      <c r="FY92" s="2">
        <v>0</v>
      </c>
      <c r="FZ92" s="2"/>
      <c r="GA92" s="2">
        <v>4</v>
      </c>
      <c r="GB92" s="2">
        <v>4</v>
      </c>
      <c r="GC92" s="2">
        <v>4</v>
      </c>
      <c r="GD92" s="2">
        <v>4</v>
      </c>
      <c r="GE92" s="2">
        <v>4</v>
      </c>
      <c r="GG92" s="2">
        <v>4</v>
      </c>
      <c r="GH92" s="2">
        <v>4</v>
      </c>
      <c r="GI92" s="2">
        <v>4</v>
      </c>
      <c r="GJ92" s="2">
        <v>4</v>
      </c>
      <c r="GK92" s="2">
        <v>3</v>
      </c>
      <c r="GM92" s="2">
        <f t="shared" si="0"/>
        <v>20</v>
      </c>
      <c r="GN92" s="2">
        <f t="shared" si="1"/>
        <v>19</v>
      </c>
      <c r="GO92" s="2"/>
      <c r="GP92" s="2">
        <v>2</v>
      </c>
      <c r="GQ92" s="2">
        <v>2</v>
      </c>
      <c r="GR92" s="2">
        <v>0</v>
      </c>
      <c r="GS92" s="2">
        <v>1</v>
      </c>
      <c r="GU92" s="2">
        <v>2</v>
      </c>
      <c r="GV92" s="2">
        <v>1</v>
      </c>
      <c r="GW92" s="2">
        <v>1</v>
      </c>
      <c r="GY92" s="2">
        <v>2</v>
      </c>
      <c r="GZ92" s="2">
        <v>0</v>
      </c>
      <c r="HA92" s="2">
        <v>0</v>
      </c>
      <c r="HB92" s="2">
        <v>1</v>
      </c>
      <c r="HD92" s="2">
        <v>1</v>
      </c>
      <c r="HE92" s="2">
        <v>0</v>
      </c>
      <c r="HF92" s="2">
        <v>1</v>
      </c>
      <c r="HH92" s="2">
        <f t="shared" si="2"/>
        <v>9</v>
      </c>
      <c r="HI92" s="2">
        <f t="shared" si="3"/>
        <v>5</v>
      </c>
      <c r="HJ92" s="2"/>
      <c r="HK92" s="2">
        <v>8</v>
      </c>
      <c r="HL92" s="2">
        <v>8</v>
      </c>
      <c r="HM92" s="2"/>
      <c r="HN92" s="2"/>
    </row>
    <row r="93" spans="1:222" ht="15.75" customHeight="1" x14ac:dyDescent="0.2">
      <c r="A93" s="3" t="e">
        <f>VLOOKUP(B93,#REF!,1,FALSE)</f>
        <v>#REF!</v>
      </c>
      <c r="B93" s="3">
        <v>44643.058615960646</v>
      </c>
      <c r="C93" s="2">
        <v>101</v>
      </c>
      <c r="D93" s="2" t="s">
        <v>185</v>
      </c>
      <c r="E93" s="2">
        <v>0</v>
      </c>
      <c r="F93" s="2" t="s">
        <v>232</v>
      </c>
      <c r="G93" s="2">
        <v>15</v>
      </c>
      <c r="H93" s="2">
        <v>2</v>
      </c>
      <c r="I93" s="2">
        <v>1</v>
      </c>
      <c r="J93" s="2">
        <v>4</v>
      </c>
      <c r="K93" s="2">
        <v>0</v>
      </c>
      <c r="L93" s="2">
        <v>5</v>
      </c>
      <c r="M93" s="2" t="s">
        <v>187</v>
      </c>
      <c r="N93" s="2">
        <v>3</v>
      </c>
      <c r="O93" s="2">
        <v>3</v>
      </c>
      <c r="P93" s="2">
        <v>0</v>
      </c>
      <c r="Q93" s="2">
        <v>0</v>
      </c>
      <c r="R93" s="2">
        <v>3</v>
      </c>
      <c r="S93" s="2">
        <v>0</v>
      </c>
      <c r="T93" s="2">
        <v>-1</v>
      </c>
      <c r="U93" s="2">
        <v>-1</v>
      </c>
      <c r="V93" s="2">
        <v>0</v>
      </c>
      <c r="W93" s="2">
        <v>-1</v>
      </c>
      <c r="X93" s="2"/>
      <c r="Y93" s="2">
        <v>-1</v>
      </c>
      <c r="Z93" s="2">
        <v>0</v>
      </c>
      <c r="AA93" s="2">
        <v>1</v>
      </c>
      <c r="AB93" s="2">
        <v>2</v>
      </c>
      <c r="AC93" s="2">
        <v>2</v>
      </c>
      <c r="AD93" s="2">
        <v>2</v>
      </c>
      <c r="AE93" s="2">
        <v>2</v>
      </c>
      <c r="AF93" s="2">
        <v>2</v>
      </c>
      <c r="AG93" s="2">
        <v>2</v>
      </c>
      <c r="AH93" s="2">
        <v>2</v>
      </c>
      <c r="AI93" s="2">
        <v>2</v>
      </c>
      <c r="AJ93" s="2">
        <v>2</v>
      </c>
      <c r="AK93" s="2">
        <v>2</v>
      </c>
      <c r="AL93" s="2">
        <v>2</v>
      </c>
      <c r="AM93" s="2">
        <v>4</v>
      </c>
      <c r="AN93" s="2">
        <v>4</v>
      </c>
      <c r="AO93" s="2">
        <v>5</v>
      </c>
      <c r="AP93" s="2">
        <v>4</v>
      </c>
      <c r="AQ93" s="2">
        <v>4</v>
      </c>
      <c r="AR93" s="2">
        <v>2</v>
      </c>
      <c r="AS93" s="2">
        <v>2</v>
      </c>
      <c r="AT93" s="2">
        <v>1</v>
      </c>
      <c r="AU93" s="2">
        <v>2</v>
      </c>
      <c r="AV93" s="2"/>
      <c r="AW93" s="2">
        <v>2</v>
      </c>
      <c r="AX93" s="2">
        <v>2</v>
      </c>
      <c r="AY93" s="2">
        <v>1</v>
      </c>
      <c r="AZ93" s="2">
        <v>4</v>
      </c>
      <c r="BA93" s="2">
        <v>4</v>
      </c>
      <c r="BB93" s="2">
        <v>4</v>
      </c>
      <c r="BC93" s="2">
        <v>5</v>
      </c>
      <c r="BD93" s="2">
        <v>4</v>
      </c>
      <c r="BE93" s="2">
        <v>2</v>
      </c>
      <c r="BF93" s="2">
        <v>1</v>
      </c>
      <c r="BG93" s="2">
        <v>2</v>
      </c>
      <c r="BH93" s="2">
        <v>1</v>
      </c>
      <c r="BI93" s="2"/>
      <c r="BJ93" s="2">
        <v>2</v>
      </c>
      <c r="BK93" s="2">
        <v>0</v>
      </c>
      <c r="BL93" s="2">
        <v>1</v>
      </c>
      <c r="BM93" s="2">
        <v>7</v>
      </c>
      <c r="BN93" s="2">
        <v>7</v>
      </c>
      <c r="BO93" s="2">
        <v>6</v>
      </c>
      <c r="BP93" s="2"/>
      <c r="BQ93" s="2"/>
      <c r="BR93" s="2"/>
      <c r="BS93" s="2"/>
      <c r="BT93" s="2"/>
      <c r="BU93" s="2"/>
      <c r="BV93" s="2"/>
      <c r="BW93" s="2"/>
      <c r="BX93" s="2" t="s">
        <v>191</v>
      </c>
      <c r="BY93" s="2" t="s">
        <v>190</v>
      </c>
      <c r="BZ93" s="2" t="s">
        <v>190</v>
      </c>
      <c r="CA93" s="2" t="s">
        <v>190</v>
      </c>
      <c r="CB93" s="2" t="s">
        <v>188</v>
      </c>
      <c r="CC93" s="2" t="s">
        <v>191</v>
      </c>
      <c r="CD93" s="2" t="s">
        <v>189</v>
      </c>
      <c r="CE93" s="2" t="s">
        <v>190</v>
      </c>
      <c r="CF93" s="2" t="s">
        <v>191</v>
      </c>
      <c r="CG93" s="2" t="s">
        <v>191</v>
      </c>
      <c r="CH93" s="2" t="s">
        <v>190</v>
      </c>
      <c r="CI93" s="2" t="s">
        <v>189</v>
      </c>
      <c r="CJ93" s="2" t="s">
        <v>190</v>
      </c>
      <c r="CK93" s="2" t="s">
        <v>191</v>
      </c>
      <c r="CL93" s="2" t="s">
        <v>191</v>
      </c>
      <c r="CM93" s="2" t="s">
        <v>192</v>
      </c>
      <c r="CN93" s="2" t="s">
        <v>193</v>
      </c>
      <c r="CO93" s="2" t="s">
        <v>193</v>
      </c>
      <c r="CP93" s="2" t="s">
        <v>193</v>
      </c>
      <c r="CQ93" s="2" t="s">
        <v>193</v>
      </c>
      <c r="CR93" s="2" t="s">
        <v>193</v>
      </c>
      <c r="CS93" s="2" t="s">
        <v>200</v>
      </c>
      <c r="CT93" s="2" t="s">
        <v>193</v>
      </c>
      <c r="CU93" s="2" t="s">
        <v>193</v>
      </c>
      <c r="CV93" s="2" t="s">
        <v>193</v>
      </c>
      <c r="CW93" s="2" t="s">
        <v>193</v>
      </c>
      <c r="CX93" s="2" t="s">
        <v>193</v>
      </c>
      <c r="CY93" s="2" t="s">
        <v>192</v>
      </c>
      <c r="CZ93" s="2" t="s">
        <v>192</v>
      </c>
      <c r="DA93" s="2" t="s">
        <v>192</v>
      </c>
      <c r="DB93" s="2" t="s">
        <v>193</v>
      </c>
      <c r="DC93" s="2" t="s">
        <v>192</v>
      </c>
      <c r="DD93" s="2" t="s">
        <v>192</v>
      </c>
      <c r="DE93" s="2" t="s">
        <v>192</v>
      </c>
      <c r="DF93" s="2" t="s">
        <v>193</v>
      </c>
      <c r="DG93" s="2" t="s">
        <v>194</v>
      </c>
      <c r="DH93" s="2" t="s">
        <v>195</v>
      </c>
      <c r="DI93" s="2" t="s">
        <v>195</v>
      </c>
      <c r="DJ93" s="2" t="s">
        <v>195</v>
      </c>
      <c r="DK93" s="2" t="s">
        <v>194</v>
      </c>
      <c r="DL93" s="2" t="s">
        <v>195</v>
      </c>
      <c r="DM93" s="2" t="s">
        <v>195</v>
      </c>
      <c r="DN93" s="2" t="s">
        <v>196</v>
      </c>
      <c r="DO93" s="2" t="s">
        <v>196</v>
      </c>
      <c r="DP93" s="2" t="s">
        <v>194</v>
      </c>
      <c r="DQ93" s="2" t="s">
        <v>194</v>
      </c>
      <c r="DR93" s="2" t="s">
        <v>194</v>
      </c>
      <c r="DS93" s="2" t="s">
        <v>197</v>
      </c>
      <c r="DT93" s="2" t="s">
        <v>199</v>
      </c>
      <c r="DU93" s="2" t="s">
        <v>197</v>
      </c>
      <c r="DV93" s="2" t="s">
        <v>197</v>
      </c>
      <c r="DW93" s="2" t="s">
        <v>199</v>
      </c>
      <c r="DX93" s="2" t="s">
        <v>222</v>
      </c>
      <c r="DY93" s="2" t="s">
        <v>199</v>
      </c>
      <c r="DZ93" s="2"/>
      <c r="EA93" s="2">
        <v>1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1</v>
      </c>
      <c r="EI93" s="2">
        <v>0</v>
      </c>
      <c r="EJ93" s="2">
        <v>1</v>
      </c>
      <c r="EK93" s="2">
        <v>0</v>
      </c>
      <c r="EL93" s="2">
        <v>0</v>
      </c>
      <c r="EM93" s="2">
        <v>1</v>
      </c>
      <c r="EN93" s="2">
        <v>1</v>
      </c>
      <c r="EO93" s="2">
        <v>0</v>
      </c>
      <c r="EP93" s="2">
        <v>0</v>
      </c>
      <c r="EQ93" s="2">
        <v>1</v>
      </c>
      <c r="ER93" s="2">
        <v>0</v>
      </c>
      <c r="ES93" s="2">
        <v>1</v>
      </c>
      <c r="ET93" s="2">
        <v>0</v>
      </c>
      <c r="EU93" s="2">
        <v>1</v>
      </c>
      <c r="EV93" s="2">
        <v>1</v>
      </c>
      <c r="EW93" s="2">
        <v>0</v>
      </c>
      <c r="EX93" s="2">
        <v>0</v>
      </c>
      <c r="EY93" s="2">
        <v>1</v>
      </c>
      <c r="EZ93" s="2">
        <v>1</v>
      </c>
      <c r="FA93" s="2">
        <v>0</v>
      </c>
      <c r="FB93" s="2">
        <v>0</v>
      </c>
      <c r="FC93" s="2">
        <v>1</v>
      </c>
      <c r="FD93" s="2">
        <v>0</v>
      </c>
      <c r="FE93" s="2">
        <v>0</v>
      </c>
      <c r="FF93" s="2">
        <v>1</v>
      </c>
      <c r="FG93" s="2">
        <v>0</v>
      </c>
      <c r="FH93" s="2">
        <v>1</v>
      </c>
      <c r="FI93" s="2">
        <v>0</v>
      </c>
      <c r="FJ93" s="2">
        <v>1</v>
      </c>
      <c r="FK93" s="2">
        <v>0</v>
      </c>
      <c r="FL93" s="2">
        <v>0</v>
      </c>
      <c r="FM93" s="2">
        <v>1</v>
      </c>
      <c r="FN93" s="2">
        <v>1</v>
      </c>
      <c r="FO93" s="2">
        <v>0</v>
      </c>
      <c r="FP93" s="2">
        <v>0</v>
      </c>
      <c r="FQ93" s="2">
        <v>1</v>
      </c>
      <c r="FR93" s="2">
        <v>0</v>
      </c>
      <c r="FS93" s="2">
        <v>1</v>
      </c>
      <c r="FT93" s="2">
        <v>0</v>
      </c>
      <c r="FU93" s="2">
        <v>1</v>
      </c>
      <c r="FV93" s="2">
        <v>0</v>
      </c>
      <c r="FW93" s="2">
        <v>1</v>
      </c>
      <c r="FX93" s="2">
        <v>0</v>
      </c>
      <c r="FY93" s="2">
        <v>1</v>
      </c>
      <c r="FZ93" s="2"/>
      <c r="GA93" s="2">
        <v>4</v>
      </c>
      <c r="GB93" s="2">
        <v>4</v>
      </c>
      <c r="GC93" s="2">
        <v>5</v>
      </c>
      <c r="GD93" s="2">
        <v>4</v>
      </c>
      <c r="GE93" s="2">
        <v>4</v>
      </c>
      <c r="GG93" s="2">
        <v>4</v>
      </c>
      <c r="GH93" s="2">
        <v>4</v>
      </c>
      <c r="GI93" s="2">
        <v>4</v>
      </c>
      <c r="GJ93" s="2">
        <v>5</v>
      </c>
      <c r="GK93" s="2">
        <v>4</v>
      </c>
      <c r="GM93" s="2">
        <f t="shared" si="0"/>
        <v>21</v>
      </c>
      <c r="GN93" s="2">
        <f t="shared" si="1"/>
        <v>21</v>
      </c>
      <c r="GO93" s="2"/>
      <c r="GP93" s="2">
        <v>2</v>
      </c>
      <c r="GQ93" s="2">
        <v>2</v>
      </c>
      <c r="GR93" s="2">
        <v>1</v>
      </c>
      <c r="GS93" s="2">
        <v>2</v>
      </c>
      <c r="GU93" s="2">
        <v>2</v>
      </c>
      <c r="GV93" s="2">
        <v>2</v>
      </c>
      <c r="GW93" s="2">
        <v>1</v>
      </c>
      <c r="GY93" s="2">
        <v>2</v>
      </c>
      <c r="GZ93" s="2">
        <v>1</v>
      </c>
      <c r="HA93" s="2">
        <v>2</v>
      </c>
      <c r="HB93" s="2">
        <v>1</v>
      </c>
      <c r="HD93" s="2">
        <v>2</v>
      </c>
      <c r="HE93" s="2">
        <v>0</v>
      </c>
      <c r="HF93" s="2">
        <v>1</v>
      </c>
      <c r="HH93" s="2">
        <f t="shared" si="2"/>
        <v>12</v>
      </c>
      <c r="HI93" s="2">
        <f t="shared" si="3"/>
        <v>9</v>
      </c>
      <c r="HJ93" s="2"/>
      <c r="HK93" s="2">
        <v>7</v>
      </c>
      <c r="HL93" s="2">
        <v>6</v>
      </c>
      <c r="HM93" s="2"/>
      <c r="HN93" s="2"/>
    </row>
    <row r="94" spans="1:222" ht="15.75" customHeight="1" x14ac:dyDescent="0.2">
      <c r="A94" s="3" t="e">
        <f>VLOOKUP(B94,#REF!,1,FALSE)</f>
        <v>#REF!</v>
      </c>
      <c r="B94" s="3">
        <v>44643.106917777775</v>
      </c>
      <c r="C94" s="2">
        <v>102</v>
      </c>
      <c r="D94" s="2" t="s">
        <v>185</v>
      </c>
      <c r="E94" s="2">
        <v>0</v>
      </c>
      <c r="F94" s="2" t="s">
        <v>186</v>
      </c>
      <c r="G94" s="2">
        <v>2</v>
      </c>
      <c r="H94" s="2">
        <v>2</v>
      </c>
      <c r="I94" s="2">
        <v>1</v>
      </c>
      <c r="J94" s="2">
        <v>1</v>
      </c>
      <c r="K94" s="2">
        <v>0</v>
      </c>
      <c r="L94" s="2">
        <v>3</v>
      </c>
      <c r="M94" s="2" t="s">
        <v>213</v>
      </c>
      <c r="N94" s="2">
        <v>2</v>
      </c>
      <c r="O94" s="2">
        <v>2</v>
      </c>
      <c r="P94" s="2">
        <v>0</v>
      </c>
      <c r="Q94" s="2">
        <v>2</v>
      </c>
      <c r="R94" s="2">
        <v>2</v>
      </c>
      <c r="S94" s="2">
        <v>0</v>
      </c>
      <c r="T94" s="2">
        <v>-1</v>
      </c>
      <c r="U94" s="2">
        <v>1</v>
      </c>
      <c r="V94" s="2">
        <v>-1</v>
      </c>
      <c r="W94" s="2">
        <v>1</v>
      </c>
      <c r="X94" s="2"/>
      <c r="Y94" s="2">
        <v>0</v>
      </c>
      <c r="Z94" s="2">
        <v>1</v>
      </c>
      <c r="AA94" s="2">
        <v>1</v>
      </c>
      <c r="AB94" s="2">
        <v>2</v>
      </c>
      <c r="AC94" s="2">
        <v>1</v>
      </c>
      <c r="AD94" s="2">
        <v>1</v>
      </c>
      <c r="AE94" s="2">
        <v>1</v>
      </c>
      <c r="AF94" s="2">
        <v>1</v>
      </c>
      <c r="AG94" s="2">
        <v>-1</v>
      </c>
      <c r="AH94" s="2">
        <v>-1</v>
      </c>
      <c r="AI94" s="2">
        <v>1</v>
      </c>
      <c r="AJ94" s="2">
        <v>1</v>
      </c>
      <c r="AK94" s="2">
        <v>-2</v>
      </c>
      <c r="AL94" s="2">
        <v>-1</v>
      </c>
      <c r="AM94" s="2">
        <v>3</v>
      </c>
      <c r="AN94" s="2">
        <v>3</v>
      </c>
      <c r="AO94" s="2">
        <v>3</v>
      </c>
      <c r="AP94" s="2">
        <v>3</v>
      </c>
      <c r="AQ94" s="2">
        <v>2</v>
      </c>
      <c r="AR94" s="2">
        <v>1</v>
      </c>
      <c r="AS94" s="2">
        <v>1</v>
      </c>
      <c r="AT94" s="2">
        <v>1</v>
      </c>
      <c r="AU94" s="2">
        <v>1</v>
      </c>
      <c r="AV94" s="2"/>
      <c r="AW94" s="2">
        <v>1</v>
      </c>
      <c r="AX94" s="2">
        <v>3</v>
      </c>
      <c r="AY94" s="2">
        <v>0</v>
      </c>
      <c r="AZ94" s="2">
        <v>3</v>
      </c>
      <c r="BA94" s="2">
        <v>3</v>
      </c>
      <c r="BB94" s="2">
        <v>2</v>
      </c>
      <c r="BC94" s="2">
        <v>2</v>
      </c>
      <c r="BD94" s="2">
        <v>3</v>
      </c>
      <c r="BE94" s="2">
        <v>1</v>
      </c>
      <c r="BF94" s="2">
        <v>1</v>
      </c>
      <c r="BG94" s="2">
        <v>3</v>
      </c>
      <c r="BH94" s="2">
        <v>2</v>
      </c>
      <c r="BI94" s="2"/>
      <c r="BJ94" s="2">
        <v>3</v>
      </c>
      <c r="BK94" s="2">
        <v>3</v>
      </c>
      <c r="BL94" s="2">
        <v>0</v>
      </c>
      <c r="BM94" s="2">
        <v>7</v>
      </c>
      <c r="BN94" s="2">
        <v>6</v>
      </c>
      <c r="BO94" s="2">
        <v>7</v>
      </c>
      <c r="BP94" s="2" t="s">
        <v>448</v>
      </c>
      <c r="BQ94" s="2"/>
      <c r="BR94" s="2"/>
      <c r="BS94" s="2"/>
      <c r="BT94" s="2"/>
      <c r="BU94" s="2"/>
      <c r="BV94" s="2"/>
      <c r="BW94" s="2"/>
      <c r="BX94" s="2" t="s">
        <v>188</v>
      </c>
      <c r="BY94" s="2" t="s">
        <v>191</v>
      </c>
      <c r="BZ94" s="2" t="s">
        <v>188</v>
      </c>
      <c r="CA94" s="2" t="s">
        <v>188</v>
      </c>
      <c r="CB94" s="2" t="s">
        <v>188</v>
      </c>
      <c r="CC94" s="2" t="s">
        <v>188</v>
      </c>
      <c r="CD94" s="2" t="s">
        <v>190</v>
      </c>
      <c r="CE94" s="2" t="s">
        <v>190</v>
      </c>
      <c r="CF94" s="2" t="s">
        <v>190</v>
      </c>
      <c r="CG94" s="2" t="s">
        <v>191</v>
      </c>
      <c r="CH94" s="2" t="s">
        <v>188</v>
      </c>
      <c r="CI94" s="2" t="s">
        <v>188</v>
      </c>
      <c r="CJ94" s="2" t="s">
        <v>191</v>
      </c>
      <c r="CK94" s="2" t="s">
        <v>190</v>
      </c>
      <c r="CL94" s="2" t="s">
        <v>191</v>
      </c>
      <c r="CM94" s="2" t="s">
        <v>193</v>
      </c>
      <c r="CN94" s="2" t="s">
        <v>193</v>
      </c>
      <c r="CO94" s="2" t="s">
        <v>193</v>
      </c>
      <c r="CP94" s="2" t="s">
        <v>200</v>
      </c>
      <c r="CQ94" s="2" t="s">
        <v>192</v>
      </c>
      <c r="CR94" s="2" t="s">
        <v>200</v>
      </c>
      <c r="CS94" s="2" t="s">
        <v>200</v>
      </c>
      <c r="CT94" s="2" t="s">
        <v>200</v>
      </c>
      <c r="CU94" s="2" t="s">
        <v>192</v>
      </c>
      <c r="CV94" s="2" t="s">
        <v>192</v>
      </c>
      <c r="CW94" s="2" t="s">
        <v>192</v>
      </c>
      <c r="CX94" s="2" t="s">
        <v>200</v>
      </c>
      <c r="CY94" s="2" t="s">
        <v>192</v>
      </c>
      <c r="CZ94" s="2" t="s">
        <v>192</v>
      </c>
      <c r="DA94" s="2" t="s">
        <v>200</v>
      </c>
      <c r="DB94" s="2" t="s">
        <v>192</v>
      </c>
      <c r="DC94" s="2" t="s">
        <v>192</v>
      </c>
      <c r="DD94" s="2" t="s">
        <v>200</v>
      </c>
      <c r="DE94" s="2" t="s">
        <v>192</v>
      </c>
      <c r="DF94" s="2" t="s">
        <v>193</v>
      </c>
      <c r="DG94" s="2" t="s">
        <v>196</v>
      </c>
      <c r="DH94" s="2" t="s">
        <v>195</v>
      </c>
      <c r="DI94" s="2" t="s">
        <v>195</v>
      </c>
      <c r="DJ94" s="2" t="s">
        <v>195</v>
      </c>
      <c r="DK94" s="2" t="s">
        <v>194</v>
      </c>
      <c r="DL94" s="2" t="s">
        <v>195</v>
      </c>
      <c r="DM94" s="2" t="s">
        <v>194</v>
      </c>
      <c r="DN94" s="2" t="s">
        <v>194</v>
      </c>
      <c r="DO94" s="2" t="s">
        <v>194</v>
      </c>
      <c r="DP94" s="2" t="s">
        <v>194</v>
      </c>
      <c r="DQ94" s="2" t="s">
        <v>195</v>
      </c>
      <c r="DR94" s="2" t="s">
        <v>195</v>
      </c>
      <c r="DS94" s="2" t="s">
        <v>197</v>
      </c>
      <c r="DT94" s="2" t="s">
        <v>197</v>
      </c>
      <c r="DU94" s="2" t="s">
        <v>198</v>
      </c>
      <c r="DV94" s="2" t="s">
        <v>197</v>
      </c>
      <c r="DW94" s="2" t="s">
        <v>198</v>
      </c>
      <c r="DX94" s="2" t="s">
        <v>198</v>
      </c>
      <c r="DY94" s="2" t="s">
        <v>197</v>
      </c>
      <c r="DZ94" s="2"/>
      <c r="EA94" s="2">
        <v>0</v>
      </c>
      <c r="EB94" s="2">
        <v>1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1</v>
      </c>
      <c r="EI94" s="2">
        <v>0</v>
      </c>
      <c r="EJ94" s="2">
        <v>0</v>
      </c>
      <c r="EK94" s="2">
        <v>1</v>
      </c>
      <c r="EL94" s="2">
        <v>0</v>
      </c>
      <c r="EM94" s="2">
        <v>1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1</v>
      </c>
      <c r="EV94" s="2">
        <v>0</v>
      </c>
      <c r="EW94" s="2">
        <v>1</v>
      </c>
      <c r="EX94" s="2">
        <v>0</v>
      </c>
      <c r="EY94" s="2">
        <v>0</v>
      </c>
      <c r="EZ94" s="2">
        <v>0</v>
      </c>
      <c r="FA94" s="2">
        <v>1</v>
      </c>
      <c r="FB94" s="2">
        <v>0</v>
      </c>
      <c r="FC94" s="2">
        <v>1</v>
      </c>
      <c r="FD94" s="2">
        <v>0</v>
      </c>
      <c r="FE94" s="2">
        <v>0</v>
      </c>
      <c r="FF94" s="2">
        <v>1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1</v>
      </c>
      <c r="FM94" s="2">
        <v>0</v>
      </c>
      <c r="FN94" s="2">
        <v>1</v>
      </c>
      <c r="FO94" s="2">
        <v>0</v>
      </c>
      <c r="FP94" s="2">
        <v>0</v>
      </c>
      <c r="FQ94" s="2">
        <v>1</v>
      </c>
      <c r="FR94" s="2">
        <v>1</v>
      </c>
      <c r="FS94" s="2">
        <v>1</v>
      </c>
      <c r="FT94" s="2">
        <v>0</v>
      </c>
      <c r="FU94" s="2">
        <v>1</v>
      </c>
      <c r="FV94" s="2">
        <v>0</v>
      </c>
      <c r="FW94" s="2">
        <v>1</v>
      </c>
      <c r="FX94" s="2">
        <v>1</v>
      </c>
      <c r="FY94" s="2">
        <v>0</v>
      </c>
      <c r="FZ94" s="2"/>
      <c r="GA94" s="2">
        <v>3</v>
      </c>
      <c r="GB94" s="2">
        <v>3</v>
      </c>
      <c r="GC94" s="2">
        <v>3</v>
      </c>
      <c r="GD94" s="2">
        <v>3</v>
      </c>
      <c r="GE94" s="2">
        <v>2</v>
      </c>
      <c r="GG94" s="2">
        <v>3</v>
      </c>
      <c r="GH94" s="2">
        <v>3</v>
      </c>
      <c r="GI94" s="2">
        <v>2</v>
      </c>
      <c r="GJ94" s="2">
        <v>2</v>
      </c>
      <c r="GK94" s="2">
        <v>3</v>
      </c>
      <c r="GM94" s="2">
        <f t="shared" si="0"/>
        <v>14</v>
      </c>
      <c r="GN94" s="2">
        <f t="shared" si="1"/>
        <v>13</v>
      </c>
      <c r="GO94" s="2"/>
      <c r="GP94" s="2">
        <v>1</v>
      </c>
      <c r="GQ94" s="2">
        <v>1</v>
      </c>
      <c r="GR94" s="2">
        <v>1</v>
      </c>
      <c r="GS94" s="2">
        <v>1</v>
      </c>
      <c r="GU94" s="2">
        <v>1</v>
      </c>
      <c r="GV94" s="2">
        <v>3</v>
      </c>
      <c r="GW94" s="2">
        <v>0</v>
      </c>
      <c r="GY94" s="2">
        <v>1</v>
      </c>
      <c r="GZ94" s="2">
        <v>1</v>
      </c>
      <c r="HA94" s="2">
        <v>3</v>
      </c>
      <c r="HB94" s="2">
        <v>2</v>
      </c>
      <c r="HD94" s="2">
        <v>3</v>
      </c>
      <c r="HE94" s="2">
        <v>3</v>
      </c>
      <c r="HF94" s="2">
        <v>0</v>
      </c>
      <c r="HH94" s="2">
        <f t="shared" si="2"/>
        <v>8</v>
      </c>
      <c r="HI94" s="2">
        <f t="shared" si="3"/>
        <v>13</v>
      </c>
      <c r="HJ94" s="2"/>
      <c r="HK94" s="2">
        <v>6</v>
      </c>
      <c r="HL94" s="2">
        <v>7</v>
      </c>
      <c r="HM94" s="2"/>
      <c r="HN94" s="2"/>
    </row>
    <row r="95" spans="1:222" ht="15.75" customHeight="1" x14ac:dyDescent="0.2">
      <c r="A95" s="3" t="e">
        <f>VLOOKUP(B95,#REF!,1,FALSE)</f>
        <v>#REF!</v>
      </c>
      <c r="B95" s="3">
        <v>44643.330890011574</v>
      </c>
      <c r="C95" s="2">
        <v>103</v>
      </c>
      <c r="D95" s="2" t="s">
        <v>185</v>
      </c>
      <c r="E95" s="2">
        <v>0</v>
      </c>
      <c r="F95" s="2" t="s">
        <v>186</v>
      </c>
      <c r="G95" s="2">
        <v>0.5</v>
      </c>
      <c r="H95" s="2">
        <v>2</v>
      </c>
      <c r="I95" s="2">
        <v>1</v>
      </c>
      <c r="J95" s="2">
        <v>4</v>
      </c>
      <c r="K95" s="2">
        <v>0</v>
      </c>
      <c r="L95" s="2">
        <v>3</v>
      </c>
      <c r="M95" s="2" t="s">
        <v>187</v>
      </c>
      <c r="N95" s="2">
        <v>2</v>
      </c>
      <c r="O95" s="2">
        <v>3</v>
      </c>
      <c r="P95" s="2">
        <v>0</v>
      </c>
      <c r="Q95" s="2">
        <v>0</v>
      </c>
      <c r="R95" s="2">
        <v>2</v>
      </c>
      <c r="S95" s="2">
        <v>0</v>
      </c>
      <c r="T95" s="2">
        <v>-1</v>
      </c>
      <c r="U95" s="2">
        <v>0</v>
      </c>
      <c r="V95" s="2">
        <v>-1</v>
      </c>
      <c r="W95" s="2">
        <v>-1</v>
      </c>
      <c r="X95" s="2"/>
      <c r="Y95" s="2">
        <v>0</v>
      </c>
      <c r="Z95" s="2">
        <v>1</v>
      </c>
      <c r="AA95" s="2">
        <v>0</v>
      </c>
      <c r="AB95" s="2">
        <v>1</v>
      </c>
      <c r="AC95" s="2">
        <v>1</v>
      </c>
      <c r="AD95" s="2">
        <v>2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4</v>
      </c>
      <c r="AN95" s="2">
        <v>4</v>
      </c>
      <c r="AO95" s="2">
        <v>4</v>
      </c>
      <c r="AP95" s="2">
        <v>3</v>
      </c>
      <c r="AQ95" s="2">
        <v>3</v>
      </c>
      <c r="AR95" s="2">
        <v>3</v>
      </c>
      <c r="AS95" s="2">
        <v>1</v>
      </c>
      <c r="AT95" s="2">
        <v>2</v>
      </c>
      <c r="AU95" s="2">
        <v>2</v>
      </c>
      <c r="AV95" s="2"/>
      <c r="AW95" s="2">
        <v>2</v>
      </c>
      <c r="AX95" s="2">
        <v>1</v>
      </c>
      <c r="AY95" s="2">
        <v>1</v>
      </c>
      <c r="AZ95" s="2">
        <v>3</v>
      </c>
      <c r="BA95" s="2">
        <v>3</v>
      </c>
      <c r="BB95" s="2">
        <v>2</v>
      </c>
      <c r="BC95" s="2">
        <v>3</v>
      </c>
      <c r="BD95" s="2">
        <v>2</v>
      </c>
      <c r="BE95" s="2">
        <v>2</v>
      </c>
      <c r="BF95" s="2">
        <v>2</v>
      </c>
      <c r="BG95" s="2">
        <v>2</v>
      </c>
      <c r="BH95" s="2">
        <v>2</v>
      </c>
      <c r="BI95" s="2"/>
      <c r="BJ95" s="2">
        <v>2</v>
      </c>
      <c r="BK95" s="2">
        <v>2</v>
      </c>
      <c r="BL95" s="2">
        <v>1</v>
      </c>
      <c r="BM95" s="2">
        <v>8</v>
      </c>
      <c r="BN95" s="2">
        <v>7</v>
      </c>
      <c r="BO95" s="2">
        <v>6</v>
      </c>
      <c r="BP95" s="2"/>
      <c r="BQ95" s="2"/>
      <c r="BR95" s="2"/>
      <c r="BS95" s="2"/>
      <c r="BT95" s="2"/>
      <c r="BU95" s="2"/>
      <c r="BV95" s="2"/>
      <c r="BW95" s="2"/>
      <c r="BX95" s="2" t="s">
        <v>191</v>
      </c>
      <c r="BY95" s="2" t="s">
        <v>189</v>
      </c>
      <c r="BZ95" s="2" t="s">
        <v>189</v>
      </c>
      <c r="CA95" s="2" t="s">
        <v>190</v>
      </c>
      <c r="CB95" s="2" t="s">
        <v>191</v>
      </c>
      <c r="CC95" s="2" t="s">
        <v>191</v>
      </c>
      <c r="CD95" s="2" t="s">
        <v>189</v>
      </c>
      <c r="CE95" s="2" t="s">
        <v>189</v>
      </c>
      <c r="CF95" s="2" t="s">
        <v>190</v>
      </c>
      <c r="CG95" s="2" t="s">
        <v>190</v>
      </c>
      <c r="CH95" s="2" t="s">
        <v>190</v>
      </c>
      <c r="CI95" s="2" t="s">
        <v>190</v>
      </c>
      <c r="CJ95" s="2" t="s">
        <v>189</v>
      </c>
      <c r="CK95" s="2" t="s">
        <v>190</v>
      </c>
      <c r="CL95" s="2" t="s">
        <v>189</v>
      </c>
      <c r="CM95" s="2" t="s">
        <v>200</v>
      </c>
      <c r="CN95" s="2" t="s">
        <v>200</v>
      </c>
      <c r="CO95" s="2" t="s">
        <v>200</v>
      </c>
      <c r="CP95" s="2" t="s">
        <v>200</v>
      </c>
      <c r="CQ95" s="2" t="s">
        <v>200</v>
      </c>
      <c r="CR95" s="2" t="s">
        <v>200</v>
      </c>
      <c r="CS95" s="2" t="s">
        <v>200</v>
      </c>
      <c r="CT95" s="2" t="s">
        <v>200</v>
      </c>
      <c r="CU95" s="2" t="s">
        <v>200</v>
      </c>
      <c r="CV95" s="2" t="s">
        <v>200</v>
      </c>
      <c r="CW95" s="2" t="s">
        <v>200</v>
      </c>
      <c r="CX95" s="2" t="s">
        <v>200</v>
      </c>
      <c r="CY95" s="2" t="s">
        <v>200</v>
      </c>
      <c r="CZ95" s="2" t="s">
        <v>200</v>
      </c>
      <c r="DA95" s="2" t="s">
        <v>200</v>
      </c>
      <c r="DB95" s="2" t="s">
        <v>200</v>
      </c>
      <c r="DC95" s="2" t="s">
        <v>200</v>
      </c>
      <c r="DD95" s="2" t="s">
        <v>200</v>
      </c>
      <c r="DE95" s="2" t="s">
        <v>200</v>
      </c>
      <c r="DF95" s="2" t="s">
        <v>200</v>
      </c>
      <c r="DG95" s="2" t="s">
        <v>194</v>
      </c>
      <c r="DH95" s="2" t="s">
        <v>194</v>
      </c>
      <c r="DI95" s="2" t="s">
        <v>194</v>
      </c>
      <c r="DJ95" s="2" t="s">
        <v>194</v>
      </c>
      <c r="DK95" s="2" t="s">
        <v>196</v>
      </c>
      <c r="DL95" s="2" t="s">
        <v>194</v>
      </c>
      <c r="DM95" s="2" t="s">
        <v>194</v>
      </c>
      <c r="DN95" s="2" t="s">
        <v>194</v>
      </c>
      <c r="DO95" s="2" t="s">
        <v>194</v>
      </c>
      <c r="DP95" s="2" t="s">
        <v>194</v>
      </c>
      <c r="DQ95" s="2" t="s">
        <v>194</v>
      </c>
      <c r="DR95" s="2" t="s">
        <v>194</v>
      </c>
      <c r="DS95" s="2" t="s">
        <v>199</v>
      </c>
      <c r="DT95" s="2" t="s">
        <v>199</v>
      </c>
      <c r="DU95" s="2" t="s">
        <v>199</v>
      </c>
      <c r="DV95" s="2" t="s">
        <v>199</v>
      </c>
      <c r="DW95" s="2" t="s">
        <v>199</v>
      </c>
      <c r="DX95" s="2" t="s">
        <v>199</v>
      </c>
      <c r="DY95" s="2" t="s">
        <v>199</v>
      </c>
      <c r="DZ95" s="2"/>
      <c r="EA95" s="2">
        <v>1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1</v>
      </c>
      <c r="EI95" s="2">
        <v>0</v>
      </c>
      <c r="EJ95" s="2">
        <v>1</v>
      </c>
      <c r="EK95" s="2">
        <v>0</v>
      </c>
      <c r="EL95" s="2">
        <v>1</v>
      </c>
      <c r="EM95" s="2">
        <v>0</v>
      </c>
      <c r="EN95" s="2">
        <v>1</v>
      </c>
      <c r="EO95" s="2">
        <v>0</v>
      </c>
      <c r="EP95" s="2">
        <v>1</v>
      </c>
      <c r="EQ95" s="2">
        <v>1</v>
      </c>
      <c r="ER95" s="2">
        <v>1</v>
      </c>
      <c r="ES95" s="2">
        <v>1</v>
      </c>
      <c r="ET95" s="2">
        <v>1</v>
      </c>
      <c r="EU95" s="2">
        <v>0</v>
      </c>
      <c r="EV95" s="2">
        <v>0</v>
      </c>
      <c r="EW95" s="2">
        <v>0</v>
      </c>
      <c r="EX95" s="2">
        <v>1</v>
      </c>
      <c r="EY95" s="2">
        <v>0</v>
      </c>
      <c r="EZ95" s="2">
        <v>1</v>
      </c>
      <c r="FA95" s="2">
        <v>0</v>
      </c>
      <c r="FB95" s="2">
        <v>1</v>
      </c>
      <c r="FC95" s="2">
        <v>0</v>
      </c>
      <c r="FD95" s="2">
        <v>0</v>
      </c>
      <c r="FE95" s="2">
        <v>0</v>
      </c>
      <c r="FF95" s="2">
        <v>1</v>
      </c>
      <c r="FG95" s="2">
        <v>0</v>
      </c>
      <c r="FH95" s="2">
        <v>0</v>
      </c>
      <c r="FI95" s="2">
        <v>1</v>
      </c>
      <c r="FJ95" s="2">
        <v>1</v>
      </c>
      <c r="FK95" s="2">
        <v>0</v>
      </c>
      <c r="FL95" s="2">
        <v>1</v>
      </c>
      <c r="FM95" s="2">
        <v>0</v>
      </c>
      <c r="FN95" s="2">
        <v>1</v>
      </c>
      <c r="FO95" s="2">
        <v>0</v>
      </c>
      <c r="FP95" s="2">
        <v>1</v>
      </c>
      <c r="FQ95" s="2">
        <v>1</v>
      </c>
      <c r="FR95" s="2">
        <v>1</v>
      </c>
      <c r="FS95" s="2">
        <v>0</v>
      </c>
      <c r="FT95" s="2">
        <v>1</v>
      </c>
      <c r="FU95" s="2">
        <v>1</v>
      </c>
      <c r="FV95" s="2">
        <v>1</v>
      </c>
      <c r="FW95" s="2">
        <v>1</v>
      </c>
      <c r="FX95" s="2">
        <v>1</v>
      </c>
      <c r="FY95" s="2">
        <v>0</v>
      </c>
      <c r="FZ95" s="2"/>
      <c r="GA95" s="2">
        <v>4</v>
      </c>
      <c r="GB95" s="2">
        <v>4</v>
      </c>
      <c r="GC95" s="2">
        <v>4</v>
      </c>
      <c r="GD95" s="2">
        <v>3</v>
      </c>
      <c r="GE95" s="2">
        <v>3</v>
      </c>
      <c r="GG95" s="2">
        <v>3</v>
      </c>
      <c r="GH95" s="2">
        <v>3</v>
      </c>
      <c r="GI95" s="2">
        <v>2</v>
      </c>
      <c r="GJ95" s="2">
        <v>3</v>
      </c>
      <c r="GK95" s="2">
        <v>2</v>
      </c>
      <c r="GM95" s="2">
        <f t="shared" si="0"/>
        <v>18</v>
      </c>
      <c r="GN95" s="2">
        <f t="shared" si="1"/>
        <v>13</v>
      </c>
      <c r="GO95" s="2"/>
      <c r="GP95" s="2">
        <v>3</v>
      </c>
      <c r="GQ95" s="2">
        <v>1</v>
      </c>
      <c r="GR95" s="2">
        <v>2</v>
      </c>
      <c r="GS95" s="2">
        <v>2</v>
      </c>
      <c r="GU95" s="2">
        <v>2</v>
      </c>
      <c r="GV95" s="2">
        <v>1</v>
      </c>
      <c r="GW95" s="2">
        <v>1</v>
      </c>
      <c r="GY95" s="2">
        <v>2</v>
      </c>
      <c r="GZ95" s="2">
        <v>2</v>
      </c>
      <c r="HA95" s="2">
        <v>2</v>
      </c>
      <c r="HB95" s="2">
        <v>2</v>
      </c>
      <c r="HD95" s="2">
        <v>2</v>
      </c>
      <c r="HE95" s="2">
        <v>2</v>
      </c>
      <c r="HF95" s="2">
        <v>1</v>
      </c>
      <c r="HH95" s="2">
        <f t="shared" si="2"/>
        <v>12</v>
      </c>
      <c r="HI95" s="2">
        <f t="shared" si="3"/>
        <v>13</v>
      </c>
      <c r="HJ95" s="2"/>
      <c r="HK95" s="2">
        <v>7</v>
      </c>
      <c r="HL95" s="2">
        <v>6</v>
      </c>
      <c r="HM95" s="2"/>
      <c r="HN95" s="2"/>
    </row>
    <row r="96" spans="1:222" ht="15.75" customHeight="1" x14ac:dyDescent="0.2">
      <c r="A96" s="3" t="e">
        <f>VLOOKUP(B96,#REF!,1,FALSE)</f>
        <v>#REF!</v>
      </c>
      <c r="B96" s="3">
        <v>44643.343316944447</v>
      </c>
      <c r="C96" s="2">
        <v>104</v>
      </c>
      <c r="D96" s="2" t="s">
        <v>185</v>
      </c>
      <c r="E96" s="2">
        <v>0</v>
      </c>
      <c r="F96" s="2" t="s">
        <v>449</v>
      </c>
      <c r="G96" s="2">
        <v>15</v>
      </c>
      <c r="H96" s="2">
        <v>0.5</v>
      </c>
      <c r="I96" s="2">
        <v>1</v>
      </c>
      <c r="J96" s="2">
        <v>2</v>
      </c>
      <c r="K96" s="2">
        <v>0</v>
      </c>
      <c r="L96" s="2">
        <v>5</v>
      </c>
      <c r="M96" s="2" t="s">
        <v>187</v>
      </c>
      <c r="N96" s="2">
        <v>2</v>
      </c>
      <c r="O96" s="2">
        <v>5</v>
      </c>
      <c r="P96" s="2">
        <v>0</v>
      </c>
      <c r="Q96" s="2" t="s">
        <v>422</v>
      </c>
      <c r="R96" s="2">
        <v>4</v>
      </c>
      <c r="S96" s="2">
        <v>1</v>
      </c>
      <c r="T96" s="2">
        <v>1</v>
      </c>
      <c r="U96" s="2">
        <v>1</v>
      </c>
      <c r="V96" s="2">
        <v>1</v>
      </c>
      <c r="W96" s="2">
        <v>-1</v>
      </c>
      <c r="X96" s="2"/>
      <c r="Y96" s="2">
        <v>1</v>
      </c>
      <c r="Z96" s="2">
        <v>1</v>
      </c>
      <c r="AA96" s="2">
        <v>1</v>
      </c>
      <c r="AB96" s="2">
        <v>4</v>
      </c>
      <c r="AC96" s="2">
        <v>-99</v>
      </c>
      <c r="AD96" s="2">
        <v>4</v>
      </c>
      <c r="AE96" s="2">
        <v>4</v>
      </c>
      <c r="AF96" s="2">
        <v>4</v>
      </c>
      <c r="AG96" s="2">
        <v>3</v>
      </c>
      <c r="AH96" s="2">
        <v>3</v>
      </c>
      <c r="AI96" s="2">
        <v>3</v>
      </c>
      <c r="AJ96" s="2">
        <v>3</v>
      </c>
      <c r="AK96" s="2">
        <v>-2</v>
      </c>
      <c r="AL96" s="2">
        <v>-2</v>
      </c>
      <c r="AM96" s="2">
        <v>4</v>
      </c>
      <c r="AN96" s="2">
        <v>4</v>
      </c>
      <c r="AO96" s="2">
        <v>4</v>
      </c>
      <c r="AP96" s="2">
        <v>4</v>
      </c>
      <c r="AQ96" s="2">
        <v>4</v>
      </c>
      <c r="AR96" s="2">
        <v>3</v>
      </c>
      <c r="AS96" s="2">
        <v>3</v>
      </c>
      <c r="AT96" s="2">
        <v>3</v>
      </c>
      <c r="AU96" s="2">
        <v>3</v>
      </c>
      <c r="AV96" s="2"/>
      <c r="AW96" s="2">
        <v>3</v>
      </c>
      <c r="AX96" s="2">
        <v>3</v>
      </c>
      <c r="AY96" s="2">
        <v>-3</v>
      </c>
      <c r="AZ96" s="2">
        <v>2</v>
      </c>
      <c r="BA96" s="2">
        <v>2</v>
      </c>
      <c r="BB96" s="2">
        <v>2</v>
      </c>
      <c r="BC96" s="2">
        <v>2</v>
      </c>
      <c r="BD96" s="2">
        <v>2</v>
      </c>
      <c r="BE96" s="2">
        <v>1</v>
      </c>
      <c r="BF96" s="2">
        <v>1</v>
      </c>
      <c r="BG96" s="2">
        <v>1</v>
      </c>
      <c r="BH96" s="2">
        <v>1</v>
      </c>
      <c r="BI96" s="2"/>
      <c r="BJ96" s="2">
        <v>1</v>
      </c>
      <c r="BK96" s="2">
        <v>1</v>
      </c>
      <c r="BL96" s="2"/>
      <c r="BM96" s="2">
        <v>1</v>
      </c>
      <c r="BN96" s="2">
        <v>1</v>
      </c>
      <c r="BO96" s="2">
        <v>2</v>
      </c>
      <c r="BP96" s="2" t="s">
        <v>224</v>
      </c>
      <c r="BQ96" s="2"/>
      <c r="BR96" s="2"/>
      <c r="BS96" s="2"/>
      <c r="BT96" s="2"/>
      <c r="BU96" s="2" t="s">
        <v>224</v>
      </c>
      <c r="BV96" s="2"/>
      <c r="BW96" s="2"/>
      <c r="BX96" s="2" t="s">
        <v>189</v>
      </c>
      <c r="BY96" s="2" t="s">
        <v>189</v>
      </c>
      <c r="BZ96" s="2" t="s">
        <v>189</v>
      </c>
      <c r="CA96" s="2" t="s">
        <v>189</v>
      </c>
      <c r="CB96" s="2" t="s">
        <v>189</v>
      </c>
      <c r="CC96" s="2" t="s">
        <v>189</v>
      </c>
      <c r="CD96" s="2" t="s">
        <v>189</v>
      </c>
      <c r="CE96" s="2" t="s">
        <v>191</v>
      </c>
      <c r="CF96" s="2" t="s">
        <v>190</v>
      </c>
      <c r="CG96" s="2" t="s">
        <v>191</v>
      </c>
      <c r="CH96" s="2" t="s">
        <v>190</v>
      </c>
      <c r="CI96" s="2" t="s">
        <v>190</v>
      </c>
      <c r="CJ96" s="2" t="s">
        <v>188</v>
      </c>
      <c r="CK96" s="2" t="s">
        <v>191</v>
      </c>
      <c r="CL96" s="2" t="s">
        <v>190</v>
      </c>
      <c r="CM96" s="2" t="s">
        <v>200</v>
      </c>
      <c r="CN96" s="2" t="s">
        <v>200</v>
      </c>
      <c r="CO96" s="2" t="s">
        <v>200</v>
      </c>
      <c r="CP96" s="2" t="s">
        <v>200</v>
      </c>
      <c r="CQ96" s="2" t="s">
        <v>200</v>
      </c>
      <c r="CR96" s="2" t="s">
        <v>200</v>
      </c>
      <c r="CS96" s="2" t="s">
        <v>200</v>
      </c>
      <c r="CT96" s="2" t="s">
        <v>200</v>
      </c>
      <c r="CU96" s="2" t="s">
        <v>200</v>
      </c>
      <c r="CV96" s="2" t="s">
        <v>200</v>
      </c>
      <c r="CW96" s="2" t="s">
        <v>200</v>
      </c>
      <c r="CX96" s="2" t="s">
        <v>200</v>
      </c>
      <c r="CY96" s="2" t="s">
        <v>200</v>
      </c>
      <c r="CZ96" s="2" t="s">
        <v>200</v>
      </c>
      <c r="DA96" s="2" t="s">
        <v>200</v>
      </c>
      <c r="DB96" s="2" t="s">
        <v>200</v>
      </c>
      <c r="DC96" s="2" t="s">
        <v>200</v>
      </c>
      <c r="DD96" s="2" t="s">
        <v>200</v>
      </c>
      <c r="DE96" s="2" t="s">
        <v>200</v>
      </c>
      <c r="DF96" s="2" t="s">
        <v>200</v>
      </c>
      <c r="DG96" s="2" t="s">
        <v>194</v>
      </c>
      <c r="DH96" s="2" t="s">
        <v>195</v>
      </c>
      <c r="DI96" s="2" t="s">
        <v>195</v>
      </c>
      <c r="DJ96" s="2" t="s">
        <v>195</v>
      </c>
      <c r="DK96" s="2" t="s">
        <v>195</v>
      </c>
      <c r="DL96" s="2" t="s">
        <v>195</v>
      </c>
      <c r="DM96" s="2" t="s">
        <v>195</v>
      </c>
      <c r="DN96" s="2" t="s">
        <v>195</v>
      </c>
      <c r="DO96" s="2" t="s">
        <v>194</v>
      </c>
      <c r="DP96" s="2" t="s">
        <v>194</v>
      </c>
      <c r="DQ96" s="2" t="s">
        <v>196</v>
      </c>
      <c r="DR96" s="2" t="s">
        <v>196</v>
      </c>
      <c r="DS96" s="2" t="s">
        <v>198</v>
      </c>
      <c r="DT96" s="2" t="s">
        <v>198</v>
      </c>
      <c r="DU96" s="2" t="s">
        <v>199</v>
      </c>
      <c r="DV96" s="2" t="s">
        <v>199</v>
      </c>
      <c r="DW96" s="2" t="s">
        <v>198</v>
      </c>
      <c r="DX96" s="2" t="s">
        <v>198</v>
      </c>
      <c r="DY96" s="2" t="s">
        <v>198</v>
      </c>
      <c r="DZ96" s="2"/>
      <c r="EA96" s="2">
        <v>0</v>
      </c>
      <c r="EB96" s="2">
        <v>0</v>
      </c>
      <c r="EC96" s="2">
        <v>1</v>
      </c>
      <c r="ED96" s="2">
        <v>1</v>
      </c>
      <c r="EE96" s="2">
        <v>0</v>
      </c>
      <c r="EF96" s="2">
        <v>0</v>
      </c>
      <c r="EG96" s="2">
        <v>0</v>
      </c>
      <c r="EH96" s="2">
        <v>1</v>
      </c>
      <c r="EI96" s="2">
        <v>0</v>
      </c>
      <c r="EJ96" s="2">
        <v>1</v>
      </c>
      <c r="EK96" s="2">
        <v>0</v>
      </c>
      <c r="EL96" s="2">
        <v>1</v>
      </c>
      <c r="EM96" s="2">
        <v>0</v>
      </c>
      <c r="EN96" s="2">
        <v>1</v>
      </c>
      <c r="EO96" s="2">
        <v>0</v>
      </c>
      <c r="EP96" s="2">
        <v>1</v>
      </c>
      <c r="EQ96" s="2">
        <v>0</v>
      </c>
      <c r="ER96" s="2">
        <v>1</v>
      </c>
      <c r="ES96" s="2">
        <v>0</v>
      </c>
      <c r="ET96" s="2">
        <v>1</v>
      </c>
      <c r="EU96" s="2">
        <v>0</v>
      </c>
      <c r="EV96" s="2">
        <v>1</v>
      </c>
      <c r="EW96" s="2">
        <v>0</v>
      </c>
      <c r="EX96" s="2">
        <v>1</v>
      </c>
      <c r="EY96" s="2">
        <v>0</v>
      </c>
      <c r="EZ96" s="2">
        <v>1</v>
      </c>
      <c r="FA96" s="2">
        <v>1</v>
      </c>
      <c r="FB96" s="2">
        <v>1</v>
      </c>
      <c r="FC96" s="2">
        <v>0</v>
      </c>
      <c r="FD96" s="2">
        <v>0</v>
      </c>
      <c r="FE96" s="2">
        <v>0</v>
      </c>
      <c r="FF96" s="2">
        <v>1</v>
      </c>
      <c r="FG96" s="2">
        <v>0</v>
      </c>
      <c r="FH96" s="2">
        <v>1</v>
      </c>
      <c r="FI96" s="2">
        <v>0</v>
      </c>
      <c r="FJ96" s="2">
        <v>1</v>
      </c>
      <c r="FK96" s="2">
        <v>0</v>
      </c>
      <c r="FL96" s="2">
        <v>1</v>
      </c>
      <c r="FM96" s="2">
        <v>0</v>
      </c>
      <c r="FN96" s="2">
        <v>1</v>
      </c>
      <c r="FO96" s="2">
        <v>0</v>
      </c>
      <c r="FP96" s="2">
        <v>1</v>
      </c>
      <c r="FQ96" s="2">
        <v>0</v>
      </c>
      <c r="FR96" s="2">
        <v>1</v>
      </c>
      <c r="FS96" s="2">
        <v>0</v>
      </c>
      <c r="FT96" s="2">
        <v>1</v>
      </c>
      <c r="FU96" s="2">
        <v>0</v>
      </c>
      <c r="FV96" s="2">
        <v>1</v>
      </c>
      <c r="FW96" s="2">
        <v>0</v>
      </c>
      <c r="FX96" s="2">
        <v>1</v>
      </c>
      <c r="FY96" s="2">
        <v>0</v>
      </c>
      <c r="FZ96" s="2"/>
      <c r="GA96" s="2">
        <v>4</v>
      </c>
      <c r="GB96" s="2">
        <v>4</v>
      </c>
      <c r="GC96" s="2">
        <v>4</v>
      </c>
      <c r="GD96" s="2">
        <v>4</v>
      </c>
      <c r="GE96" s="2">
        <v>4</v>
      </c>
      <c r="GG96" s="2">
        <v>2</v>
      </c>
      <c r="GH96" s="2">
        <v>2</v>
      </c>
      <c r="GI96" s="2">
        <v>2</v>
      </c>
      <c r="GJ96" s="2">
        <v>2</v>
      </c>
      <c r="GK96" s="2">
        <v>2</v>
      </c>
      <c r="GM96" s="2">
        <f t="shared" si="0"/>
        <v>20</v>
      </c>
      <c r="GN96" s="2">
        <f t="shared" si="1"/>
        <v>10</v>
      </c>
      <c r="GO96" s="2"/>
      <c r="GP96" s="2">
        <v>3</v>
      </c>
      <c r="GQ96" s="2">
        <v>3</v>
      </c>
      <c r="GR96" s="2">
        <v>3</v>
      </c>
      <c r="GS96" s="2">
        <v>3</v>
      </c>
      <c r="GU96" s="2">
        <v>3</v>
      </c>
      <c r="GV96" s="2">
        <v>3</v>
      </c>
      <c r="GW96" s="2">
        <v>-3</v>
      </c>
      <c r="GY96" s="2">
        <v>1</v>
      </c>
      <c r="GZ96" s="2">
        <v>1</v>
      </c>
      <c r="HA96" s="2">
        <v>1</v>
      </c>
      <c r="HB96" s="2">
        <v>1</v>
      </c>
      <c r="HD96" s="2">
        <v>1</v>
      </c>
      <c r="HE96" s="2">
        <v>1</v>
      </c>
      <c r="HH96" s="2">
        <f t="shared" si="2"/>
        <v>15</v>
      </c>
      <c r="HI96" s="2">
        <f t="shared" si="3"/>
        <v>6</v>
      </c>
      <c r="HJ96" s="2"/>
      <c r="HK96" s="2">
        <v>1</v>
      </c>
      <c r="HL96" s="2">
        <v>2</v>
      </c>
      <c r="HM96" s="2"/>
      <c r="HN96" s="2"/>
    </row>
    <row r="97" spans="1:222" ht="15.75" customHeight="1" x14ac:dyDescent="0.2">
      <c r="A97" s="3" t="e">
        <f>VLOOKUP(B97,#REF!,1,FALSE)</f>
        <v>#REF!</v>
      </c>
      <c r="B97" s="3">
        <v>44643.420768993055</v>
      </c>
      <c r="C97" s="2">
        <v>105</v>
      </c>
      <c r="D97" s="2" t="s">
        <v>185</v>
      </c>
      <c r="E97" s="2">
        <v>0</v>
      </c>
      <c r="F97" s="2" t="s">
        <v>450</v>
      </c>
      <c r="G97" s="2">
        <v>15</v>
      </c>
      <c r="H97" s="2">
        <v>2</v>
      </c>
      <c r="I97" s="2">
        <v>1</v>
      </c>
      <c r="J97" s="2">
        <v>5</v>
      </c>
      <c r="K97" s="2">
        <v>0</v>
      </c>
      <c r="L97" s="2">
        <v>4</v>
      </c>
      <c r="M97" s="2" t="s">
        <v>187</v>
      </c>
      <c r="N97" s="2">
        <v>2</v>
      </c>
      <c r="O97" s="2">
        <v>2</v>
      </c>
      <c r="P97" s="2">
        <v>0</v>
      </c>
      <c r="Q97" s="2">
        <v>0</v>
      </c>
      <c r="R97" s="2">
        <v>3</v>
      </c>
      <c r="S97" s="2">
        <v>0</v>
      </c>
      <c r="T97" s="2">
        <v>-1</v>
      </c>
      <c r="U97" s="2">
        <v>0</v>
      </c>
      <c r="V97" s="2">
        <v>0</v>
      </c>
      <c r="W97" s="2">
        <v>0</v>
      </c>
      <c r="X97" s="2"/>
      <c r="Y97" s="2">
        <v>-1</v>
      </c>
      <c r="Z97" s="2">
        <v>-1</v>
      </c>
      <c r="AA97" s="2">
        <v>1</v>
      </c>
      <c r="AB97" s="2">
        <v>2</v>
      </c>
      <c r="AC97" s="2">
        <v>1</v>
      </c>
      <c r="AD97" s="2">
        <v>1</v>
      </c>
      <c r="AE97" s="2">
        <v>2</v>
      </c>
      <c r="AF97" s="2">
        <v>1</v>
      </c>
      <c r="AG97" s="2">
        <v>-1</v>
      </c>
      <c r="AH97" s="2">
        <v>-1</v>
      </c>
      <c r="AI97" s="2">
        <v>-1</v>
      </c>
      <c r="AJ97" s="2">
        <v>-1</v>
      </c>
      <c r="AK97" s="2">
        <v>-1</v>
      </c>
      <c r="AL97" s="2">
        <v>-1</v>
      </c>
      <c r="AM97" s="2">
        <v>2</v>
      </c>
      <c r="AN97" s="2">
        <v>2</v>
      </c>
      <c r="AO97" s="2">
        <v>2</v>
      </c>
      <c r="AP97" s="2">
        <v>3</v>
      </c>
      <c r="AQ97" s="2">
        <v>2</v>
      </c>
      <c r="AR97" s="2">
        <v>4</v>
      </c>
      <c r="AS97" s="2">
        <v>0</v>
      </c>
      <c r="AT97" s="2">
        <v>3</v>
      </c>
      <c r="AU97" s="2">
        <v>1</v>
      </c>
      <c r="AV97" s="2"/>
      <c r="AW97" s="2">
        <v>2</v>
      </c>
      <c r="AX97" s="2">
        <v>3</v>
      </c>
      <c r="AY97" s="2">
        <v>2</v>
      </c>
      <c r="AZ97" s="2">
        <v>3</v>
      </c>
      <c r="BA97" s="2">
        <v>3</v>
      </c>
      <c r="BB97" s="2">
        <v>3</v>
      </c>
      <c r="BC97" s="2">
        <v>3</v>
      </c>
      <c r="BD97" s="2">
        <v>3</v>
      </c>
      <c r="BE97" s="2">
        <v>4</v>
      </c>
      <c r="BF97" s="2">
        <v>0</v>
      </c>
      <c r="BG97" s="2">
        <v>1</v>
      </c>
      <c r="BH97" s="2">
        <v>1</v>
      </c>
      <c r="BI97" s="2"/>
      <c r="BJ97" s="2">
        <v>1</v>
      </c>
      <c r="BK97" s="2">
        <v>1</v>
      </c>
      <c r="BL97" s="2">
        <v>2</v>
      </c>
      <c r="BM97" s="2">
        <v>6</v>
      </c>
      <c r="BN97" s="2">
        <v>10</v>
      </c>
      <c r="BO97" s="2">
        <v>10</v>
      </c>
      <c r="BP97" s="2" t="s">
        <v>451</v>
      </c>
      <c r="BQ97" s="2" t="s">
        <v>452</v>
      </c>
      <c r="BR97" s="2"/>
      <c r="BS97" s="2"/>
      <c r="BT97" s="2"/>
      <c r="BU97" s="2"/>
      <c r="BV97" s="2" t="s">
        <v>453</v>
      </c>
      <c r="BW97" s="2" t="s">
        <v>454</v>
      </c>
      <c r="BX97" s="2" t="s">
        <v>190</v>
      </c>
      <c r="BY97" s="2" t="s">
        <v>190</v>
      </c>
      <c r="BZ97" s="2" t="s">
        <v>190</v>
      </c>
      <c r="CA97" s="2" t="s">
        <v>190</v>
      </c>
      <c r="CB97" s="2" t="s">
        <v>190</v>
      </c>
      <c r="CC97" s="2" t="s">
        <v>190</v>
      </c>
      <c r="CD97" s="2" t="s">
        <v>189</v>
      </c>
      <c r="CE97" s="2" t="s">
        <v>190</v>
      </c>
      <c r="CF97" s="2" t="s">
        <v>191</v>
      </c>
      <c r="CG97" s="2" t="s">
        <v>191</v>
      </c>
      <c r="CH97" s="2" t="s">
        <v>191</v>
      </c>
      <c r="CI97" s="2" t="s">
        <v>190</v>
      </c>
      <c r="CJ97" s="2" t="s">
        <v>191</v>
      </c>
      <c r="CK97" s="2" t="s">
        <v>190</v>
      </c>
      <c r="CL97" s="2" t="s">
        <v>190</v>
      </c>
      <c r="CM97" s="2" t="s">
        <v>193</v>
      </c>
      <c r="CN97" s="2" t="s">
        <v>200</v>
      </c>
      <c r="CO97" s="2" t="s">
        <v>200</v>
      </c>
      <c r="CP97" s="2" t="s">
        <v>200</v>
      </c>
      <c r="CQ97" s="2" t="s">
        <v>200</v>
      </c>
      <c r="CR97" s="2" t="s">
        <v>200</v>
      </c>
      <c r="CS97" s="2" t="s">
        <v>200</v>
      </c>
      <c r="CT97" s="2" t="s">
        <v>200</v>
      </c>
      <c r="CU97" s="2" t="s">
        <v>200</v>
      </c>
      <c r="CV97" s="2" t="s">
        <v>200</v>
      </c>
      <c r="CW97" s="2" t="s">
        <v>200</v>
      </c>
      <c r="CX97" s="2" t="s">
        <v>193</v>
      </c>
      <c r="CY97" s="2" t="s">
        <v>200</v>
      </c>
      <c r="CZ97" s="2" t="s">
        <v>200</v>
      </c>
      <c r="DA97" s="2" t="s">
        <v>200</v>
      </c>
      <c r="DB97" s="2" t="s">
        <v>200</v>
      </c>
      <c r="DC97" s="2" t="s">
        <v>193</v>
      </c>
      <c r="DD97" s="2" t="s">
        <v>193</v>
      </c>
      <c r="DE97" s="2" t="s">
        <v>193</v>
      </c>
      <c r="DF97" s="2" t="s">
        <v>200</v>
      </c>
      <c r="DG97" s="2" t="s">
        <v>195</v>
      </c>
      <c r="DH97" s="2" t="s">
        <v>194</v>
      </c>
      <c r="DI97" s="2" t="s">
        <v>194</v>
      </c>
      <c r="DJ97" s="2" t="s">
        <v>194</v>
      </c>
      <c r="DK97" s="2" t="s">
        <v>194</v>
      </c>
      <c r="DL97" s="2" t="s">
        <v>194</v>
      </c>
      <c r="DM97" s="2" t="s">
        <v>195</v>
      </c>
      <c r="DN97" s="2" t="s">
        <v>220</v>
      </c>
      <c r="DO97" s="2" t="s">
        <v>220</v>
      </c>
      <c r="DP97" s="2" t="s">
        <v>195</v>
      </c>
      <c r="DQ97" s="2" t="s">
        <v>194</v>
      </c>
      <c r="DR97" s="2" t="s">
        <v>196</v>
      </c>
      <c r="DS97" s="2" t="s">
        <v>197</v>
      </c>
      <c r="DT97" s="2" t="s">
        <v>198</v>
      </c>
      <c r="DU97" s="2" t="s">
        <v>197</v>
      </c>
      <c r="DV97" s="2" t="s">
        <v>198</v>
      </c>
      <c r="DW97" s="2" t="s">
        <v>198</v>
      </c>
      <c r="DX97" s="2" t="s">
        <v>198</v>
      </c>
      <c r="DY97" s="2" t="s">
        <v>199</v>
      </c>
      <c r="DZ97" s="2"/>
      <c r="EA97" s="2">
        <v>1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1</v>
      </c>
      <c r="EI97" s="2">
        <v>0</v>
      </c>
      <c r="EJ97" s="2">
        <v>1</v>
      </c>
      <c r="EK97" s="2">
        <v>0</v>
      </c>
      <c r="EL97" s="2">
        <v>1</v>
      </c>
      <c r="EM97" s="2">
        <v>0</v>
      </c>
      <c r="EN97" s="2">
        <v>1</v>
      </c>
      <c r="EO97" s="2">
        <v>0</v>
      </c>
      <c r="EP97" s="2">
        <v>1</v>
      </c>
      <c r="EQ97" s="2">
        <v>0</v>
      </c>
      <c r="ER97" s="2">
        <v>1</v>
      </c>
      <c r="ES97" s="2">
        <v>0</v>
      </c>
      <c r="ET97" s="2">
        <v>1</v>
      </c>
      <c r="EU97" s="2">
        <v>0</v>
      </c>
      <c r="EV97" s="2">
        <v>1</v>
      </c>
      <c r="EW97" s="2">
        <v>0</v>
      </c>
      <c r="EX97" s="2">
        <v>1</v>
      </c>
      <c r="EY97" s="2">
        <v>0</v>
      </c>
      <c r="EZ97" s="2">
        <v>1</v>
      </c>
      <c r="FA97" s="2">
        <v>0</v>
      </c>
      <c r="FB97" s="2">
        <v>1</v>
      </c>
      <c r="FC97" s="2">
        <v>0</v>
      </c>
      <c r="FD97" s="2">
        <v>0</v>
      </c>
      <c r="FE97" s="2">
        <v>0</v>
      </c>
      <c r="FF97" s="2">
        <v>1</v>
      </c>
      <c r="FG97" s="2">
        <v>0</v>
      </c>
      <c r="FH97" s="2">
        <v>1</v>
      </c>
      <c r="FI97" s="2">
        <v>0</v>
      </c>
      <c r="FJ97" s="2">
        <v>1</v>
      </c>
      <c r="FK97" s="2">
        <v>0</v>
      </c>
      <c r="FL97" s="2">
        <v>1</v>
      </c>
      <c r="FM97" s="2">
        <v>0</v>
      </c>
      <c r="FN97" s="2">
        <v>1</v>
      </c>
      <c r="FO97" s="2">
        <v>0</v>
      </c>
      <c r="FP97" s="2">
        <v>1</v>
      </c>
      <c r="FQ97" s="2">
        <v>0</v>
      </c>
      <c r="FR97" s="2">
        <v>1</v>
      </c>
      <c r="FS97" s="2">
        <v>0</v>
      </c>
      <c r="FT97" s="2">
        <v>1</v>
      </c>
      <c r="FU97" s="2">
        <v>0</v>
      </c>
      <c r="FV97" s="2">
        <v>1</v>
      </c>
      <c r="FW97" s="2">
        <v>0</v>
      </c>
      <c r="FX97" s="2">
        <v>1</v>
      </c>
      <c r="FY97" s="2">
        <v>0</v>
      </c>
      <c r="FZ97" s="2"/>
      <c r="GA97" s="2">
        <v>2</v>
      </c>
      <c r="GB97" s="2">
        <v>2</v>
      </c>
      <c r="GC97" s="2">
        <v>2</v>
      </c>
      <c r="GD97" s="2">
        <v>3</v>
      </c>
      <c r="GE97" s="2">
        <v>2</v>
      </c>
      <c r="GG97" s="2">
        <v>3</v>
      </c>
      <c r="GH97" s="2">
        <v>3</v>
      </c>
      <c r="GI97" s="2">
        <v>3</v>
      </c>
      <c r="GJ97" s="2">
        <v>3</v>
      </c>
      <c r="GK97" s="2">
        <v>3</v>
      </c>
      <c r="GM97" s="2">
        <f t="shared" si="0"/>
        <v>11</v>
      </c>
      <c r="GN97" s="2">
        <f t="shared" si="1"/>
        <v>15</v>
      </c>
      <c r="GO97" s="2"/>
      <c r="GP97" s="2">
        <v>4</v>
      </c>
      <c r="GQ97" s="2">
        <v>0</v>
      </c>
      <c r="GR97" s="2">
        <v>3</v>
      </c>
      <c r="GS97" s="2">
        <v>1</v>
      </c>
      <c r="GU97" s="2">
        <v>2</v>
      </c>
      <c r="GV97" s="2">
        <v>3</v>
      </c>
      <c r="GW97" s="2">
        <v>2</v>
      </c>
      <c r="GY97" s="2">
        <v>4</v>
      </c>
      <c r="GZ97" s="2">
        <v>0</v>
      </c>
      <c r="HA97" s="2">
        <v>1</v>
      </c>
      <c r="HB97" s="2">
        <v>1</v>
      </c>
      <c r="HD97" s="2">
        <v>1</v>
      </c>
      <c r="HE97" s="2">
        <v>1</v>
      </c>
      <c r="HF97" s="2">
        <v>2</v>
      </c>
      <c r="HH97" s="2">
        <f t="shared" si="2"/>
        <v>15</v>
      </c>
      <c r="HI97" s="2">
        <f t="shared" si="3"/>
        <v>10</v>
      </c>
      <c r="HJ97" s="2"/>
      <c r="HK97" s="2">
        <v>10</v>
      </c>
      <c r="HL97" s="2">
        <v>10</v>
      </c>
      <c r="HM97" s="2"/>
      <c r="HN97" s="2"/>
    </row>
    <row r="98" spans="1:222" ht="15.75" customHeight="1" x14ac:dyDescent="0.2">
      <c r="A98" s="3" t="e">
        <f>VLOOKUP(B98,#REF!,1,FALSE)</f>
        <v>#REF!</v>
      </c>
      <c r="B98" s="3">
        <v>44643.456027835651</v>
      </c>
      <c r="C98" s="2">
        <v>106</v>
      </c>
      <c r="D98" s="2" t="s">
        <v>185</v>
      </c>
      <c r="E98" s="2">
        <v>0</v>
      </c>
      <c r="F98" s="2" t="s">
        <v>186</v>
      </c>
      <c r="G98" s="2">
        <v>8</v>
      </c>
      <c r="H98" s="2">
        <v>2</v>
      </c>
      <c r="I98" s="2">
        <v>1</v>
      </c>
      <c r="J98" s="2">
        <v>2</v>
      </c>
      <c r="K98" s="2">
        <v>0</v>
      </c>
      <c r="L98" s="2">
        <v>4</v>
      </c>
      <c r="M98" s="2" t="s">
        <v>187</v>
      </c>
      <c r="N98" s="2">
        <v>2</v>
      </c>
      <c r="O98" s="2">
        <v>3</v>
      </c>
      <c r="P98" s="2">
        <v>0</v>
      </c>
      <c r="Q98" s="2">
        <v>5</v>
      </c>
      <c r="R98" s="2">
        <v>2</v>
      </c>
      <c r="S98" s="2">
        <v>0</v>
      </c>
      <c r="T98" s="2">
        <v>0</v>
      </c>
      <c r="U98" s="2">
        <v>1</v>
      </c>
      <c r="V98" s="2">
        <v>-1</v>
      </c>
      <c r="W98" s="2">
        <v>1</v>
      </c>
      <c r="X98" s="2"/>
      <c r="Y98" s="2">
        <v>1</v>
      </c>
      <c r="Z98" s="2">
        <v>1</v>
      </c>
      <c r="AA98" s="2">
        <v>1</v>
      </c>
      <c r="AB98" s="2">
        <v>2</v>
      </c>
      <c r="AC98" s="2">
        <v>1</v>
      </c>
      <c r="AD98" s="2">
        <v>2</v>
      </c>
      <c r="AE98" s="2">
        <v>1</v>
      </c>
      <c r="AF98" s="2">
        <v>2</v>
      </c>
      <c r="AG98" s="2">
        <v>3</v>
      </c>
      <c r="AH98" s="2">
        <v>3</v>
      </c>
      <c r="AI98" s="2">
        <v>2</v>
      </c>
      <c r="AJ98" s="2">
        <v>2</v>
      </c>
      <c r="AK98" s="2">
        <v>2</v>
      </c>
      <c r="AL98" s="2">
        <v>2</v>
      </c>
      <c r="AM98" s="2">
        <v>2</v>
      </c>
      <c r="AN98" s="2">
        <v>4</v>
      </c>
      <c r="AO98" s="2">
        <v>4</v>
      </c>
      <c r="AP98" s="2">
        <v>3</v>
      </c>
      <c r="AQ98" s="2">
        <v>4</v>
      </c>
      <c r="AR98" s="2">
        <v>2</v>
      </c>
      <c r="AS98" s="2">
        <v>1</v>
      </c>
      <c r="AT98" s="2">
        <v>1</v>
      </c>
      <c r="AU98" s="2">
        <v>1</v>
      </c>
      <c r="AV98" s="2"/>
      <c r="AW98" s="2">
        <v>1</v>
      </c>
      <c r="AX98" s="2">
        <v>1</v>
      </c>
      <c r="AY98" s="2">
        <v>2</v>
      </c>
      <c r="AZ98" s="2">
        <v>3</v>
      </c>
      <c r="BA98" s="2">
        <v>3</v>
      </c>
      <c r="BB98" s="2">
        <v>2</v>
      </c>
      <c r="BC98" s="2">
        <v>4</v>
      </c>
      <c r="BD98" s="2">
        <v>2</v>
      </c>
      <c r="BE98" s="2">
        <v>2</v>
      </c>
      <c r="BF98" s="2">
        <v>1</v>
      </c>
      <c r="BG98" s="2">
        <v>1</v>
      </c>
      <c r="BH98" s="2">
        <v>1</v>
      </c>
      <c r="BI98" s="2"/>
      <c r="BJ98" s="2">
        <v>1</v>
      </c>
      <c r="BK98" s="2">
        <v>1</v>
      </c>
      <c r="BL98" s="2">
        <v>2</v>
      </c>
      <c r="BM98" s="2">
        <v>8</v>
      </c>
      <c r="BN98" s="2">
        <v>8</v>
      </c>
      <c r="BO98" s="2">
        <v>8</v>
      </c>
      <c r="BP98" s="2"/>
      <c r="BQ98" s="2"/>
      <c r="BR98" s="2"/>
      <c r="BS98" s="2"/>
      <c r="BT98" s="2"/>
      <c r="BU98" s="2"/>
      <c r="BV98" s="2" t="s">
        <v>455</v>
      </c>
      <c r="BW98" s="2" t="s">
        <v>456</v>
      </c>
      <c r="BX98" s="2" t="s">
        <v>191</v>
      </c>
      <c r="BY98" s="2" t="s">
        <v>191</v>
      </c>
      <c r="BZ98" s="2" t="s">
        <v>191</v>
      </c>
      <c r="CA98" s="2" t="s">
        <v>190</v>
      </c>
      <c r="CB98" s="2" t="s">
        <v>191</v>
      </c>
      <c r="CC98" s="2" t="s">
        <v>190</v>
      </c>
      <c r="CD98" s="2" t="s">
        <v>189</v>
      </c>
      <c r="CE98" s="2" t="s">
        <v>190</v>
      </c>
      <c r="CF98" s="2" t="s">
        <v>190</v>
      </c>
      <c r="CG98" s="2" t="s">
        <v>190</v>
      </c>
      <c r="CH98" s="2" t="s">
        <v>188</v>
      </c>
      <c r="CI98" s="2" t="s">
        <v>190</v>
      </c>
      <c r="CJ98" s="2" t="s">
        <v>189</v>
      </c>
      <c r="CK98" s="2" t="s">
        <v>190</v>
      </c>
      <c r="CL98" s="2" t="s">
        <v>190</v>
      </c>
      <c r="CM98" s="2" t="s">
        <v>192</v>
      </c>
      <c r="CN98" s="2" t="s">
        <v>192</v>
      </c>
      <c r="CO98" s="2" t="s">
        <v>193</v>
      </c>
      <c r="CP98" s="2" t="s">
        <v>192</v>
      </c>
      <c r="CQ98" s="2" t="s">
        <v>193</v>
      </c>
      <c r="CR98" s="2" t="s">
        <v>192</v>
      </c>
      <c r="CS98" s="2" t="s">
        <v>193</v>
      </c>
      <c r="CT98" s="2" t="s">
        <v>192</v>
      </c>
      <c r="CU98" s="2" t="s">
        <v>192</v>
      </c>
      <c r="CV98" s="2" t="s">
        <v>192</v>
      </c>
      <c r="CW98" s="2" t="s">
        <v>193</v>
      </c>
      <c r="CX98" s="2" t="s">
        <v>193</v>
      </c>
      <c r="CY98" s="2" t="s">
        <v>192</v>
      </c>
      <c r="CZ98" s="2" t="s">
        <v>193</v>
      </c>
      <c r="DA98" s="2" t="s">
        <v>193</v>
      </c>
      <c r="DB98" s="2" t="s">
        <v>192</v>
      </c>
      <c r="DC98" s="2" t="s">
        <v>192</v>
      </c>
      <c r="DD98" s="2" t="s">
        <v>192</v>
      </c>
      <c r="DE98" s="2" t="s">
        <v>192</v>
      </c>
      <c r="DF98" s="2" t="s">
        <v>192</v>
      </c>
      <c r="DG98" s="2" t="s">
        <v>194</v>
      </c>
      <c r="DH98" s="2" t="s">
        <v>195</v>
      </c>
      <c r="DI98" s="2" t="s">
        <v>194</v>
      </c>
      <c r="DJ98" s="2" t="s">
        <v>194</v>
      </c>
      <c r="DK98" s="2" t="s">
        <v>194</v>
      </c>
      <c r="DL98" s="2" t="s">
        <v>194</v>
      </c>
      <c r="DM98" s="2" t="s">
        <v>194</v>
      </c>
      <c r="DN98" s="2" t="s">
        <v>195</v>
      </c>
      <c r="DO98" s="2" t="s">
        <v>195</v>
      </c>
      <c r="DP98" s="2" t="s">
        <v>194</v>
      </c>
      <c r="DQ98" s="2" t="s">
        <v>194</v>
      </c>
      <c r="DR98" s="2" t="s">
        <v>194</v>
      </c>
      <c r="DS98" s="2" t="s">
        <v>197</v>
      </c>
      <c r="DT98" s="2" t="s">
        <v>199</v>
      </c>
      <c r="DU98" s="2" t="s">
        <v>197</v>
      </c>
      <c r="DV98" s="2" t="s">
        <v>197</v>
      </c>
      <c r="DW98" s="2" t="s">
        <v>197</v>
      </c>
      <c r="DX98" s="2" t="s">
        <v>199</v>
      </c>
      <c r="DY98" s="2" t="s">
        <v>197</v>
      </c>
      <c r="DZ98" s="2"/>
      <c r="EA98" s="2">
        <v>0</v>
      </c>
      <c r="EB98" s="2">
        <v>0</v>
      </c>
      <c r="EC98" s="2">
        <v>0</v>
      </c>
      <c r="ED98" s="2">
        <v>1</v>
      </c>
      <c r="EE98" s="2">
        <v>0</v>
      </c>
      <c r="EF98" s="2">
        <v>0</v>
      </c>
      <c r="EG98" s="2">
        <v>0</v>
      </c>
      <c r="EH98" s="2">
        <v>1</v>
      </c>
      <c r="EI98" s="2">
        <v>1</v>
      </c>
      <c r="EJ98" s="2">
        <v>1</v>
      </c>
      <c r="EK98" s="2">
        <v>0</v>
      </c>
      <c r="EL98" s="2">
        <v>1</v>
      </c>
      <c r="EM98" s="2">
        <v>1</v>
      </c>
      <c r="EN98" s="2">
        <v>1</v>
      </c>
      <c r="EO98" s="2">
        <v>0</v>
      </c>
      <c r="EP98" s="2">
        <v>0</v>
      </c>
      <c r="EQ98" s="2">
        <v>1</v>
      </c>
      <c r="ER98" s="2">
        <v>0</v>
      </c>
      <c r="ES98" s="2">
        <v>1</v>
      </c>
      <c r="ET98" s="2">
        <v>0</v>
      </c>
      <c r="EU98" s="2">
        <v>1</v>
      </c>
      <c r="EV98" s="2">
        <v>1</v>
      </c>
      <c r="EW98" s="2">
        <v>0</v>
      </c>
      <c r="EX98" s="2">
        <v>1</v>
      </c>
      <c r="EY98" s="2">
        <v>1</v>
      </c>
      <c r="EZ98" s="2">
        <v>0</v>
      </c>
      <c r="FA98" s="2">
        <v>1</v>
      </c>
      <c r="FB98" s="2">
        <v>1</v>
      </c>
      <c r="FC98" s="2">
        <v>1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1</v>
      </c>
      <c r="FM98" s="2">
        <v>1</v>
      </c>
      <c r="FN98" s="2">
        <v>0</v>
      </c>
      <c r="FO98" s="2">
        <v>1</v>
      </c>
      <c r="FP98" s="2">
        <v>1</v>
      </c>
      <c r="FQ98" s="2">
        <v>1</v>
      </c>
      <c r="FR98" s="2">
        <v>1</v>
      </c>
      <c r="FS98" s="2">
        <v>0</v>
      </c>
      <c r="FT98" s="2">
        <v>1</v>
      </c>
      <c r="FU98" s="2">
        <v>1</v>
      </c>
      <c r="FV98" s="2">
        <v>1</v>
      </c>
      <c r="FW98" s="2">
        <v>1</v>
      </c>
      <c r="FX98" s="2">
        <v>1</v>
      </c>
      <c r="FY98" s="2">
        <v>0</v>
      </c>
      <c r="FZ98" s="2"/>
      <c r="GA98" s="2">
        <v>2</v>
      </c>
      <c r="GB98" s="2">
        <v>4</v>
      </c>
      <c r="GC98" s="2">
        <v>4</v>
      </c>
      <c r="GD98" s="2">
        <v>3</v>
      </c>
      <c r="GE98" s="2">
        <v>4</v>
      </c>
      <c r="GG98" s="2">
        <v>3</v>
      </c>
      <c r="GH98" s="2">
        <v>3</v>
      </c>
      <c r="GI98" s="2">
        <v>2</v>
      </c>
      <c r="GJ98" s="2">
        <v>4</v>
      </c>
      <c r="GK98" s="2">
        <v>2</v>
      </c>
      <c r="GM98" s="2">
        <f t="shared" si="0"/>
        <v>17</v>
      </c>
      <c r="GN98" s="2">
        <f t="shared" si="1"/>
        <v>14</v>
      </c>
      <c r="GO98" s="2"/>
      <c r="GP98" s="2">
        <v>2</v>
      </c>
      <c r="GQ98" s="2">
        <v>1</v>
      </c>
      <c r="GR98" s="2">
        <v>1</v>
      </c>
      <c r="GS98" s="2">
        <v>1</v>
      </c>
      <c r="GU98" s="2">
        <v>1</v>
      </c>
      <c r="GV98" s="2">
        <v>1</v>
      </c>
      <c r="GW98" s="2">
        <v>2</v>
      </c>
      <c r="GY98" s="2">
        <v>2</v>
      </c>
      <c r="GZ98" s="2">
        <v>1</v>
      </c>
      <c r="HA98" s="2">
        <v>1</v>
      </c>
      <c r="HB98" s="2">
        <v>1</v>
      </c>
      <c r="HD98" s="2">
        <v>1</v>
      </c>
      <c r="HE98" s="2">
        <v>1</v>
      </c>
      <c r="HF98" s="2">
        <v>2</v>
      </c>
      <c r="HH98" s="2">
        <f t="shared" si="2"/>
        <v>9</v>
      </c>
      <c r="HI98" s="2">
        <f t="shared" si="3"/>
        <v>9</v>
      </c>
      <c r="HJ98" s="2"/>
      <c r="HK98" s="2">
        <v>8</v>
      </c>
      <c r="HL98" s="2">
        <v>8</v>
      </c>
      <c r="HM98" s="2"/>
      <c r="HN98" s="2"/>
    </row>
    <row r="99" spans="1:222" ht="15.75" customHeight="1" x14ac:dyDescent="0.2">
      <c r="A99" s="3" t="e">
        <f>VLOOKUP(B99,#REF!,1,FALSE)</f>
        <v>#REF!</v>
      </c>
      <c r="B99" s="3">
        <v>44643.544671412033</v>
      </c>
      <c r="C99" s="2">
        <v>107</v>
      </c>
      <c r="D99" s="2" t="s">
        <v>185</v>
      </c>
      <c r="E99" s="2">
        <v>0</v>
      </c>
      <c r="F99" s="2" t="s">
        <v>186</v>
      </c>
      <c r="G99" s="2">
        <v>2</v>
      </c>
      <c r="H99" s="2">
        <v>0.5</v>
      </c>
      <c r="I99" s="2">
        <v>1</v>
      </c>
      <c r="J99" s="2">
        <v>3</v>
      </c>
      <c r="K99" s="2">
        <v>0</v>
      </c>
      <c r="L99" s="2">
        <v>3</v>
      </c>
      <c r="M99" s="2" t="s">
        <v>187</v>
      </c>
      <c r="N99" s="2">
        <v>3</v>
      </c>
      <c r="O99" s="2">
        <v>3</v>
      </c>
      <c r="P99" s="2">
        <v>0</v>
      </c>
      <c r="Q99" s="2" t="s">
        <v>457</v>
      </c>
      <c r="R99" s="2">
        <v>4</v>
      </c>
      <c r="S99" s="2">
        <v>-1</v>
      </c>
      <c r="T99" s="2">
        <v>-1</v>
      </c>
      <c r="U99" s="2">
        <v>0</v>
      </c>
      <c r="V99" s="2">
        <v>-1</v>
      </c>
      <c r="W99" s="2">
        <v>-1</v>
      </c>
      <c r="X99" s="2"/>
      <c r="Y99" s="2">
        <v>-1</v>
      </c>
      <c r="Z99" s="2">
        <v>0</v>
      </c>
      <c r="AA99" s="2">
        <v>1</v>
      </c>
      <c r="AB99" s="2">
        <v>2</v>
      </c>
      <c r="AC99" s="2">
        <v>-99</v>
      </c>
      <c r="AD99" s="2">
        <v>2</v>
      </c>
      <c r="AE99" s="2">
        <v>2</v>
      </c>
      <c r="AF99" s="2">
        <v>2</v>
      </c>
      <c r="AG99" s="2">
        <v>3</v>
      </c>
      <c r="AH99" s="2">
        <v>2</v>
      </c>
      <c r="AI99" s="2">
        <v>2</v>
      </c>
      <c r="AJ99" s="2">
        <v>2</v>
      </c>
      <c r="AK99" s="2">
        <v>2</v>
      </c>
      <c r="AL99" s="2">
        <v>2</v>
      </c>
      <c r="AM99" s="2">
        <v>4</v>
      </c>
      <c r="AN99" s="2">
        <v>4</v>
      </c>
      <c r="AO99" s="2">
        <v>4</v>
      </c>
      <c r="AP99" s="2">
        <v>4</v>
      </c>
      <c r="AQ99" s="2">
        <v>4</v>
      </c>
      <c r="AR99" s="2">
        <v>3</v>
      </c>
      <c r="AS99" s="2">
        <v>1</v>
      </c>
      <c r="AT99" s="2">
        <v>0</v>
      </c>
      <c r="AU99" s="2">
        <v>0</v>
      </c>
      <c r="AV99" s="2"/>
      <c r="AW99" s="2">
        <v>1</v>
      </c>
      <c r="AX99" s="2">
        <v>0</v>
      </c>
      <c r="AY99" s="2">
        <v>1</v>
      </c>
      <c r="AZ99" s="2">
        <v>4</v>
      </c>
      <c r="BA99" s="2">
        <v>4</v>
      </c>
      <c r="BB99" s="2">
        <v>4</v>
      </c>
      <c r="BC99" s="2">
        <v>4</v>
      </c>
      <c r="BD99" s="2">
        <v>4</v>
      </c>
      <c r="BE99" s="2">
        <v>3</v>
      </c>
      <c r="BF99" s="2">
        <v>3</v>
      </c>
      <c r="BG99" s="2">
        <v>1</v>
      </c>
      <c r="BH99" s="2">
        <v>1</v>
      </c>
      <c r="BI99" s="2"/>
      <c r="BJ99" s="2">
        <v>2</v>
      </c>
      <c r="BK99" s="2"/>
      <c r="BL99" s="2">
        <v>2</v>
      </c>
      <c r="BM99" s="2">
        <v>8</v>
      </c>
      <c r="BN99" s="2">
        <v>8</v>
      </c>
      <c r="BO99" s="2">
        <v>8</v>
      </c>
      <c r="BP99" s="2" t="s">
        <v>458</v>
      </c>
      <c r="BQ99" s="2" t="s">
        <v>459</v>
      </c>
      <c r="BR99" s="2"/>
      <c r="BS99" s="2"/>
      <c r="BT99" s="2" t="s">
        <v>262</v>
      </c>
      <c r="BU99" s="2"/>
      <c r="BV99" s="2" t="s">
        <v>460</v>
      </c>
      <c r="BW99" s="2" t="e">
        <f>- ค่าใช้จ่ายภายในบ้านแพงขึ้น
- การประสานงานยากขึ้น</f>
        <v>#NAME?</v>
      </c>
      <c r="BX99" s="2" t="s">
        <v>190</v>
      </c>
      <c r="BY99" s="2" t="s">
        <v>190</v>
      </c>
      <c r="BZ99" s="2" t="s">
        <v>190</v>
      </c>
      <c r="CA99" s="2" t="s">
        <v>190</v>
      </c>
      <c r="CB99" s="2" t="s">
        <v>190</v>
      </c>
      <c r="CC99" s="2" t="s">
        <v>190</v>
      </c>
      <c r="CD99" s="2" t="s">
        <v>189</v>
      </c>
      <c r="CE99" s="2" t="s">
        <v>188</v>
      </c>
      <c r="CF99" s="2" t="s">
        <v>188</v>
      </c>
      <c r="CG99" s="2" t="s">
        <v>190</v>
      </c>
      <c r="CH99" s="2" t="s">
        <v>190</v>
      </c>
      <c r="CI99" s="2" t="s">
        <v>190</v>
      </c>
      <c r="CJ99" s="2" t="s">
        <v>188</v>
      </c>
      <c r="CK99" s="2" t="s">
        <v>189</v>
      </c>
      <c r="CL99" s="2" t="s">
        <v>190</v>
      </c>
      <c r="CM99" s="2" t="s">
        <v>192</v>
      </c>
      <c r="CN99" s="2" t="s">
        <v>192</v>
      </c>
      <c r="CO99" s="2" t="s">
        <v>192</v>
      </c>
      <c r="CP99" s="2" t="s">
        <v>192</v>
      </c>
      <c r="CQ99" s="2" t="s">
        <v>192</v>
      </c>
      <c r="CR99" s="2" t="s">
        <v>200</v>
      </c>
      <c r="CS99" s="2" t="s">
        <v>193</v>
      </c>
      <c r="CT99" s="2" t="s">
        <v>193</v>
      </c>
      <c r="CU99" s="2" t="s">
        <v>192</v>
      </c>
      <c r="CV99" s="2" t="s">
        <v>193</v>
      </c>
      <c r="CW99" s="2" t="s">
        <v>192</v>
      </c>
      <c r="CX99" s="2" t="s">
        <v>193</v>
      </c>
      <c r="CY99" s="2" t="s">
        <v>192</v>
      </c>
      <c r="CZ99" s="2" t="s">
        <v>192</v>
      </c>
      <c r="DA99" s="2" t="s">
        <v>192</v>
      </c>
      <c r="DB99" s="2" t="s">
        <v>192</v>
      </c>
      <c r="DC99" s="2" t="s">
        <v>192</v>
      </c>
      <c r="DD99" s="2" t="s">
        <v>192</v>
      </c>
      <c r="DE99" s="2" t="s">
        <v>193</v>
      </c>
      <c r="DF99" s="2" t="s">
        <v>192</v>
      </c>
      <c r="DG99" s="2" t="s">
        <v>194</v>
      </c>
      <c r="DH99" s="2" t="s">
        <v>194</v>
      </c>
      <c r="DI99" s="2"/>
      <c r="DJ99" s="2" t="s">
        <v>194</v>
      </c>
      <c r="DK99" s="2" t="s">
        <v>194</v>
      </c>
      <c r="DL99" s="2" t="s">
        <v>194</v>
      </c>
      <c r="DM99" s="2" t="s">
        <v>194</v>
      </c>
      <c r="DN99" s="2" t="s">
        <v>196</v>
      </c>
      <c r="DO99" s="2" t="s">
        <v>220</v>
      </c>
      <c r="DP99" s="2" t="s">
        <v>194</v>
      </c>
      <c r="DQ99" s="2" t="s">
        <v>194</v>
      </c>
      <c r="DR99" s="2" t="s">
        <v>194</v>
      </c>
      <c r="DS99" s="2" t="s">
        <v>197</v>
      </c>
      <c r="DT99" s="2" t="s">
        <v>197</v>
      </c>
      <c r="DU99" s="2" t="s">
        <v>197</v>
      </c>
      <c r="DV99" s="2" t="s">
        <v>197</v>
      </c>
      <c r="DW99" s="2" t="s">
        <v>197</v>
      </c>
      <c r="DX99" s="2" t="s">
        <v>199</v>
      </c>
      <c r="DY99" s="2" t="s">
        <v>197</v>
      </c>
      <c r="DZ99" s="2"/>
      <c r="EA99" s="2">
        <v>0</v>
      </c>
      <c r="EB99" s="2">
        <v>1</v>
      </c>
      <c r="EC99" s="2">
        <v>1</v>
      </c>
      <c r="ED99" s="2">
        <v>0</v>
      </c>
      <c r="EE99" s="2">
        <v>1</v>
      </c>
      <c r="EF99" s="2">
        <v>0</v>
      </c>
      <c r="EG99" s="2">
        <v>0</v>
      </c>
      <c r="EH99" s="2">
        <v>0</v>
      </c>
      <c r="EI99" s="2">
        <v>1</v>
      </c>
      <c r="EJ99" s="2">
        <v>1</v>
      </c>
      <c r="EK99" s="2">
        <v>0</v>
      </c>
      <c r="EL99" s="2">
        <v>1</v>
      </c>
      <c r="EM99" s="2">
        <v>0</v>
      </c>
      <c r="EN99" s="2">
        <v>1</v>
      </c>
      <c r="EO99" s="2">
        <v>0</v>
      </c>
      <c r="EP99" s="2">
        <v>1</v>
      </c>
      <c r="EQ99" s="2">
        <v>0</v>
      </c>
      <c r="ER99" s="2">
        <v>0</v>
      </c>
      <c r="ES99" s="2">
        <v>1</v>
      </c>
      <c r="ET99" s="2">
        <v>0</v>
      </c>
      <c r="EU99" s="2">
        <v>1</v>
      </c>
      <c r="EV99" s="2">
        <v>1</v>
      </c>
      <c r="EW99" s="2">
        <v>0</v>
      </c>
      <c r="EX99" s="2">
        <v>0</v>
      </c>
      <c r="EY99" s="2">
        <v>1</v>
      </c>
      <c r="EZ99" s="2">
        <v>1</v>
      </c>
      <c r="FA99" s="2">
        <v>0</v>
      </c>
      <c r="FB99" s="2">
        <v>1</v>
      </c>
      <c r="FC99" s="2">
        <v>0</v>
      </c>
      <c r="FD99" s="2">
        <v>0</v>
      </c>
      <c r="FE99" s="2">
        <v>0</v>
      </c>
      <c r="FF99" s="2">
        <v>1</v>
      </c>
      <c r="FG99" s="2">
        <v>0</v>
      </c>
      <c r="FH99" s="2">
        <v>1</v>
      </c>
      <c r="FI99" s="2">
        <v>0</v>
      </c>
      <c r="FJ99" s="2">
        <v>1</v>
      </c>
      <c r="FK99" s="2">
        <v>0</v>
      </c>
      <c r="FL99" s="2">
        <v>1</v>
      </c>
      <c r="FM99" s="2">
        <v>0</v>
      </c>
      <c r="FN99" s="2">
        <v>1</v>
      </c>
      <c r="FO99" s="2">
        <v>0</v>
      </c>
      <c r="FP99" s="2">
        <v>0</v>
      </c>
      <c r="FQ99" s="2">
        <v>1</v>
      </c>
      <c r="FR99" s="2">
        <v>0</v>
      </c>
      <c r="FS99" s="2">
        <v>1</v>
      </c>
      <c r="FT99" s="2">
        <v>1</v>
      </c>
      <c r="FU99" s="2">
        <v>0</v>
      </c>
      <c r="FV99" s="2">
        <v>0</v>
      </c>
      <c r="FW99" s="2">
        <v>1</v>
      </c>
      <c r="FX99" s="2">
        <v>1</v>
      </c>
      <c r="FY99" s="2">
        <v>0</v>
      </c>
      <c r="FZ99" s="2"/>
      <c r="GA99" s="2">
        <v>4</v>
      </c>
      <c r="GB99" s="2">
        <v>4</v>
      </c>
      <c r="GC99" s="2">
        <v>4</v>
      </c>
      <c r="GD99" s="2">
        <v>4</v>
      </c>
      <c r="GE99" s="2">
        <v>4</v>
      </c>
      <c r="GG99" s="2">
        <v>4</v>
      </c>
      <c r="GH99" s="2">
        <v>4</v>
      </c>
      <c r="GI99" s="2">
        <v>4</v>
      </c>
      <c r="GJ99" s="2">
        <v>4</v>
      </c>
      <c r="GK99" s="2">
        <v>4</v>
      </c>
      <c r="GM99" s="2">
        <f t="shared" si="0"/>
        <v>20</v>
      </c>
      <c r="GN99" s="2">
        <f t="shared" si="1"/>
        <v>20</v>
      </c>
      <c r="GO99" s="2"/>
      <c r="GP99" s="2">
        <v>3</v>
      </c>
      <c r="GQ99" s="2">
        <v>1</v>
      </c>
      <c r="GR99" s="2">
        <v>0</v>
      </c>
      <c r="GS99" s="2">
        <v>0</v>
      </c>
      <c r="GU99" s="2">
        <v>1</v>
      </c>
      <c r="GV99" s="2">
        <v>0</v>
      </c>
      <c r="GW99" s="2">
        <v>1</v>
      </c>
      <c r="GY99" s="2">
        <v>3</v>
      </c>
      <c r="GZ99" s="2">
        <v>3</v>
      </c>
      <c r="HA99" s="2">
        <v>1</v>
      </c>
      <c r="HB99" s="2">
        <v>1</v>
      </c>
      <c r="HD99" s="2">
        <v>2</v>
      </c>
      <c r="HF99" s="2">
        <v>2</v>
      </c>
      <c r="HH99" s="2">
        <f t="shared" si="2"/>
        <v>6</v>
      </c>
      <c r="HI99" s="2">
        <f t="shared" si="3"/>
        <v>12</v>
      </c>
      <c r="HJ99" s="2"/>
      <c r="HK99" s="2">
        <v>8</v>
      </c>
      <c r="HL99" s="2">
        <v>8</v>
      </c>
      <c r="HM99" s="2"/>
      <c r="HN99" s="2"/>
    </row>
    <row r="100" spans="1:222" ht="15.75" customHeight="1" x14ac:dyDescent="0.2">
      <c r="A100" s="3" t="e">
        <f>VLOOKUP(B100,#REF!,1,FALSE)</f>
        <v>#REF!</v>
      </c>
      <c r="B100" s="3">
        <v>44643.664437164349</v>
      </c>
      <c r="C100" s="2">
        <v>108</v>
      </c>
      <c r="D100" s="2" t="s">
        <v>185</v>
      </c>
      <c r="E100" s="2">
        <v>0</v>
      </c>
      <c r="F100" s="2" t="s">
        <v>186</v>
      </c>
      <c r="G100" s="2">
        <v>15</v>
      </c>
      <c r="H100" s="2">
        <v>2</v>
      </c>
      <c r="I100" s="2">
        <v>1</v>
      </c>
      <c r="J100" s="2">
        <v>3</v>
      </c>
      <c r="K100" s="2">
        <v>2</v>
      </c>
      <c r="L100" s="2">
        <v>7</v>
      </c>
      <c r="M100" s="2" t="s">
        <v>213</v>
      </c>
      <c r="N100" s="2">
        <v>2</v>
      </c>
      <c r="O100" s="2">
        <v>3</v>
      </c>
      <c r="P100" s="2">
        <v>0</v>
      </c>
      <c r="Q100" s="2">
        <v>0</v>
      </c>
      <c r="R100" s="2">
        <v>2</v>
      </c>
      <c r="S100" s="2">
        <v>-1</v>
      </c>
      <c r="T100" s="2">
        <v>-1</v>
      </c>
      <c r="U100" s="2">
        <v>-1</v>
      </c>
      <c r="V100" s="2">
        <v>-1</v>
      </c>
      <c r="W100" s="2">
        <v>-1</v>
      </c>
      <c r="X100" s="2"/>
      <c r="Y100" s="2">
        <v>-1</v>
      </c>
      <c r="Z100" s="2">
        <v>1</v>
      </c>
      <c r="AA100" s="2">
        <v>1</v>
      </c>
      <c r="AB100" s="2">
        <v>4</v>
      </c>
      <c r="AC100" s="2">
        <v>2</v>
      </c>
      <c r="AD100" s="2">
        <v>2</v>
      </c>
      <c r="AE100" s="2">
        <v>2</v>
      </c>
      <c r="AF100" s="2">
        <v>2</v>
      </c>
      <c r="AG100" s="2">
        <v>3</v>
      </c>
      <c r="AH100" s="2">
        <v>3</v>
      </c>
      <c r="AI100" s="2">
        <v>2</v>
      </c>
      <c r="AJ100" s="2">
        <v>2</v>
      </c>
      <c r="AK100" s="2">
        <v>2</v>
      </c>
      <c r="AL100" s="2">
        <v>1</v>
      </c>
      <c r="AM100" s="2">
        <v>1</v>
      </c>
      <c r="AN100" s="2">
        <v>1</v>
      </c>
      <c r="AO100" s="2">
        <v>1</v>
      </c>
      <c r="AP100" s="2">
        <v>1</v>
      </c>
      <c r="AQ100" s="2">
        <v>1</v>
      </c>
      <c r="AR100" s="2">
        <v>2</v>
      </c>
      <c r="AS100" s="2">
        <v>2</v>
      </c>
      <c r="AT100" s="2">
        <v>2</v>
      </c>
      <c r="AU100" s="2">
        <v>1</v>
      </c>
      <c r="AV100" s="2"/>
      <c r="AW100" s="2">
        <v>1</v>
      </c>
      <c r="AX100" s="2">
        <v>0</v>
      </c>
      <c r="AY100" s="2">
        <v>1</v>
      </c>
      <c r="AZ100" s="2">
        <v>4</v>
      </c>
      <c r="BA100" s="2">
        <v>4</v>
      </c>
      <c r="BB100" s="2">
        <v>4</v>
      </c>
      <c r="BC100" s="2">
        <v>4</v>
      </c>
      <c r="BD100" s="2">
        <v>4</v>
      </c>
      <c r="BE100" s="2">
        <v>3</v>
      </c>
      <c r="BF100" s="2">
        <v>2</v>
      </c>
      <c r="BG100" s="2">
        <v>1</v>
      </c>
      <c r="BH100" s="2">
        <v>1</v>
      </c>
      <c r="BI100" s="2"/>
      <c r="BJ100" s="2">
        <v>1</v>
      </c>
      <c r="BK100" s="2">
        <v>0</v>
      </c>
      <c r="BL100" s="2">
        <v>2</v>
      </c>
      <c r="BM100" s="2">
        <v>8</v>
      </c>
      <c r="BN100" s="2">
        <v>9</v>
      </c>
      <c r="BO100" s="2">
        <v>9</v>
      </c>
      <c r="BP100" s="2" t="s">
        <v>461</v>
      </c>
      <c r="BQ100" s="2" t="s">
        <v>258</v>
      </c>
      <c r="BR100" s="2" t="s">
        <v>258</v>
      </c>
      <c r="BS100" s="2" t="s">
        <v>462</v>
      </c>
      <c r="BT100" s="2" t="s">
        <v>258</v>
      </c>
      <c r="BU100" s="2" t="s">
        <v>463</v>
      </c>
      <c r="BV100" s="2" t="s">
        <v>464</v>
      </c>
      <c r="BW100" s="2" t="s">
        <v>465</v>
      </c>
      <c r="BX100" s="2" t="s">
        <v>191</v>
      </c>
      <c r="BY100" s="2" t="s">
        <v>190</v>
      </c>
      <c r="BZ100" s="2" t="s">
        <v>190</v>
      </c>
      <c r="CA100" s="2" t="s">
        <v>190</v>
      </c>
      <c r="CB100" s="2" t="s">
        <v>188</v>
      </c>
      <c r="CC100" s="2" t="s">
        <v>190</v>
      </c>
      <c r="CD100" s="2" t="s">
        <v>189</v>
      </c>
      <c r="CE100" s="2" t="s">
        <v>189</v>
      </c>
      <c r="CF100" s="2" t="s">
        <v>189</v>
      </c>
      <c r="CG100" s="2" t="s">
        <v>190</v>
      </c>
      <c r="CH100" s="2" t="s">
        <v>190</v>
      </c>
      <c r="CI100" s="2" t="s">
        <v>191</v>
      </c>
      <c r="CJ100" s="2" t="s">
        <v>191</v>
      </c>
      <c r="CK100" s="2" t="s">
        <v>190</v>
      </c>
      <c r="CL100" s="2" t="s">
        <v>191</v>
      </c>
      <c r="CM100" s="2" t="s">
        <v>192</v>
      </c>
      <c r="CN100" s="2" t="s">
        <v>192</v>
      </c>
      <c r="CO100" s="2" t="s">
        <v>192</v>
      </c>
      <c r="CP100" s="2" t="s">
        <v>192</v>
      </c>
      <c r="CQ100" s="2" t="s">
        <v>192</v>
      </c>
      <c r="CR100" s="2" t="s">
        <v>192</v>
      </c>
      <c r="CS100" s="2" t="s">
        <v>192</v>
      </c>
      <c r="CT100" s="2" t="s">
        <v>192</v>
      </c>
      <c r="CU100" s="2" t="s">
        <v>192</v>
      </c>
      <c r="CV100" s="2" t="s">
        <v>193</v>
      </c>
      <c r="CW100" s="2" t="s">
        <v>192</v>
      </c>
      <c r="CX100" s="2" t="s">
        <v>192</v>
      </c>
      <c r="CY100" s="2" t="s">
        <v>192</v>
      </c>
      <c r="CZ100" s="2" t="s">
        <v>192</v>
      </c>
      <c r="DA100" s="2" t="s">
        <v>192</v>
      </c>
      <c r="DB100" s="2" t="s">
        <v>192</v>
      </c>
      <c r="DC100" s="2" t="s">
        <v>192</v>
      </c>
      <c r="DD100" s="2" t="s">
        <v>192</v>
      </c>
      <c r="DE100" s="2" t="s">
        <v>192</v>
      </c>
      <c r="DF100" s="2" t="s">
        <v>192</v>
      </c>
      <c r="DG100" s="2" t="s">
        <v>196</v>
      </c>
      <c r="DH100" s="2" t="s">
        <v>196</v>
      </c>
      <c r="DI100" s="2" t="s">
        <v>194</v>
      </c>
      <c r="DJ100" s="2" t="s">
        <v>194</v>
      </c>
      <c r="DK100" s="2" t="s">
        <v>196</v>
      </c>
      <c r="DL100" s="2" t="s">
        <v>194</v>
      </c>
      <c r="DM100" s="2" t="s">
        <v>194</v>
      </c>
      <c r="DN100" s="2" t="s">
        <v>194</v>
      </c>
      <c r="DO100" s="2" t="s">
        <v>196</v>
      </c>
      <c r="DP100" s="2" t="s">
        <v>194</v>
      </c>
      <c r="DQ100" s="2" t="s">
        <v>194</v>
      </c>
      <c r="DR100" s="2" t="s">
        <v>194</v>
      </c>
      <c r="DS100" s="2" t="s">
        <v>197</v>
      </c>
      <c r="DT100" s="2" t="s">
        <v>197</v>
      </c>
      <c r="DU100" s="2" t="s">
        <v>199</v>
      </c>
      <c r="DV100" s="2" t="s">
        <v>197</v>
      </c>
      <c r="DW100" s="2" t="s">
        <v>198</v>
      </c>
      <c r="DX100" s="2" t="s">
        <v>199</v>
      </c>
      <c r="DY100" s="2" t="s">
        <v>197</v>
      </c>
      <c r="DZ100" s="2"/>
      <c r="EA100" s="2">
        <v>1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1</v>
      </c>
      <c r="EJ100" s="2">
        <v>1</v>
      </c>
      <c r="EK100" s="2">
        <v>0</v>
      </c>
      <c r="EL100" s="2">
        <v>0</v>
      </c>
      <c r="EM100" s="2">
        <v>1</v>
      </c>
      <c r="EN100" s="2">
        <v>0</v>
      </c>
      <c r="EO100" s="2">
        <v>1</v>
      </c>
      <c r="EP100" s="2">
        <v>0</v>
      </c>
      <c r="EQ100" s="2">
        <v>1</v>
      </c>
      <c r="ER100" s="2">
        <v>0</v>
      </c>
      <c r="ES100" s="2">
        <v>1</v>
      </c>
      <c r="ET100" s="2">
        <v>0</v>
      </c>
      <c r="EU100" s="2">
        <v>1</v>
      </c>
      <c r="EV100" s="2">
        <v>1</v>
      </c>
      <c r="EW100" s="2">
        <v>0</v>
      </c>
      <c r="EX100" s="2">
        <v>0</v>
      </c>
      <c r="EY100" s="2">
        <v>1</v>
      </c>
      <c r="EZ100" s="2">
        <v>0</v>
      </c>
      <c r="FA100" s="2">
        <v>0</v>
      </c>
      <c r="FB100" s="2">
        <v>0</v>
      </c>
      <c r="FC100" s="2">
        <v>1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1</v>
      </c>
      <c r="FR100" s="2">
        <v>0</v>
      </c>
      <c r="FS100" s="2">
        <v>1</v>
      </c>
      <c r="FT100" s="2">
        <v>0</v>
      </c>
      <c r="FU100" s="2">
        <v>1</v>
      </c>
      <c r="FV100" s="2">
        <v>0</v>
      </c>
      <c r="FW100" s="2">
        <v>0</v>
      </c>
      <c r="FX100" s="2">
        <v>0</v>
      </c>
      <c r="FY100" s="2">
        <v>1</v>
      </c>
      <c r="FZ100" s="2"/>
      <c r="GA100" s="2">
        <v>1</v>
      </c>
      <c r="GB100" s="2">
        <v>1</v>
      </c>
      <c r="GC100" s="2">
        <v>1</v>
      </c>
      <c r="GD100" s="2">
        <v>1</v>
      </c>
      <c r="GE100" s="2">
        <v>1</v>
      </c>
      <c r="GG100" s="2">
        <v>4</v>
      </c>
      <c r="GH100" s="2">
        <v>4</v>
      </c>
      <c r="GI100" s="2">
        <v>4</v>
      </c>
      <c r="GJ100" s="2">
        <v>4</v>
      </c>
      <c r="GK100" s="2">
        <v>4</v>
      </c>
      <c r="GM100" s="2">
        <f t="shared" si="0"/>
        <v>5</v>
      </c>
      <c r="GN100" s="2">
        <f t="shared" si="1"/>
        <v>20</v>
      </c>
      <c r="GO100" s="2"/>
      <c r="GP100" s="2">
        <v>2</v>
      </c>
      <c r="GQ100" s="2">
        <v>2</v>
      </c>
      <c r="GR100" s="2">
        <v>2</v>
      </c>
      <c r="GS100" s="2">
        <v>1</v>
      </c>
      <c r="GU100" s="2">
        <v>1</v>
      </c>
      <c r="GV100" s="2">
        <v>0</v>
      </c>
      <c r="GW100" s="2">
        <v>1</v>
      </c>
      <c r="GY100" s="2">
        <v>3</v>
      </c>
      <c r="GZ100" s="2">
        <v>2</v>
      </c>
      <c r="HA100" s="2">
        <v>1</v>
      </c>
      <c r="HB100" s="2">
        <v>1</v>
      </c>
      <c r="HD100" s="2">
        <v>1</v>
      </c>
      <c r="HE100" s="2">
        <v>0</v>
      </c>
      <c r="HF100" s="2">
        <v>2</v>
      </c>
      <c r="HH100" s="2">
        <f t="shared" si="2"/>
        <v>9</v>
      </c>
      <c r="HI100" s="2">
        <f t="shared" si="3"/>
        <v>10</v>
      </c>
      <c r="HJ100" s="2"/>
      <c r="HK100" s="2">
        <v>9</v>
      </c>
      <c r="HL100" s="2">
        <v>9</v>
      </c>
      <c r="HM100" s="2"/>
      <c r="HN100" s="2"/>
    </row>
    <row r="101" spans="1:222" ht="15.75" customHeight="1" x14ac:dyDescent="0.2">
      <c r="A101" s="3" t="e">
        <f>VLOOKUP(B101,#REF!,1,FALSE)</f>
        <v>#REF!</v>
      </c>
      <c r="B101" s="3">
        <v>44643.682525185184</v>
      </c>
      <c r="C101" s="2">
        <v>109</v>
      </c>
      <c r="D101" s="2" t="s">
        <v>185</v>
      </c>
      <c r="E101" s="2">
        <v>0</v>
      </c>
      <c r="F101" s="2" t="s">
        <v>232</v>
      </c>
      <c r="G101" s="2">
        <v>15</v>
      </c>
      <c r="H101" s="2">
        <v>2</v>
      </c>
      <c r="I101" s="2">
        <v>1</v>
      </c>
      <c r="J101" s="2">
        <v>7</v>
      </c>
      <c r="K101" s="2">
        <v>1</v>
      </c>
      <c r="L101" s="2">
        <v>7</v>
      </c>
      <c r="M101" s="2" t="s">
        <v>213</v>
      </c>
      <c r="N101" s="2">
        <v>3</v>
      </c>
      <c r="O101" s="2">
        <v>3</v>
      </c>
      <c r="P101" s="2">
        <v>0</v>
      </c>
      <c r="Q101" s="2">
        <v>0</v>
      </c>
      <c r="R101" s="2">
        <v>2</v>
      </c>
      <c r="S101" s="2">
        <v>0</v>
      </c>
      <c r="T101" s="2">
        <v>-1</v>
      </c>
      <c r="U101" s="2">
        <v>-1</v>
      </c>
      <c r="V101" s="2">
        <v>-1</v>
      </c>
      <c r="W101" s="2">
        <v>-1</v>
      </c>
      <c r="X101" s="2"/>
      <c r="Y101" s="2">
        <v>1</v>
      </c>
      <c r="Z101" s="2">
        <v>1</v>
      </c>
      <c r="AA101" s="2">
        <v>1</v>
      </c>
      <c r="AB101" s="2">
        <v>2</v>
      </c>
      <c r="AC101" s="2">
        <v>0</v>
      </c>
      <c r="AD101" s="2">
        <v>1</v>
      </c>
      <c r="AE101" s="2">
        <v>2</v>
      </c>
      <c r="AF101" s="2">
        <v>0</v>
      </c>
      <c r="AG101" s="2">
        <v>1</v>
      </c>
      <c r="AH101" s="2">
        <v>2</v>
      </c>
      <c r="AI101" s="2">
        <v>-1</v>
      </c>
      <c r="AJ101" s="2">
        <v>1</v>
      </c>
      <c r="AK101" s="2">
        <v>-3</v>
      </c>
      <c r="AL101" s="2">
        <v>-2</v>
      </c>
      <c r="AM101" s="2">
        <v>3</v>
      </c>
      <c r="AN101" s="2">
        <v>4</v>
      </c>
      <c r="AO101" s="2">
        <v>4</v>
      </c>
      <c r="AP101" s="2">
        <v>2</v>
      </c>
      <c r="AQ101" s="2">
        <v>3</v>
      </c>
      <c r="AR101" s="2">
        <v>2</v>
      </c>
      <c r="AS101" s="2">
        <v>2</v>
      </c>
      <c r="AT101" s="2">
        <v>1</v>
      </c>
      <c r="AU101" s="2">
        <v>1</v>
      </c>
      <c r="AV101" s="2"/>
      <c r="AW101" s="2">
        <v>1</v>
      </c>
      <c r="AX101" s="2">
        <v>3</v>
      </c>
      <c r="AY101" s="2">
        <v>1</v>
      </c>
      <c r="AZ101" s="2">
        <v>3</v>
      </c>
      <c r="BA101" s="2">
        <v>2</v>
      </c>
      <c r="BB101" s="2">
        <v>2</v>
      </c>
      <c r="BC101" s="2">
        <v>3</v>
      </c>
      <c r="BD101" s="2">
        <v>2</v>
      </c>
      <c r="BE101" s="2">
        <v>2</v>
      </c>
      <c r="BF101" s="2">
        <v>2</v>
      </c>
      <c r="BG101" s="2">
        <v>2</v>
      </c>
      <c r="BH101" s="2">
        <v>4</v>
      </c>
      <c r="BI101" s="2"/>
      <c r="BJ101" s="2">
        <v>4</v>
      </c>
      <c r="BK101" s="2">
        <v>2</v>
      </c>
      <c r="BL101" s="2">
        <v>1</v>
      </c>
      <c r="BM101" s="2">
        <v>7</v>
      </c>
      <c r="BN101" s="2">
        <v>6</v>
      </c>
      <c r="BO101" s="2">
        <v>8</v>
      </c>
      <c r="BP101" s="2" t="s">
        <v>466</v>
      </c>
      <c r="BQ101" s="2"/>
      <c r="BR101" s="2"/>
      <c r="BS101" s="2"/>
      <c r="BT101" s="2"/>
      <c r="BU101" s="2"/>
      <c r="BV101" s="2" t="s">
        <v>467</v>
      </c>
      <c r="BW101" s="2" t="s">
        <v>468</v>
      </c>
      <c r="BX101" s="2" t="s">
        <v>188</v>
      </c>
      <c r="BY101" s="2" t="s">
        <v>190</v>
      </c>
      <c r="BZ101" s="2" t="s">
        <v>190</v>
      </c>
      <c r="CA101" s="2" t="s">
        <v>188</v>
      </c>
      <c r="CB101" s="2" t="s">
        <v>188</v>
      </c>
      <c r="CC101" s="2" t="s">
        <v>188</v>
      </c>
      <c r="CD101" s="2" t="s">
        <v>189</v>
      </c>
      <c r="CE101" s="2" t="s">
        <v>190</v>
      </c>
      <c r="CF101" s="2" t="s">
        <v>188</v>
      </c>
      <c r="CG101" s="2" t="s">
        <v>188</v>
      </c>
      <c r="CH101" s="2" t="s">
        <v>188</v>
      </c>
      <c r="CI101" s="2" t="s">
        <v>189</v>
      </c>
      <c r="CJ101" s="2" t="s">
        <v>189</v>
      </c>
      <c r="CK101" s="2" t="s">
        <v>189</v>
      </c>
      <c r="CL101" s="2" t="s">
        <v>189</v>
      </c>
      <c r="CM101" s="2" t="s">
        <v>193</v>
      </c>
      <c r="CN101" s="2" t="s">
        <v>193</v>
      </c>
      <c r="CO101" s="2" t="s">
        <v>192</v>
      </c>
      <c r="CP101" s="2" t="s">
        <v>193</v>
      </c>
      <c r="CQ101" s="2" t="s">
        <v>193</v>
      </c>
      <c r="CR101" s="2" t="s">
        <v>192</v>
      </c>
      <c r="CS101" s="2" t="s">
        <v>200</v>
      </c>
      <c r="CT101" s="2" t="s">
        <v>200</v>
      </c>
      <c r="CU101" s="2" t="s">
        <v>192</v>
      </c>
      <c r="CV101" s="2" t="s">
        <v>200</v>
      </c>
      <c r="CW101" s="2" t="s">
        <v>192</v>
      </c>
      <c r="CX101" s="2" t="s">
        <v>193</v>
      </c>
      <c r="CY101" s="2" t="s">
        <v>192</v>
      </c>
      <c r="CZ101" s="2" t="s">
        <v>193</v>
      </c>
      <c r="DA101" s="2" t="s">
        <v>200</v>
      </c>
      <c r="DB101" s="2" t="s">
        <v>193</v>
      </c>
      <c r="DC101" s="2" t="s">
        <v>200</v>
      </c>
      <c r="DD101" s="2" t="s">
        <v>192</v>
      </c>
      <c r="DE101" s="2" t="s">
        <v>200</v>
      </c>
      <c r="DF101" s="2" t="s">
        <v>200</v>
      </c>
      <c r="DG101" s="2" t="s">
        <v>195</v>
      </c>
      <c r="DH101" s="2" t="s">
        <v>194</v>
      </c>
      <c r="DI101" s="2" t="s">
        <v>195</v>
      </c>
      <c r="DJ101" s="2" t="s">
        <v>195</v>
      </c>
      <c r="DK101" s="2" t="s">
        <v>194</v>
      </c>
      <c r="DL101" s="2" t="s">
        <v>201</v>
      </c>
      <c r="DM101" s="2" t="s">
        <v>201</v>
      </c>
      <c r="DN101" s="2" t="s">
        <v>194</v>
      </c>
      <c r="DO101" s="2" t="s">
        <v>196</v>
      </c>
      <c r="DP101" s="2" t="s">
        <v>201</v>
      </c>
      <c r="DQ101" s="2" t="s">
        <v>201</v>
      </c>
      <c r="DR101" s="2" t="s">
        <v>194</v>
      </c>
      <c r="DS101" s="2" t="s">
        <v>197</v>
      </c>
      <c r="DT101" s="2" t="s">
        <v>198</v>
      </c>
      <c r="DU101" s="2" t="s">
        <v>197</v>
      </c>
      <c r="DV101" s="2" t="s">
        <v>198</v>
      </c>
      <c r="DW101" s="2" t="s">
        <v>197</v>
      </c>
      <c r="DX101" s="2" t="s">
        <v>197</v>
      </c>
      <c r="DY101" s="2" t="s">
        <v>197</v>
      </c>
      <c r="DZ101" s="2"/>
      <c r="EA101" s="2">
        <v>1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1</v>
      </c>
      <c r="EI101" s="2">
        <v>1</v>
      </c>
      <c r="EJ101" s="2">
        <v>1</v>
      </c>
      <c r="EK101" s="2">
        <v>0</v>
      </c>
      <c r="EL101" s="2">
        <v>0</v>
      </c>
      <c r="EM101" s="2">
        <v>1</v>
      </c>
      <c r="EN101" s="2">
        <v>1</v>
      </c>
      <c r="EO101" s="2">
        <v>0</v>
      </c>
      <c r="EP101" s="2">
        <v>1</v>
      </c>
      <c r="EQ101" s="2">
        <v>0</v>
      </c>
      <c r="ER101" s="2">
        <v>0</v>
      </c>
      <c r="ES101" s="2">
        <v>1</v>
      </c>
      <c r="ET101" s="2">
        <v>1</v>
      </c>
      <c r="EU101" s="2">
        <v>1</v>
      </c>
      <c r="EV101" s="2">
        <v>0</v>
      </c>
      <c r="EW101" s="2">
        <v>0</v>
      </c>
      <c r="EX101" s="2">
        <v>0</v>
      </c>
      <c r="EY101" s="2">
        <v>1</v>
      </c>
      <c r="EZ101" s="2">
        <v>1</v>
      </c>
      <c r="FA101" s="2">
        <v>0</v>
      </c>
      <c r="FB101" s="2">
        <v>1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1</v>
      </c>
      <c r="FM101" s="2">
        <v>0</v>
      </c>
      <c r="FN101" s="2">
        <v>1</v>
      </c>
      <c r="FO101" s="2">
        <v>0</v>
      </c>
      <c r="FP101" s="2">
        <v>1</v>
      </c>
      <c r="FQ101" s="2">
        <v>1</v>
      </c>
      <c r="FR101" s="2">
        <v>1</v>
      </c>
      <c r="FS101" s="2">
        <v>1</v>
      </c>
      <c r="FT101" s="2">
        <v>1</v>
      </c>
      <c r="FU101" s="2">
        <v>1</v>
      </c>
      <c r="FV101" s="2">
        <v>0</v>
      </c>
      <c r="FW101" s="2">
        <v>0</v>
      </c>
      <c r="FX101" s="2">
        <v>1</v>
      </c>
      <c r="FY101" s="2">
        <v>1</v>
      </c>
      <c r="FZ101" s="2"/>
      <c r="GA101" s="2">
        <v>3</v>
      </c>
      <c r="GB101" s="2">
        <v>4</v>
      </c>
      <c r="GC101" s="2">
        <v>4</v>
      </c>
      <c r="GD101" s="2">
        <v>2</v>
      </c>
      <c r="GE101" s="2">
        <v>3</v>
      </c>
      <c r="GG101" s="2">
        <v>3</v>
      </c>
      <c r="GH101" s="2">
        <v>2</v>
      </c>
      <c r="GI101" s="2">
        <v>2</v>
      </c>
      <c r="GJ101" s="2">
        <v>3</v>
      </c>
      <c r="GK101" s="2">
        <v>2</v>
      </c>
      <c r="GM101" s="2">
        <f t="shared" si="0"/>
        <v>16</v>
      </c>
      <c r="GN101" s="2">
        <f t="shared" si="1"/>
        <v>12</v>
      </c>
      <c r="GO101" s="2"/>
      <c r="GP101" s="2">
        <v>2</v>
      </c>
      <c r="GQ101" s="2">
        <v>2</v>
      </c>
      <c r="GR101" s="2">
        <v>1</v>
      </c>
      <c r="GS101" s="2">
        <v>1</v>
      </c>
      <c r="GU101" s="2">
        <v>1</v>
      </c>
      <c r="GV101" s="2">
        <v>3</v>
      </c>
      <c r="GW101" s="2">
        <v>1</v>
      </c>
      <c r="GY101" s="2">
        <v>2</v>
      </c>
      <c r="GZ101" s="2">
        <v>2</v>
      </c>
      <c r="HA101" s="2">
        <v>2</v>
      </c>
      <c r="HB101" s="2">
        <v>4</v>
      </c>
      <c r="HD101" s="2">
        <v>4</v>
      </c>
      <c r="HE101" s="2">
        <v>2</v>
      </c>
      <c r="HF101" s="2">
        <v>1</v>
      </c>
      <c r="HH101" s="2">
        <f t="shared" si="2"/>
        <v>11</v>
      </c>
      <c r="HI101" s="2">
        <f t="shared" si="3"/>
        <v>17</v>
      </c>
      <c r="HJ101" s="2"/>
      <c r="HK101" s="2">
        <v>6</v>
      </c>
      <c r="HL101" s="2">
        <v>8</v>
      </c>
      <c r="HM101" s="2"/>
      <c r="HN101" s="2"/>
    </row>
    <row r="102" spans="1:222" ht="15.75" customHeight="1" x14ac:dyDescent="0.2">
      <c r="A102" s="3" t="e">
        <f>VLOOKUP(B102,#REF!,1,FALSE)</f>
        <v>#REF!</v>
      </c>
      <c r="B102" s="3">
        <v>44643.842199837964</v>
      </c>
      <c r="C102" s="2">
        <v>110</v>
      </c>
      <c r="D102" s="2" t="s">
        <v>185</v>
      </c>
      <c r="E102" s="2">
        <v>0</v>
      </c>
      <c r="F102" s="2" t="s">
        <v>347</v>
      </c>
      <c r="G102" s="2">
        <v>2</v>
      </c>
      <c r="H102" s="2">
        <v>2</v>
      </c>
      <c r="I102" s="2">
        <v>1</v>
      </c>
      <c r="J102" s="2">
        <v>2</v>
      </c>
      <c r="K102" s="2">
        <v>0</v>
      </c>
      <c r="L102" s="2">
        <v>2</v>
      </c>
      <c r="M102" s="2" t="s">
        <v>213</v>
      </c>
      <c r="N102" s="2">
        <v>2</v>
      </c>
      <c r="O102" s="2">
        <v>3</v>
      </c>
      <c r="P102" s="2">
        <v>0</v>
      </c>
      <c r="Q102" s="2">
        <v>0</v>
      </c>
      <c r="R102" s="2">
        <v>3</v>
      </c>
      <c r="S102" s="2">
        <v>1</v>
      </c>
      <c r="T102" s="2">
        <v>1</v>
      </c>
      <c r="U102" s="2">
        <v>1</v>
      </c>
      <c r="V102" s="2">
        <v>0</v>
      </c>
      <c r="W102" s="2">
        <v>1</v>
      </c>
      <c r="X102" s="2"/>
      <c r="Y102" s="2">
        <v>1</v>
      </c>
      <c r="Z102" s="2">
        <v>1</v>
      </c>
      <c r="AA102" s="2">
        <v>1</v>
      </c>
      <c r="AB102" s="2">
        <v>2</v>
      </c>
      <c r="AC102" s="2">
        <v>2</v>
      </c>
      <c r="AD102" s="2">
        <v>2</v>
      </c>
      <c r="AE102" s="2">
        <v>2</v>
      </c>
      <c r="AF102" s="2">
        <v>2</v>
      </c>
      <c r="AG102" s="2">
        <v>1</v>
      </c>
      <c r="AH102" s="2">
        <v>1</v>
      </c>
      <c r="AI102" s="2">
        <v>1</v>
      </c>
      <c r="AJ102" s="2">
        <v>1</v>
      </c>
      <c r="AK102" s="2">
        <v>2</v>
      </c>
      <c r="AL102" s="2">
        <v>1</v>
      </c>
      <c r="AM102" s="2">
        <v>4</v>
      </c>
      <c r="AN102" s="2">
        <v>2</v>
      </c>
      <c r="AO102" s="2">
        <v>4</v>
      </c>
      <c r="AP102" s="2">
        <v>1</v>
      </c>
      <c r="AQ102" s="2">
        <v>3</v>
      </c>
      <c r="AR102" s="2">
        <v>3</v>
      </c>
      <c r="AS102" s="2">
        <v>3</v>
      </c>
      <c r="AT102" s="2">
        <v>1</v>
      </c>
      <c r="AU102" s="2">
        <v>1</v>
      </c>
      <c r="AV102" s="2"/>
      <c r="AW102" s="2">
        <v>1</v>
      </c>
      <c r="AX102" s="2">
        <v>3</v>
      </c>
      <c r="AY102" s="2">
        <v>0</v>
      </c>
      <c r="AZ102" s="2">
        <v>2</v>
      </c>
      <c r="BA102" s="2">
        <v>2</v>
      </c>
      <c r="BB102" s="2">
        <v>1</v>
      </c>
      <c r="BC102" s="2">
        <v>1</v>
      </c>
      <c r="BD102" s="2">
        <v>1</v>
      </c>
      <c r="BE102" s="2">
        <v>2</v>
      </c>
      <c r="BF102" s="2">
        <v>2</v>
      </c>
      <c r="BG102" s="2">
        <v>2</v>
      </c>
      <c r="BH102" s="2">
        <v>2</v>
      </c>
      <c r="BI102" s="2"/>
      <c r="BJ102" s="2">
        <v>2</v>
      </c>
      <c r="BK102" s="2">
        <v>4</v>
      </c>
      <c r="BL102" s="2">
        <v>0</v>
      </c>
      <c r="BM102" s="2">
        <v>6</v>
      </c>
      <c r="BN102" s="2">
        <v>6</v>
      </c>
      <c r="BO102" s="2">
        <v>5</v>
      </c>
      <c r="BP102" s="2" t="s">
        <v>469</v>
      </c>
      <c r="BQ102" s="2"/>
      <c r="BR102" s="2"/>
      <c r="BS102" s="2"/>
      <c r="BT102" s="2"/>
      <c r="BU102" s="2"/>
      <c r="BV102" s="2" t="s">
        <v>325</v>
      </c>
      <c r="BW102" s="2" t="s">
        <v>470</v>
      </c>
      <c r="BX102" s="2" t="s">
        <v>188</v>
      </c>
      <c r="BY102" s="2" t="s">
        <v>188</v>
      </c>
      <c r="BZ102" s="2" t="s">
        <v>188</v>
      </c>
      <c r="CA102" s="2" t="s">
        <v>188</v>
      </c>
      <c r="CB102" s="2" t="s">
        <v>188</v>
      </c>
      <c r="CC102" s="2" t="s">
        <v>188</v>
      </c>
      <c r="CD102" s="2" t="s">
        <v>190</v>
      </c>
      <c r="CE102" s="2" t="s">
        <v>190</v>
      </c>
      <c r="CF102" s="2" t="s">
        <v>188</v>
      </c>
      <c r="CG102" s="2" t="s">
        <v>188</v>
      </c>
      <c r="CH102" s="2" t="s">
        <v>188</v>
      </c>
      <c r="CI102" s="2" t="s">
        <v>190</v>
      </c>
      <c r="CJ102" s="2" t="s">
        <v>188</v>
      </c>
      <c r="CK102" s="2" t="s">
        <v>190</v>
      </c>
      <c r="CL102" s="2" t="s">
        <v>188</v>
      </c>
      <c r="CM102" s="2" t="s">
        <v>200</v>
      </c>
      <c r="CN102" s="2" t="s">
        <v>193</v>
      </c>
      <c r="CO102" s="2" t="s">
        <v>200</v>
      </c>
      <c r="CP102" s="2" t="s">
        <v>200</v>
      </c>
      <c r="CQ102" s="2" t="s">
        <v>192</v>
      </c>
      <c r="CR102" s="2" t="s">
        <v>200</v>
      </c>
      <c r="CS102" s="2" t="s">
        <v>200</v>
      </c>
      <c r="CT102" s="2" t="s">
        <v>193</v>
      </c>
      <c r="CU102" s="2" t="s">
        <v>193</v>
      </c>
      <c r="CV102" s="2" t="s">
        <v>200</v>
      </c>
      <c r="CW102" s="2" t="s">
        <v>200</v>
      </c>
      <c r="CX102" s="2" t="s">
        <v>200</v>
      </c>
      <c r="CY102" s="2" t="s">
        <v>200</v>
      </c>
      <c r="CZ102" s="2" t="s">
        <v>200</v>
      </c>
      <c r="DA102" s="2" t="s">
        <v>200</v>
      </c>
      <c r="DB102" s="2" t="s">
        <v>200</v>
      </c>
      <c r="DC102" s="2" t="s">
        <v>192</v>
      </c>
      <c r="DD102" s="2" t="s">
        <v>200</v>
      </c>
      <c r="DE102" s="2" t="s">
        <v>200</v>
      </c>
      <c r="DF102" s="2" t="s">
        <v>200</v>
      </c>
      <c r="DG102" s="2" t="s">
        <v>195</v>
      </c>
      <c r="DH102" s="2" t="s">
        <v>195</v>
      </c>
      <c r="DI102" s="2" t="s">
        <v>195</v>
      </c>
      <c r="DJ102" s="2" t="s">
        <v>195</v>
      </c>
      <c r="DK102" s="2" t="s">
        <v>196</v>
      </c>
      <c r="DL102" s="2" t="s">
        <v>195</v>
      </c>
      <c r="DM102" s="2" t="s">
        <v>195</v>
      </c>
      <c r="DN102" s="2" t="s">
        <v>196</v>
      </c>
      <c r="DO102" s="2" t="s">
        <v>196</v>
      </c>
      <c r="DP102" s="2" t="s">
        <v>194</v>
      </c>
      <c r="DQ102" s="2" t="s">
        <v>194</v>
      </c>
      <c r="DR102" s="2" t="s">
        <v>196</v>
      </c>
      <c r="DS102" s="2" t="s">
        <v>197</v>
      </c>
      <c r="DT102" s="2" t="s">
        <v>197</v>
      </c>
      <c r="DU102" s="2" t="s">
        <v>198</v>
      </c>
      <c r="DV102" s="2" t="s">
        <v>197</v>
      </c>
      <c r="DW102" s="2" t="s">
        <v>198</v>
      </c>
      <c r="DX102" s="2" t="s">
        <v>197</v>
      </c>
      <c r="DY102" s="2" t="s">
        <v>197</v>
      </c>
      <c r="DZ102" s="2"/>
      <c r="EA102" s="2">
        <v>1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1</v>
      </c>
      <c r="EI102" s="2">
        <v>0</v>
      </c>
      <c r="EJ102" s="2">
        <v>1</v>
      </c>
      <c r="EK102" s="2">
        <v>0</v>
      </c>
      <c r="EL102" s="2">
        <v>1</v>
      </c>
      <c r="EM102" s="2">
        <v>0</v>
      </c>
      <c r="EN102" s="2">
        <v>1</v>
      </c>
      <c r="EO102" s="2">
        <v>0</v>
      </c>
      <c r="EP102" s="2">
        <v>1</v>
      </c>
      <c r="EQ102" s="2">
        <v>0</v>
      </c>
      <c r="ER102" s="2">
        <v>1</v>
      </c>
      <c r="ES102" s="2">
        <v>0</v>
      </c>
      <c r="ET102" s="2">
        <v>1</v>
      </c>
      <c r="EU102" s="2">
        <v>0</v>
      </c>
      <c r="EV102" s="2">
        <v>1</v>
      </c>
      <c r="EW102" s="2">
        <v>0</v>
      </c>
      <c r="EX102" s="2">
        <v>1</v>
      </c>
      <c r="EY102" s="2">
        <v>0</v>
      </c>
      <c r="EZ102" s="2">
        <v>0</v>
      </c>
      <c r="FA102" s="2">
        <v>1</v>
      </c>
      <c r="FB102" s="2">
        <v>1</v>
      </c>
      <c r="FC102" s="2">
        <v>0</v>
      </c>
      <c r="FD102" s="2">
        <v>0</v>
      </c>
      <c r="FE102" s="2">
        <v>0</v>
      </c>
      <c r="FF102" s="2">
        <v>1</v>
      </c>
      <c r="FG102" s="2">
        <v>0</v>
      </c>
      <c r="FH102" s="2">
        <v>1</v>
      </c>
      <c r="FI102" s="2">
        <v>0</v>
      </c>
      <c r="FJ102" s="2">
        <v>1</v>
      </c>
      <c r="FK102" s="2">
        <v>0</v>
      </c>
      <c r="FL102" s="2">
        <v>1</v>
      </c>
      <c r="FM102" s="2">
        <v>0</v>
      </c>
      <c r="FN102" s="2">
        <v>1</v>
      </c>
      <c r="FO102" s="2">
        <v>0</v>
      </c>
      <c r="FP102" s="2">
        <v>1</v>
      </c>
      <c r="FQ102" s="2">
        <v>0</v>
      </c>
      <c r="FR102" s="2">
        <v>1</v>
      </c>
      <c r="FS102" s="2">
        <v>0</v>
      </c>
      <c r="FT102" s="2">
        <v>1</v>
      </c>
      <c r="FU102" s="2">
        <v>0</v>
      </c>
      <c r="FV102" s="2">
        <v>1</v>
      </c>
      <c r="FW102" s="2">
        <v>0</v>
      </c>
      <c r="FX102" s="2">
        <v>1</v>
      </c>
      <c r="FY102" s="2">
        <v>0</v>
      </c>
      <c r="FZ102" s="2"/>
      <c r="GA102" s="2">
        <v>4</v>
      </c>
      <c r="GB102" s="2">
        <v>2</v>
      </c>
      <c r="GC102" s="2">
        <v>4</v>
      </c>
      <c r="GD102" s="2">
        <v>1</v>
      </c>
      <c r="GE102" s="2">
        <v>3</v>
      </c>
      <c r="GG102" s="2">
        <v>2</v>
      </c>
      <c r="GH102" s="2">
        <v>2</v>
      </c>
      <c r="GI102" s="2">
        <v>1</v>
      </c>
      <c r="GJ102" s="2">
        <v>1</v>
      </c>
      <c r="GK102" s="2">
        <v>1</v>
      </c>
      <c r="GM102" s="2">
        <f t="shared" si="0"/>
        <v>14</v>
      </c>
      <c r="GN102" s="2">
        <f t="shared" si="1"/>
        <v>7</v>
      </c>
      <c r="GO102" s="2"/>
      <c r="GP102" s="2">
        <v>3</v>
      </c>
      <c r="GQ102" s="2">
        <v>3</v>
      </c>
      <c r="GR102" s="2">
        <v>1</v>
      </c>
      <c r="GS102" s="2">
        <v>1</v>
      </c>
      <c r="GU102" s="2">
        <v>1</v>
      </c>
      <c r="GV102" s="2">
        <v>3</v>
      </c>
      <c r="GW102" s="2">
        <v>0</v>
      </c>
      <c r="GY102" s="2">
        <v>2</v>
      </c>
      <c r="GZ102" s="2">
        <v>2</v>
      </c>
      <c r="HA102" s="2">
        <v>2</v>
      </c>
      <c r="HB102" s="2">
        <v>2</v>
      </c>
      <c r="HD102" s="2">
        <v>2</v>
      </c>
      <c r="HE102" s="2">
        <v>4</v>
      </c>
      <c r="HF102" s="2">
        <v>0</v>
      </c>
      <c r="HH102" s="2">
        <f t="shared" si="2"/>
        <v>12</v>
      </c>
      <c r="HI102" s="2">
        <f t="shared" si="3"/>
        <v>14</v>
      </c>
      <c r="HJ102" s="2"/>
      <c r="HK102" s="2">
        <v>6</v>
      </c>
      <c r="HL102" s="2">
        <v>5</v>
      </c>
      <c r="HM102" s="2"/>
      <c r="HN102" s="2"/>
    </row>
    <row r="103" spans="1:222" ht="15.75" customHeight="1" x14ac:dyDescent="0.2">
      <c r="A103" s="3" t="e">
        <f>VLOOKUP(B103,#REF!,1,FALSE)</f>
        <v>#REF!</v>
      </c>
      <c r="B103" s="3">
        <v>44643.891376574073</v>
      </c>
      <c r="C103" s="2">
        <v>112</v>
      </c>
      <c r="D103" s="2" t="s">
        <v>185</v>
      </c>
      <c r="E103" s="2">
        <v>0</v>
      </c>
      <c r="F103" s="2" t="s">
        <v>186</v>
      </c>
      <c r="G103" s="2">
        <v>15</v>
      </c>
      <c r="H103" s="2">
        <v>2</v>
      </c>
      <c r="I103" s="2">
        <v>1</v>
      </c>
      <c r="J103" s="2">
        <v>2</v>
      </c>
      <c r="K103" s="2">
        <v>0</v>
      </c>
      <c r="L103" s="2">
        <v>7</v>
      </c>
      <c r="M103" s="2" t="s">
        <v>213</v>
      </c>
      <c r="N103" s="2">
        <v>2</v>
      </c>
      <c r="O103" s="2">
        <v>3</v>
      </c>
      <c r="P103" s="2">
        <v>0</v>
      </c>
      <c r="Q103" s="2">
        <v>0</v>
      </c>
      <c r="R103" s="2">
        <v>3</v>
      </c>
      <c r="S103" s="2">
        <v>-1</v>
      </c>
      <c r="T103" s="2">
        <v>-1</v>
      </c>
      <c r="U103" s="2">
        <v>-1</v>
      </c>
      <c r="V103" s="2">
        <v>-1</v>
      </c>
      <c r="W103" s="2">
        <v>-1</v>
      </c>
      <c r="X103" s="2"/>
      <c r="Y103" s="2">
        <v>-1</v>
      </c>
      <c r="Z103" s="2">
        <v>1</v>
      </c>
      <c r="AA103" s="2">
        <v>1</v>
      </c>
      <c r="AB103" s="2">
        <v>4</v>
      </c>
      <c r="AC103" s="2">
        <v>2</v>
      </c>
      <c r="AD103" s="2">
        <v>4</v>
      </c>
      <c r="AE103" s="2">
        <v>2</v>
      </c>
      <c r="AF103" s="2">
        <v>4</v>
      </c>
      <c r="AG103" s="2">
        <v>2</v>
      </c>
      <c r="AH103" s="2">
        <v>2</v>
      </c>
      <c r="AI103" s="2">
        <v>2</v>
      </c>
      <c r="AJ103" s="2">
        <v>2</v>
      </c>
      <c r="AK103" s="2">
        <v>2</v>
      </c>
      <c r="AL103" s="2">
        <v>2</v>
      </c>
      <c r="AM103" s="2">
        <v>4</v>
      </c>
      <c r="AN103" s="2">
        <v>4</v>
      </c>
      <c r="AO103" s="2">
        <v>3</v>
      </c>
      <c r="AP103" s="2">
        <v>3</v>
      </c>
      <c r="AQ103" s="2">
        <v>3</v>
      </c>
      <c r="AR103" s="2">
        <v>3</v>
      </c>
      <c r="AS103" s="2">
        <v>2</v>
      </c>
      <c r="AT103" s="2">
        <v>1</v>
      </c>
      <c r="AU103" s="2">
        <v>1</v>
      </c>
      <c r="AV103" s="2"/>
      <c r="AW103" s="2">
        <v>2</v>
      </c>
      <c r="AX103" s="2">
        <v>1</v>
      </c>
      <c r="AY103" s="2">
        <v>1</v>
      </c>
      <c r="AZ103" s="2">
        <v>4</v>
      </c>
      <c r="BA103" s="2">
        <v>4</v>
      </c>
      <c r="BB103" s="2">
        <v>4</v>
      </c>
      <c r="BC103" s="2">
        <v>4</v>
      </c>
      <c r="BD103" s="2">
        <v>4</v>
      </c>
      <c r="BE103" s="2">
        <v>2</v>
      </c>
      <c r="BF103" s="2">
        <v>2</v>
      </c>
      <c r="BG103" s="2">
        <v>1</v>
      </c>
      <c r="BH103" s="2">
        <v>1</v>
      </c>
      <c r="BI103" s="2"/>
      <c r="BJ103" s="2">
        <v>1</v>
      </c>
      <c r="BK103" s="2">
        <v>1</v>
      </c>
      <c r="BL103" s="2">
        <v>1</v>
      </c>
      <c r="BM103" s="2">
        <v>8</v>
      </c>
      <c r="BN103" s="2">
        <v>8</v>
      </c>
      <c r="BO103" s="2">
        <v>9</v>
      </c>
      <c r="BP103" s="2"/>
      <c r="BQ103" s="2"/>
      <c r="BR103" s="2"/>
      <c r="BS103" s="2"/>
      <c r="BT103" s="2"/>
      <c r="BU103" s="2"/>
      <c r="BV103" s="2"/>
      <c r="BW103" s="2"/>
      <c r="BX103" s="2" t="s">
        <v>191</v>
      </c>
      <c r="BY103" s="2" t="s">
        <v>190</v>
      </c>
      <c r="BZ103" s="2" t="s">
        <v>190</v>
      </c>
      <c r="CA103" s="2" t="s">
        <v>190</v>
      </c>
      <c r="CB103" s="2" t="s">
        <v>190</v>
      </c>
      <c r="CC103" s="2" t="s">
        <v>190</v>
      </c>
      <c r="CD103" s="2" t="s">
        <v>189</v>
      </c>
      <c r="CE103" s="2" t="s">
        <v>190</v>
      </c>
      <c r="CF103" s="2" t="s">
        <v>191</v>
      </c>
      <c r="CG103" s="2" t="s">
        <v>190</v>
      </c>
      <c r="CH103" s="2" t="s">
        <v>191</v>
      </c>
      <c r="CI103" s="2" t="s">
        <v>190</v>
      </c>
      <c r="CJ103" s="2" t="s">
        <v>190</v>
      </c>
      <c r="CK103" s="2" t="s">
        <v>189</v>
      </c>
      <c r="CL103" s="2" t="s">
        <v>190</v>
      </c>
      <c r="CM103" s="2" t="s">
        <v>193</v>
      </c>
      <c r="CN103" s="2" t="s">
        <v>192</v>
      </c>
      <c r="CO103" s="2" t="s">
        <v>193</v>
      </c>
      <c r="CP103" s="2" t="s">
        <v>193</v>
      </c>
      <c r="CQ103" s="2" t="s">
        <v>193</v>
      </c>
      <c r="CR103" s="2" t="s">
        <v>193</v>
      </c>
      <c r="CS103" s="2" t="s">
        <v>193</v>
      </c>
      <c r="CT103" s="2" t="s">
        <v>192</v>
      </c>
      <c r="CU103" s="2" t="s">
        <v>192</v>
      </c>
      <c r="CV103" s="2" t="s">
        <v>193</v>
      </c>
      <c r="CW103" s="2" t="s">
        <v>193</v>
      </c>
      <c r="CX103" s="2" t="s">
        <v>193</v>
      </c>
      <c r="CY103" s="2" t="s">
        <v>193</v>
      </c>
      <c r="CZ103" s="2" t="s">
        <v>193</v>
      </c>
      <c r="DA103" s="2" t="s">
        <v>200</v>
      </c>
      <c r="DB103" s="2" t="s">
        <v>193</v>
      </c>
      <c r="DC103" s="2" t="s">
        <v>192</v>
      </c>
      <c r="DD103" s="2" t="s">
        <v>193</v>
      </c>
      <c r="DE103" s="2" t="s">
        <v>193</v>
      </c>
      <c r="DF103" s="2" t="s">
        <v>193</v>
      </c>
      <c r="DG103" s="2" t="s">
        <v>195</v>
      </c>
      <c r="DH103" s="2" t="s">
        <v>195</v>
      </c>
      <c r="DI103" s="2" t="s">
        <v>194</v>
      </c>
      <c r="DJ103" s="2" t="s">
        <v>195</v>
      </c>
      <c r="DK103" s="2" t="s">
        <v>194</v>
      </c>
      <c r="DL103" s="2" t="s">
        <v>194</v>
      </c>
      <c r="DM103" s="2" t="s">
        <v>194</v>
      </c>
      <c r="DN103" s="2" t="s">
        <v>194</v>
      </c>
      <c r="DO103" s="2" t="s">
        <v>196</v>
      </c>
      <c r="DP103" s="2" t="s">
        <v>194</v>
      </c>
      <c r="DQ103" s="2" t="s">
        <v>195</v>
      </c>
      <c r="DR103" s="2" t="s">
        <v>195</v>
      </c>
      <c r="DS103" s="2" t="s">
        <v>197</v>
      </c>
      <c r="DT103" s="2" t="s">
        <v>198</v>
      </c>
      <c r="DU103" s="2" t="s">
        <v>199</v>
      </c>
      <c r="DV103" s="2" t="s">
        <v>197</v>
      </c>
      <c r="DW103" s="2" t="s">
        <v>197</v>
      </c>
      <c r="DX103" s="2" t="s">
        <v>221</v>
      </c>
      <c r="DY103" s="2" t="s">
        <v>197</v>
      </c>
      <c r="DZ103" s="2"/>
      <c r="EA103" s="2">
        <v>1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1</v>
      </c>
      <c r="EJ103" s="2">
        <v>0</v>
      </c>
      <c r="EK103" s="2">
        <v>1</v>
      </c>
      <c r="EL103" s="2">
        <v>0</v>
      </c>
      <c r="EM103" s="2">
        <v>1</v>
      </c>
      <c r="EN103" s="2">
        <v>0</v>
      </c>
      <c r="EO103" s="2">
        <v>1</v>
      </c>
      <c r="EP103" s="2">
        <v>0</v>
      </c>
      <c r="EQ103" s="2">
        <v>1</v>
      </c>
      <c r="ER103" s="2">
        <v>0</v>
      </c>
      <c r="ES103" s="2">
        <v>1</v>
      </c>
      <c r="ET103" s="2">
        <v>0</v>
      </c>
      <c r="EU103" s="2">
        <v>1</v>
      </c>
      <c r="EV103" s="2">
        <v>0</v>
      </c>
      <c r="EW103" s="2">
        <v>1</v>
      </c>
      <c r="EX103" s="2">
        <v>0</v>
      </c>
      <c r="EY103" s="2">
        <v>1</v>
      </c>
      <c r="EZ103" s="2">
        <v>1</v>
      </c>
      <c r="FA103" s="2">
        <v>0</v>
      </c>
      <c r="FB103" s="2">
        <v>1</v>
      </c>
      <c r="FC103" s="2">
        <v>0</v>
      </c>
      <c r="FD103" s="2">
        <v>0</v>
      </c>
      <c r="FE103" s="2">
        <v>0</v>
      </c>
      <c r="FF103" s="2">
        <v>1</v>
      </c>
      <c r="FG103" s="2">
        <v>0</v>
      </c>
      <c r="FH103" s="2">
        <v>1</v>
      </c>
      <c r="FI103" s="2">
        <v>0</v>
      </c>
      <c r="FJ103" s="2">
        <v>1</v>
      </c>
      <c r="FK103" s="2">
        <v>0</v>
      </c>
      <c r="FL103" s="2">
        <v>1</v>
      </c>
      <c r="FM103" s="2">
        <v>0</v>
      </c>
      <c r="FN103" s="2">
        <v>0</v>
      </c>
      <c r="FO103" s="2">
        <v>1</v>
      </c>
      <c r="FP103" s="2">
        <v>0</v>
      </c>
      <c r="FQ103" s="2">
        <v>1</v>
      </c>
      <c r="FR103" s="2">
        <v>0</v>
      </c>
      <c r="FS103" s="2">
        <v>1</v>
      </c>
      <c r="FT103" s="2">
        <v>0</v>
      </c>
      <c r="FU103" s="2">
        <v>1</v>
      </c>
      <c r="FV103" s="2">
        <v>0</v>
      </c>
      <c r="FW103" s="2">
        <v>1</v>
      </c>
      <c r="FX103" s="2">
        <v>0</v>
      </c>
      <c r="FY103" s="2">
        <v>1</v>
      </c>
      <c r="FZ103" s="2"/>
      <c r="GA103" s="2">
        <v>4</v>
      </c>
      <c r="GB103" s="2">
        <v>4</v>
      </c>
      <c r="GC103" s="2">
        <v>3</v>
      </c>
      <c r="GD103" s="2">
        <v>3</v>
      </c>
      <c r="GE103" s="2">
        <v>3</v>
      </c>
      <c r="GG103" s="2">
        <v>4</v>
      </c>
      <c r="GH103" s="2">
        <v>4</v>
      </c>
      <c r="GI103" s="2">
        <v>4</v>
      </c>
      <c r="GJ103" s="2">
        <v>4</v>
      </c>
      <c r="GK103" s="2">
        <v>4</v>
      </c>
      <c r="GM103" s="2">
        <f t="shared" si="0"/>
        <v>17</v>
      </c>
      <c r="GN103" s="2">
        <f t="shared" si="1"/>
        <v>20</v>
      </c>
      <c r="GO103" s="2"/>
      <c r="GP103" s="2">
        <v>3</v>
      </c>
      <c r="GQ103" s="2">
        <v>2</v>
      </c>
      <c r="GR103" s="2">
        <v>1</v>
      </c>
      <c r="GS103" s="2">
        <v>1</v>
      </c>
      <c r="GU103" s="2">
        <v>2</v>
      </c>
      <c r="GV103" s="2">
        <v>1</v>
      </c>
      <c r="GW103" s="2">
        <v>1</v>
      </c>
      <c r="GY103" s="2">
        <v>2</v>
      </c>
      <c r="GZ103" s="2">
        <v>2</v>
      </c>
      <c r="HA103" s="2">
        <v>1</v>
      </c>
      <c r="HB103" s="2">
        <v>1</v>
      </c>
      <c r="HD103" s="2">
        <v>1</v>
      </c>
      <c r="HE103" s="2">
        <v>1</v>
      </c>
      <c r="HF103" s="2">
        <v>1</v>
      </c>
      <c r="HH103" s="2">
        <f t="shared" si="2"/>
        <v>11</v>
      </c>
      <c r="HI103" s="2">
        <f t="shared" si="3"/>
        <v>9</v>
      </c>
      <c r="HJ103" s="2"/>
      <c r="HK103" s="2">
        <v>8</v>
      </c>
      <c r="HL103" s="2">
        <v>9</v>
      </c>
      <c r="HM103" s="2"/>
      <c r="HN103" s="2"/>
    </row>
    <row r="104" spans="1:222" ht="15.75" customHeight="1" x14ac:dyDescent="0.2">
      <c r="A104" s="3" t="e">
        <f>VLOOKUP(B104,#REF!,1,FALSE)</f>
        <v>#REF!</v>
      </c>
      <c r="B104" s="3">
        <v>44643.905550995369</v>
      </c>
      <c r="C104" s="2">
        <v>113</v>
      </c>
      <c r="D104" s="2" t="s">
        <v>185</v>
      </c>
      <c r="E104" s="2">
        <v>0</v>
      </c>
      <c r="F104" s="2" t="s">
        <v>186</v>
      </c>
      <c r="G104" s="2">
        <v>8</v>
      </c>
      <c r="H104" s="2">
        <v>2</v>
      </c>
      <c r="I104" s="2">
        <v>1</v>
      </c>
      <c r="J104" s="2">
        <v>3</v>
      </c>
      <c r="K104" s="2">
        <v>0</v>
      </c>
      <c r="L104" s="2">
        <v>4</v>
      </c>
      <c r="M104" s="2" t="s">
        <v>187</v>
      </c>
      <c r="N104" s="2">
        <v>2</v>
      </c>
      <c r="O104" s="2">
        <v>3</v>
      </c>
      <c r="P104" s="2">
        <v>1</v>
      </c>
      <c r="Q104" s="2">
        <v>0</v>
      </c>
      <c r="R104" s="2">
        <v>3</v>
      </c>
      <c r="S104" s="2">
        <v>1</v>
      </c>
      <c r="T104" s="2">
        <v>-1</v>
      </c>
      <c r="U104" s="2">
        <v>1</v>
      </c>
      <c r="V104" s="2">
        <v>1</v>
      </c>
      <c r="W104" s="2">
        <v>1</v>
      </c>
      <c r="X104" s="2"/>
      <c r="Y104" s="2">
        <v>-1</v>
      </c>
      <c r="Z104" s="2">
        <v>1</v>
      </c>
      <c r="AA104" s="2">
        <v>-1</v>
      </c>
      <c r="AB104" s="2">
        <v>1</v>
      </c>
      <c r="AC104" s="2">
        <v>0</v>
      </c>
      <c r="AD104" s="2">
        <v>1</v>
      </c>
      <c r="AE104" s="2">
        <v>2</v>
      </c>
      <c r="AF104" s="2">
        <v>0</v>
      </c>
      <c r="AG104" s="2">
        <v>1</v>
      </c>
      <c r="AH104" s="2">
        <v>1</v>
      </c>
      <c r="AI104" s="2">
        <v>2</v>
      </c>
      <c r="AJ104" s="2">
        <v>2</v>
      </c>
      <c r="AK104" s="2">
        <v>3</v>
      </c>
      <c r="AL104" s="2">
        <v>3</v>
      </c>
      <c r="AM104" s="2">
        <v>1</v>
      </c>
      <c r="AN104" s="2">
        <v>1</v>
      </c>
      <c r="AO104" s="2">
        <v>1</v>
      </c>
      <c r="AP104" s="2">
        <v>1</v>
      </c>
      <c r="AQ104" s="2">
        <v>2</v>
      </c>
      <c r="AR104" s="2">
        <v>0</v>
      </c>
      <c r="AS104" s="2">
        <v>0</v>
      </c>
      <c r="AT104" s="2">
        <v>1</v>
      </c>
      <c r="AU104" s="2">
        <v>0</v>
      </c>
      <c r="AV104" s="2"/>
      <c r="AW104" s="2">
        <v>3</v>
      </c>
      <c r="AX104" s="2">
        <v>0</v>
      </c>
      <c r="AY104" s="2">
        <v>0</v>
      </c>
      <c r="AZ104" s="2">
        <v>0</v>
      </c>
      <c r="BA104" s="2">
        <v>3</v>
      </c>
      <c r="BB104" s="2">
        <v>0</v>
      </c>
      <c r="BC104" s="2">
        <v>4</v>
      </c>
      <c r="BD104" s="2">
        <v>0</v>
      </c>
      <c r="BE104" s="2">
        <v>0</v>
      </c>
      <c r="BF104" s="2">
        <v>0</v>
      </c>
      <c r="BG104" s="2">
        <v>1</v>
      </c>
      <c r="BH104" s="2">
        <v>0</v>
      </c>
      <c r="BI104" s="2"/>
      <c r="BJ104" s="2">
        <v>2</v>
      </c>
      <c r="BK104" s="2">
        <v>0</v>
      </c>
      <c r="BL104" s="2">
        <v>1</v>
      </c>
      <c r="BM104" s="2">
        <v>7</v>
      </c>
      <c r="BN104" s="2">
        <v>7</v>
      </c>
      <c r="BO104" s="2">
        <v>5</v>
      </c>
      <c r="BP104" s="2" t="s">
        <v>471</v>
      </c>
      <c r="BQ104" s="2" t="s">
        <v>472</v>
      </c>
      <c r="BR104" s="2" t="s">
        <v>473</v>
      </c>
      <c r="BS104" s="2" t="s">
        <v>474</v>
      </c>
      <c r="BT104" s="2"/>
      <c r="BU104" s="2" t="s">
        <v>475</v>
      </c>
      <c r="BV104" s="2" t="s">
        <v>476</v>
      </c>
      <c r="BW104" s="2" t="s">
        <v>477</v>
      </c>
      <c r="BX104" s="2" t="s">
        <v>189</v>
      </c>
      <c r="BY104" s="2" t="s">
        <v>189</v>
      </c>
      <c r="BZ104" s="2" t="s">
        <v>188</v>
      </c>
      <c r="CA104" s="2" t="s">
        <v>188</v>
      </c>
      <c r="CB104" s="2" t="s">
        <v>188</v>
      </c>
      <c r="CC104" s="2" t="s">
        <v>188</v>
      </c>
      <c r="CD104" s="2" t="s">
        <v>189</v>
      </c>
      <c r="CE104" s="2" t="s">
        <v>189</v>
      </c>
      <c r="CF104" s="2" t="s">
        <v>188</v>
      </c>
      <c r="CG104" s="2" t="s">
        <v>190</v>
      </c>
      <c r="CH104" s="2" t="s">
        <v>188</v>
      </c>
      <c r="CI104" s="2" t="s">
        <v>189</v>
      </c>
      <c r="CJ104" s="2" t="s">
        <v>189</v>
      </c>
      <c r="CK104" s="2" t="s">
        <v>189</v>
      </c>
      <c r="CL104" s="2" t="s">
        <v>191</v>
      </c>
      <c r="CM104" s="2" t="s">
        <v>193</v>
      </c>
      <c r="CN104" s="2" t="s">
        <v>192</v>
      </c>
      <c r="CO104" s="2" t="s">
        <v>192</v>
      </c>
      <c r="CP104" s="2" t="s">
        <v>193</v>
      </c>
      <c r="CQ104" s="2" t="s">
        <v>193</v>
      </c>
      <c r="CR104" s="2" t="s">
        <v>200</v>
      </c>
      <c r="CS104" s="2" t="s">
        <v>200</v>
      </c>
      <c r="CT104" s="2" t="s">
        <v>193</v>
      </c>
      <c r="CU104" s="2" t="s">
        <v>193</v>
      </c>
      <c r="CV104" s="2" t="s">
        <v>193</v>
      </c>
      <c r="CW104" s="2" t="s">
        <v>192</v>
      </c>
      <c r="CX104" s="2" t="s">
        <v>200</v>
      </c>
      <c r="CY104" s="2" t="s">
        <v>200</v>
      </c>
      <c r="CZ104" s="2" t="s">
        <v>200</v>
      </c>
      <c r="DA104" s="2" t="s">
        <v>200</v>
      </c>
      <c r="DB104" s="2" t="s">
        <v>192</v>
      </c>
      <c r="DC104" s="2" t="s">
        <v>192</v>
      </c>
      <c r="DD104" s="2" t="s">
        <v>200</v>
      </c>
      <c r="DE104" s="2" t="s">
        <v>192</v>
      </c>
      <c r="DF104" s="2" t="s">
        <v>192</v>
      </c>
      <c r="DG104" s="2" t="s">
        <v>201</v>
      </c>
      <c r="DH104" s="2" t="s">
        <v>201</v>
      </c>
      <c r="DI104" s="2" t="s">
        <v>201</v>
      </c>
      <c r="DJ104" s="2" t="s">
        <v>201</v>
      </c>
      <c r="DK104" s="2" t="s">
        <v>196</v>
      </c>
      <c r="DL104" s="2" t="s">
        <v>201</v>
      </c>
      <c r="DM104" s="2" t="s">
        <v>196</v>
      </c>
      <c r="DN104" s="2" t="s">
        <v>194</v>
      </c>
      <c r="DO104" s="2" t="s">
        <v>220</v>
      </c>
      <c r="DP104" s="2" t="s">
        <v>196</v>
      </c>
      <c r="DQ104" s="2" t="s">
        <v>201</v>
      </c>
      <c r="DR104" s="2" t="s">
        <v>194</v>
      </c>
      <c r="DS104" s="2" t="s">
        <v>197</v>
      </c>
      <c r="DT104" s="2" t="s">
        <v>197</v>
      </c>
      <c r="DU104" s="2" t="s">
        <v>197</v>
      </c>
      <c r="DV104" s="2" t="s">
        <v>197</v>
      </c>
      <c r="DW104" s="2" t="s">
        <v>197</v>
      </c>
      <c r="DX104" s="2" t="s">
        <v>197</v>
      </c>
      <c r="DY104" s="2" t="s">
        <v>197</v>
      </c>
      <c r="DZ104" s="2"/>
      <c r="EA104" s="2">
        <v>1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1</v>
      </c>
      <c r="EJ104" s="2">
        <v>1</v>
      </c>
      <c r="EK104" s="2">
        <v>0</v>
      </c>
      <c r="EL104" s="2">
        <v>0</v>
      </c>
      <c r="EM104" s="2">
        <v>1</v>
      </c>
      <c r="EN104" s="2">
        <v>1</v>
      </c>
      <c r="EO104" s="2">
        <v>0</v>
      </c>
      <c r="EP104" s="2">
        <v>0</v>
      </c>
      <c r="EQ104" s="2">
        <v>1</v>
      </c>
      <c r="ER104" s="2">
        <v>0</v>
      </c>
      <c r="ES104" s="2">
        <v>1</v>
      </c>
      <c r="ET104" s="2">
        <v>1</v>
      </c>
      <c r="EU104" s="2">
        <v>0</v>
      </c>
      <c r="EV104" s="2">
        <v>1</v>
      </c>
      <c r="EW104" s="2">
        <v>0</v>
      </c>
      <c r="EX104" s="2">
        <v>0</v>
      </c>
      <c r="EY104" s="2">
        <v>1</v>
      </c>
      <c r="EZ104" s="2">
        <v>0</v>
      </c>
      <c r="FA104" s="2">
        <v>1</v>
      </c>
      <c r="FB104" s="2">
        <v>1</v>
      </c>
      <c r="FC104" s="2">
        <v>0</v>
      </c>
      <c r="FD104" s="2">
        <v>0</v>
      </c>
      <c r="FE104" s="2">
        <v>0</v>
      </c>
      <c r="FF104" s="2">
        <v>1</v>
      </c>
      <c r="FG104" s="2">
        <v>0</v>
      </c>
      <c r="FH104" s="2">
        <v>1</v>
      </c>
      <c r="FI104" s="2">
        <v>0</v>
      </c>
      <c r="FJ104" s="2">
        <v>1</v>
      </c>
      <c r="FK104" s="2">
        <v>0</v>
      </c>
      <c r="FL104" s="2">
        <v>1</v>
      </c>
      <c r="FM104" s="2">
        <v>0</v>
      </c>
      <c r="FN104" s="2">
        <v>1</v>
      </c>
      <c r="FO104" s="2">
        <v>0</v>
      </c>
      <c r="FP104" s="2">
        <v>0</v>
      </c>
      <c r="FQ104" s="2">
        <v>1</v>
      </c>
      <c r="FR104" s="2">
        <v>1</v>
      </c>
      <c r="FS104" s="2">
        <v>0</v>
      </c>
      <c r="FT104" s="2">
        <v>1</v>
      </c>
      <c r="FU104" s="2">
        <v>0</v>
      </c>
      <c r="FV104" s="2">
        <v>1</v>
      </c>
      <c r="FW104" s="2">
        <v>0</v>
      </c>
      <c r="FX104" s="2">
        <v>0</v>
      </c>
      <c r="FY104" s="2">
        <v>1</v>
      </c>
      <c r="FZ104" s="2"/>
      <c r="GA104" s="2">
        <v>1</v>
      </c>
      <c r="GB104" s="2">
        <v>1</v>
      </c>
      <c r="GC104" s="2">
        <v>1</v>
      </c>
      <c r="GD104" s="2">
        <v>1</v>
      </c>
      <c r="GE104" s="2">
        <v>2</v>
      </c>
      <c r="GG104" s="2">
        <v>0</v>
      </c>
      <c r="GH104" s="2">
        <v>3</v>
      </c>
      <c r="GI104" s="2">
        <v>0</v>
      </c>
      <c r="GJ104" s="2">
        <v>4</v>
      </c>
      <c r="GK104" s="2">
        <v>0</v>
      </c>
      <c r="GM104" s="2">
        <f t="shared" si="0"/>
        <v>6</v>
      </c>
      <c r="GN104" s="2">
        <f t="shared" si="1"/>
        <v>7</v>
      </c>
      <c r="GO104" s="2"/>
      <c r="GP104" s="2">
        <v>0</v>
      </c>
      <c r="GQ104" s="2">
        <v>0</v>
      </c>
      <c r="GR104" s="2">
        <v>1</v>
      </c>
      <c r="GS104" s="2">
        <v>0</v>
      </c>
      <c r="GU104" s="2">
        <v>3</v>
      </c>
      <c r="GV104" s="2">
        <v>0</v>
      </c>
      <c r="GW104" s="2">
        <v>0</v>
      </c>
      <c r="GY104" s="2">
        <v>0</v>
      </c>
      <c r="GZ104" s="2">
        <v>0</v>
      </c>
      <c r="HA104" s="2">
        <v>1</v>
      </c>
      <c r="HB104" s="2">
        <v>0</v>
      </c>
      <c r="HD104" s="2">
        <v>2</v>
      </c>
      <c r="HE104" s="2">
        <v>0</v>
      </c>
      <c r="HF104" s="2">
        <v>1</v>
      </c>
      <c r="HH104" s="2">
        <f t="shared" si="2"/>
        <v>4</v>
      </c>
      <c r="HI104" s="2">
        <f t="shared" si="3"/>
        <v>4</v>
      </c>
      <c r="HJ104" s="2"/>
      <c r="HK104" s="2">
        <v>7</v>
      </c>
      <c r="HL104" s="2">
        <v>5</v>
      </c>
      <c r="HM104" s="2"/>
      <c r="HN104" s="2"/>
    </row>
    <row r="105" spans="1:222" ht="15.75" customHeight="1" x14ac:dyDescent="0.2">
      <c r="A105" s="3" t="e">
        <f>VLOOKUP(B105,#REF!,1,FALSE)</f>
        <v>#REF!</v>
      </c>
      <c r="B105" s="3">
        <v>44643.909047395835</v>
      </c>
      <c r="C105" s="2">
        <v>114</v>
      </c>
      <c r="D105" s="2" t="s">
        <v>185</v>
      </c>
      <c r="E105" s="2">
        <v>0</v>
      </c>
      <c r="F105" s="2" t="s">
        <v>478</v>
      </c>
      <c r="G105" s="2">
        <v>15</v>
      </c>
      <c r="H105" s="2">
        <v>2</v>
      </c>
      <c r="I105" s="2">
        <v>1</v>
      </c>
      <c r="J105" s="2">
        <v>7</v>
      </c>
      <c r="K105" s="2">
        <v>2</v>
      </c>
      <c r="L105" s="2">
        <v>6</v>
      </c>
      <c r="M105" s="2" t="s">
        <v>213</v>
      </c>
      <c r="N105" s="2">
        <v>3</v>
      </c>
      <c r="O105" s="2">
        <v>2</v>
      </c>
      <c r="P105" s="2">
        <v>0</v>
      </c>
      <c r="Q105" s="2">
        <v>5</v>
      </c>
      <c r="R105" s="2">
        <v>3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/>
      <c r="Y105" s="2">
        <v>0</v>
      </c>
      <c r="Z105" s="2">
        <v>1</v>
      </c>
      <c r="AA105" s="2">
        <v>1</v>
      </c>
      <c r="AB105" s="2">
        <v>4</v>
      </c>
      <c r="AC105" s="2">
        <v>2</v>
      </c>
      <c r="AD105" s="2">
        <v>4</v>
      </c>
      <c r="AE105" s="2">
        <v>4</v>
      </c>
      <c r="AF105" s="2">
        <v>4</v>
      </c>
      <c r="AG105" s="2">
        <v>3</v>
      </c>
      <c r="AH105" s="2">
        <v>3</v>
      </c>
      <c r="AI105" s="2">
        <v>3</v>
      </c>
      <c r="AJ105" s="2">
        <v>3</v>
      </c>
      <c r="AK105" s="2">
        <v>2</v>
      </c>
      <c r="AL105" s="2">
        <v>2</v>
      </c>
      <c r="AM105" s="2">
        <v>4</v>
      </c>
      <c r="AN105" s="2">
        <v>4</v>
      </c>
      <c r="AO105" s="2">
        <v>4</v>
      </c>
      <c r="AP105" s="2">
        <v>4</v>
      </c>
      <c r="AQ105" s="2">
        <v>4</v>
      </c>
      <c r="AR105" s="2">
        <v>4</v>
      </c>
      <c r="AS105" s="2">
        <v>1</v>
      </c>
      <c r="AT105" s="2">
        <v>0</v>
      </c>
      <c r="AU105" s="2">
        <v>1</v>
      </c>
      <c r="AV105" s="2"/>
      <c r="AW105" s="2">
        <v>1</v>
      </c>
      <c r="AX105" s="2">
        <v>1</v>
      </c>
      <c r="AY105" s="2">
        <v>2</v>
      </c>
      <c r="AZ105" s="2">
        <v>4</v>
      </c>
      <c r="BA105" s="2">
        <v>4</v>
      </c>
      <c r="BB105" s="2">
        <v>4</v>
      </c>
      <c r="BC105" s="2">
        <v>4</v>
      </c>
      <c r="BD105" s="2">
        <v>4</v>
      </c>
      <c r="BE105" s="2">
        <v>3</v>
      </c>
      <c r="BF105" s="2">
        <v>1</v>
      </c>
      <c r="BG105" s="2">
        <v>1</v>
      </c>
      <c r="BH105" s="2">
        <v>1</v>
      </c>
      <c r="BI105" s="2"/>
      <c r="BJ105" s="2">
        <v>1</v>
      </c>
      <c r="BK105" s="2">
        <v>1</v>
      </c>
      <c r="BL105" s="2">
        <v>2</v>
      </c>
      <c r="BM105" s="2">
        <v>9</v>
      </c>
      <c r="BN105" s="2">
        <v>10</v>
      </c>
      <c r="BO105" s="2">
        <v>10</v>
      </c>
      <c r="BP105" s="2"/>
      <c r="BQ105" s="2"/>
      <c r="BR105" s="2"/>
      <c r="BS105" s="2"/>
      <c r="BT105" s="2"/>
      <c r="BU105" s="2"/>
      <c r="BV105" s="2" t="s">
        <v>479</v>
      </c>
      <c r="BW105" s="2" t="s">
        <v>480</v>
      </c>
      <c r="BX105" s="2" t="s">
        <v>190</v>
      </c>
      <c r="BY105" s="2" t="s">
        <v>188</v>
      </c>
      <c r="BZ105" s="2" t="s">
        <v>190</v>
      </c>
      <c r="CA105" s="2" t="s">
        <v>190</v>
      </c>
      <c r="CB105" s="2" t="s">
        <v>190</v>
      </c>
      <c r="CC105" s="2" t="s">
        <v>190</v>
      </c>
      <c r="CD105" s="2" t="s">
        <v>190</v>
      </c>
      <c r="CE105" s="2" t="s">
        <v>190</v>
      </c>
      <c r="CF105" s="2" t="s">
        <v>188</v>
      </c>
      <c r="CG105" s="2" t="s">
        <v>188</v>
      </c>
      <c r="CH105" s="2" t="s">
        <v>188</v>
      </c>
      <c r="CI105" s="2" t="s">
        <v>189</v>
      </c>
      <c r="CJ105" s="2" t="s">
        <v>190</v>
      </c>
      <c r="CK105" s="2" t="s">
        <v>190</v>
      </c>
      <c r="CL105" s="2" t="s">
        <v>190</v>
      </c>
      <c r="CM105" s="2" t="s">
        <v>192</v>
      </c>
      <c r="CN105" s="2" t="s">
        <v>192</v>
      </c>
      <c r="CO105" s="2" t="s">
        <v>200</v>
      </c>
      <c r="CP105" s="2" t="s">
        <v>192</v>
      </c>
      <c r="CQ105" s="2" t="s">
        <v>193</v>
      </c>
      <c r="CR105" s="2" t="s">
        <v>192</v>
      </c>
      <c r="CS105" s="2" t="s">
        <v>192</v>
      </c>
      <c r="CT105" s="2" t="s">
        <v>192</v>
      </c>
      <c r="CU105" s="2" t="s">
        <v>192</v>
      </c>
      <c r="CV105" s="2" t="s">
        <v>192</v>
      </c>
      <c r="CW105" s="2" t="s">
        <v>200</v>
      </c>
      <c r="CX105" s="2" t="s">
        <v>192</v>
      </c>
      <c r="CY105" s="2" t="s">
        <v>200</v>
      </c>
      <c r="CZ105" s="2" t="s">
        <v>200</v>
      </c>
      <c r="DA105" s="2" t="s">
        <v>200</v>
      </c>
      <c r="DB105" s="2" t="s">
        <v>192</v>
      </c>
      <c r="DC105" s="2" t="s">
        <v>192</v>
      </c>
      <c r="DD105" s="2" t="s">
        <v>192</v>
      </c>
      <c r="DE105" s="2" t="s">
        <v>192</v>
      </c>
      <c r="DF105" s="2" t="s">
        <v>200</v>
      </c>
      <c r="DG105" s="2" t="s">
        <v>220</v>
      </c>
      <c r="DH105" s="2" t="s">
        <v>220</v>
      </c>
      <c r="DI105" s="2" t="s">
        <v>220</v>
      </c>
      <c r="DJ105" s="2" t="s">
        <v>220</v>
      </c>
      <c r="DK105" s="2" t="s">
        <v>220</v>
      </c>
      <c r="DL105" s="2" t="s">
        <v>220</v>
      </c>
      <c r="DM105" s="2" t="s">
        <v>220</v>
      </c>
      <c r="DN105" s="2" t="s">
        <v>220</v>
      </c>
      <c r="DO105" s="2" t="s">
        <v>194</v>
      </c>
      <c r="DP105" s="2" t="s">
        <v>220</v>
      </c>
      <c r="DQ105" s="2" t="s">
        <v>220</v>
      </c>
      <c r="DR105" s="2" t="s">
        <v>220</v>
      </c>
      <c r="DS105" s="2" t="s">
        <v>197</v>
      </c>
      <c r="DT105" s="2" t="s">
        <v>197</v>
      </c>
      <c r="DU105" s="2" t="s">
        <v>221</v>
      </c>
      <c r="DV105" s="2" t="s">
        <v>197</v>
      </c>
      <c r="DW105" s="2" t="s">
        <v>197</v>
      </c>
      <c r="DX105" s="2" t="s">
        <v>199</v>
      </c>
      <c r="DY105" s="2" t="s">
        <v>197</v>
      </c>
      <c r="DZ105" s="2"/>
      <c r="EA105" s="2">
        <v>0</v>
      </c>
      <c r="EB105" s="2">
        <v>0</v>
      </c>
      <c r="EC105" s="2">
        <v>0</v>
      </c>
      <c r="ED105" s="2">
        <v>1</v>
      </c>
      <c r="EE105" s="2">
        <v>0</v>
      </c>
      <c r="EF105" s="2">
        <v>0</v>
      </c>
      <c r="EG105" s="2">
        <v>0</v>
      </c>
      <c r="EH105" s="2">
        <v>0</v>
      </c>
      <c r="EI105" s="2">
        <v>1</v>
      </c>
      <c r="EJ105" s="2">
        <v>1</v>
      </c>
      <c r="EK105" s="2">
        <v>0</v>
      </c>
      <c r="EL105" s="2">
        <v>0</v>
      </c>
      <c r="EM105" s="2">
        <v>1</v>
      </c>
      <c r="EN105" s="2">
        <v>1</v>
      </c>
      <c r="EO105" s="2">
        <v>0</v>
      </c>
      <c r="EP105" s="2">
        <v>1</v>
      </c>
      <c r="EQ105" s="2">
        <v>0</v>
      </c>
      <c r="ER105" s="2">
        <v>0</v>
      </c>
      <c r="ES105" s="2">
        <v>1</v>
      </c>
      <c r="ET105" s="2">
        <v>1</v>
      </c>
      <c r="EU105" s="2">
        <v>0</v>
      </c>
      <c r="EV105" s="2">
        <v>1</v>
      </c>
      <c r="EW105" s="2">
        <v>0</v>
      </c>
      <c r="EX105" s="2">
        <v>0</v>
      </c>
      <c r="EY105" s="2">
        <v>1</v>
      </c>
      <c r="EZ105" s="2">
        <v>0</v>
      </c>
      <c r="FA105" s="2">
        <v>0</v>
      </c>
      <c r="FB105" s="2">
        <v>0</v>
      </c>
      <c r="FC105" s="2">
        <v>1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1</v>
      </c>
      <c r="FR105" s="2">
        <v>0</v>
      </c>
      <c r="FS105" s="2">
        <v>1</v>
      </c>
      <c r="FT105" s="2">
        <v>0</v>
      </c>
      <c r="FU105" s="2">
        <v>1</v>
      </c>
      <c r="FV105" s="2">
        <v>0</v>
      </c>
      <c r="FW105" s="2">
        <v>0</v>
      </c>
      <c r="FX105" s="2">
        <v>0</v>
      </c>
      <c r="FY105" s="2">
        <v>1</v>
      </c>
      <c r="FZ105" s="2"/>
      <c r="GA105" s="2">
        <v>4</v>
      </c>
      <c r="GB105" s="2">
        <v>4</v>
      </c>
      <c r="GC105" s="2">
        <v>4</v>
      </c>
      <c r="GD105" s="2">
        <v>4</v>
      </c>
      <c r="GE105" s="2">
        <v>4</v>
      </c>
      <c r="GG105" s="2">
        <v>4</v>
      </c>
      <c r="GH105" s="2">
        <v>4</v>
      </c>
      <c r="GI105" s="2">
        <v>4</v>
      </c>
      <c r="GJ105" s="2">
        <v>4</v>
      </c>
      <c r="GK105" s="2">
        <v>4</v>
      </c>
      <c r="GM105" s="2">
        <f t="shared" si="0"/>
        <v>20</v>
      </c>
      <c r="GN105" s="2">
        <f t="shared" si="1"/>
        <v>20</v>
      </c>
      <c r="GO105" s="2"/>
      <c r="GP105" s="2">
        <v>4</v>
      </c>
      <c r="GQ105" s="2">
        <v>1</v>
      </c>
      <c r="GR105" s="2">
        <v>0</v>
      </c>
      <c r="GS105" s="2">
        <v>1</v>
      </c>
      <c r="GU105" s="2">
        <v>1</v>
      </c>
      <c r="GV105" s="2">
        <v>1</v>
      </c>
      <c r="GW105" s="2">
        <v>2</v>
      </c>
      <c r="GY105" s="2">
        <v>3</v>
      </c>
      <c r="GZ105" s="2">
        <v>1</v>
      </c>
      <c r="HA105" s="2">
        <v>1</v>
      </c>
      <c r="HB105" s="2">
        <v>1</v>
      </c>
      <c r="HD105" s="2">
        <v>1</v>
      </c>
      <c r="HE105" s="2">
        <v>1</v>
      </c>
      <c r="HF105" s="2">
        <v>2</v>
      </c>
      <c r="HH105" s="2">
        <f t="shared" si="2"/>
        <v>10</v>
      </c>
      <c r="HI105" s="2">
        <f t="shared" si="3"/>
        <v>10</v>
      </c>
      <c r="HJ105" s="2"/>
      <c r="HK105" s="2">
        <v>10</v>
      </c>
      <c r="HL105" s="2">
        <v>10</v>
      </c>
      <c r="HM105" s="2"/>
      <c r="HN105" s="2"/>
    </row>
    <row r="106" spans="1:222" ht="15.75" customHeight="1" x14ac:dyDescent="0.2">
      <c r="A106" s="3" t="e">
        <f>VLOOKUP(B106,#REF!,1,FALSE)</f>
        <v>#REF!</v>
      </c>
      <c r="B106" s="3">
        <v>44643.90962849537</v>
      </c>
      <c r="C106" s="2">
        <v>115</v>
      </c>
      <c r="D106" s="2" t="s">
        <v>185</v>
      </c>
      <c r="E106" s="2">
        <v>0</v>
      </c>
      <c r="F106" s="2" t="s">
        <v>232</v>
      </c>
      <c r="G106" s="2">
        <v>15</v>
      </c>
      <c r="H106" s="2">
        <v>2</v>
      </c>
      <c r="I106" s="2">
        <v>0</v>
      </c>
      <c r="J106" s="2">
        <v>6</v>
      </c>
      <c r="K106" s="2">
        <v>0</v>
      </c>
      <c r="L106" s="2">
        <v>7</v>
      </c>
      <c r="M106" s="2" t="s">
        <v>213</v>
      </c>
      <c r="N106" s="2">
        <v>3</v>
      </c>
      <c r="O106" s="2">
        <v>5</v>
      </c>
      <c r="P106" s="2">
        <v>0</v>
      </c>
      <c r="Q106" s="2">
        <v>0</v>
      </c>
      <c r="R106" s="2">
        <v>2</v>
      </c>
      <c r="S106" s="2">
        <v>1</v>
      </c>
      <c r="T106" s="2">
        <v>-1</v>
      </c>
      <c r="U106" s="2">
        <v>-1</v>
      </c>
      <c r="V106" s="2">
        <v>-1</v>
      </c>
      <c r="W106" s="2">
        <v>-1</v>
      </c>
      <c r="X106" s="2"/>
      <c r="Y106" s="2">
        <v>0</v>
      </c>
      <c r="Z106" s="2">
        <v>1</v>
      </c>
      <c r="AA106" s="2">
        <v>1</v>
      </c>
      <c r="AB106" s="2">
        <v>2</v>
      </c>
      <c r="AC106" s="2">
        <v>2</v>
      </c>
      <c r="AD106" s="2">
        <v>2</v>
      </c>
      <c r="AE106" s="2">
        <v>2</v>
      </c>
      <c r="AF106" s="2">
        <v>1</v>
      </c>
      <c r="AG106" s="2">
        <v>-2</v>
      </c>
      <c r="AH106" s="2">
        <v>2</v>
      </c>
      <c r="AI106" s="2">
        <v>-1</v>
      </c>
      <c r="AJ106" s="2">
        <v>-1</v>
      </c>
      <c r="AK106" s="2">
        <v>1</v>
      </c>
      <c r="AL106" s="2">
        <v>-1</v>
      </c>
      <c r="AM106" s="2">
        <v>0</v>
      </c>
      <c r="AN106" s="2">
        <v>0</v>
      </c>
      <c r="AO106" s="2">
        <v>1</v>
      </c>
      <c r="AP106" s="2">
        <v>0</v>
      </c>
      <c r="AQ106" s="2">
        <v>1</v>
      </c>
      <c r="AR106" s="2">
        <v>4</v>
      </c>
      <c r="AS106" s="2">
        <v>0</v>
      </c>
      <c r="AT106" s="2">
        <v>0</v>
      </c>
      <c r="AU106" s="2">
        <v>0</v>
      </c>
      <c r="AV106" s="2"/>
      <c r="AW106" s="2">
        <v>0</v>
      </c>
      <c r="AX106" s="2">
        <v>0</v>
      </c>
      <c r="AY106" s="2">
        <v>2</v>
      </c>
      <c r="AZ106" s="2">
        <v>1</v>
      </c>
      <c r="BA106" s="2">
        <v>4</v>
      </c>
      <c r="BB106" s="2">
        <v>4</v>
      </c>
      <c r="BC106" s="2">
        <v>4</v>
      </c>
      <c r="BD106" s="2">
        <v>3</v>
      </c>
      <c r="BE106" s="2">
        <v>3</v>
      </c>
      <c r="BF106" s="2">
        <v>0</v>
      </c>
      <c r="BG106" s="2">
        <v>0</v>
      </c>
      <c r="BH106" s="2">
        <v>0</v>
      </c>
      <c r="BI106" s="2"/>
      <c r="BJ106" s="2">
        <v>0</v>
      </c>
      <c r="BK106" s="2">
        <v>0</v>
      </c>
      <c r="BL106" s="2">
        <v>2</v>
      </c>
      <c r="BM106" s="2">
        <v>6</v>
      </c>
      <c r="BN106" s="2">
        <v>8</v>
      </c>
      <c r="BO106" s="2">
        <v>8</v>
      </c>
      <c r="BP106" s="2"/>
      <c r="BQ106" s="2"/>
      <c r="BR106" s="2"/>
      <c r="BS106" s="2"/>
      <c r="BT106" s="2"/>
      <c r="BU106" s="2"/>
      <c r="BV106" s="2"/>
      <c r="BW106" s="2"/>
      <c r="BX106" s="2" t="s">
        <v>191</v>
      </c>
      <c r="BY106" s="2" t="s">
        <v>190</v>
      </c>
      <c r="BZ106" s="2" t="s">
        <v>191</v>
      </c>
      <c r="CA106" s="2" t="s">
        <v>188</v>
      </c>
      <c r="CB106" s="2" t="s">
        <v>188</v>
      </c>
      <c r="CC106" s="2" t="s">
        <v>191</v>
      </c>
      <c r="CD106" s="2" t="s">
        <v>189</v>
      </c>
      <c r="CE106" s="2" t="s">
        <v>188</v>
      </c>
      <c r="CF106" s="2" t="s">
        <v>188</v>
      </c>
      <c r="CG106" s="2" t="s">
        <v>188</v>
      </c>
      <c r="CH106" s="2" t="s">
        <v>189</v>
      </c>
      <c r="CI106" s="2" t="s">
        <v>189</v>
      </c>
      <c r="CJ106" s="2" t="s">
        <v>189</v>
      </c>
      <c r="CK106" s="2" t="s">
        <v>189</v>
      </c>
      <c r="CL106" s="2" t="s">
        <v>191</v>
      </c>
      <c r="CM106" s="2" t="s">
        <v>193</v>
      </c>
      <c r="CN106" s="2" t="s">
        <v>200</v>
      </c>
      <c r="CO106" s="2" t="s">
        <v>193</v>
      </c>
      <c r="CP106" s="2" t="s">
        <v>193</v>
      </c>
      <c r="CQ106" s="2" t="s">
        <v>193</v>
      </c>
      <c r="CR106" s="2" t="s">
        <v>200</v>
      </c>
      <c r="CS106" s="2" t="s">
        <v>200</v>
      </c>
      <c r="CT106" s="2" t="s">
        <v>200</v>
      </c>
      <c r="CU106" s="2" t="s">
        <v>200</v>
      </c>
      <c r="CV106" s="2" t="s">
        <v>200</v>
      </c>
      <c r="CW106" s="2" t="s">
        <v>193</v>
      </c>
      <c r="CX106" s="2" t="s">
        <v>200</v>
      </c>
      <c r="CY106" s="2" t="s">
        <v>193</v>
      </c>
      <c r="CZ106" s="2" t="s">
        <v>193</v>
      </c>
      <c r="DA106" s="2" t="s">
        <v>200</v>
      </c>
      <c r="DB106" s="2" t="s">
        <v>193</v>
      </c>
      <c r="DC106" s="2" t="s">
        <v>193</v>
      </c>
      <c r="DD106" s="2" t="s">
        <v>193</v>
      </c>
      <c r="DE106" s="2" t="s">
        <v>192</v>
      </c>
      <c r="DF106" s="2" t="s">
        <v>193</v>
      </c>
      <c r="DG106" s="2" t="s">
        <v>195</v>
      </c>
      <c r="DH106" s="2" t="s">
        <v>195</v>
      </c>
      <c r="DI106" s="2" t="s">
        <v>195</v>
      </c>
      <c r="DJ106" s="2" t="s">
        <v>195</v>
      </c>
      <c r="DK106" s="2" t="s">
        <v>196</v>
      </c>
      <c r="DL106" s="2" t="s">
        <v>195</v>
      </c>
      <c r="DM106" s="2" t="s">
        <v>196</v>
      </c>
      <c r="DN106" s="2" t="s">
        <v>220</v>
      </c>
      <c r="DO106" s="2" t="s">
        <v>220</v>
      </c>
      <c r="DP106" s="2" t="s">
        <v>196</v>
      </c>
      <c r="DQ106" s="2" t="s">
        <v>195</v>
      </c>
      <c r="DR106" s="2" t="s">
        <v>195</v>
      </c>
      <c r="DS106" s="2" t="s">
        <v>197</v>
      </c>
      <c r="DT106" s="2" t="s">
        <v>222</v>
      </c>
      <c r="DU106" s="2" t="s">
        <v>199</v>
      </c>
      <c r="DV106" s="2" t="s">
        <v>197</v>
      </c>
      <c r="DW106" s="2" t="s">
        <v>197</v>
      </c>
      <c r="DX106" s="2" t="s">
        <v>222</v>
      </c>
      <c r="DY106" s="2" t="s">
        <v>197</v>
      </c>
      <c r="DZ106" s="2"/>
      <c r="EA106" s="2">
        <v>1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1</v>
      </c>
      <c r="EJ106" s="2">
        <v>1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1</v>
      </c>
      <c r="EZ106" s="2">
        <v>0</v>
      </c>
      <c r="FA106" s="2">
        <v>0</v>
      </c>
      <c r="FB106" s="2">
        <v>0</v>
      </c>
      <c r="FC106" s="2">
        <v>1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1</v>
      </c>
      <c r="FR106" s="2">
        <v>0</v>
      </c>
      <c r="FS106" s="2">
        <v>1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/>
      <c r="GA106" s="2">
        <v>0</v>
      </c>
      <c r="GB106" s="2">
        <v>0</v>
      </c>
      <c r="GC106" s="2">
        <v>1</v>
      </c>
      <c r="GD106" s="2">
        <v>0</v>
      </c>
      <c r="GE106" s="2">
        <v>1</v>
      </c>
      <c r="GG106" s="2">
        <v>1</v>
      </c>
      <c r="GH106" s="2">
        <v>4</v>
      </c>
      <c r="GI106" s="2">
        <v>4</v>
      </c>
      <c r="GJ106" s="2">
        <v>4</v>
      </c>
      <c r="GK106" s="2">
        <v>3</v>
      </c>
      <c r="GM106" s="2">
        <f t="shared" si="0"/>
        <v>2</v>
      </c>
      <c r="GN106" s="2">
        <f t="shared" si="1"/>
        <v>16</v>
      </c>
      <c r="GO106" s="2"/>
      <c r="GP106" s="2">
        <v>4</v>
      </c>
      <c r="GQ106" s="2">
        <v>0</v>
      </c>
      <c r="GR106" s="2">
        <v>0</v>
      </c>
      <c r="GS106" s="2">
        <v>0</v>
      </c>
      <c r="GU106" s="2">
        <v>0</v>
      </c>
      <c r="GV106" s="2">
        <v>0</v>
      </c>
      <c r="GW106" s="2">
        <v>2</v>
      </c>
      <c r="GY106" s="2">
        <v>3</v>
      </c>
      <c r="GZ106" s="2">
        <v>0</v>
      </c>
      <c r="HA106" s="2">
        <v>0</v>
      </c>
      <c r="HB106" s="2">
        <v>0</v>
      </c>
      <c r="HD106" s="2">
        <v>0</v>
      </c>
      <c r="HE106" s="2">
        <v>0</v>
      </c>
      <c r="HF106" s="2">
        <v>2</v>
      </c>
      <c r="HH106" s="2">
        <f t="shared" si="2"/>
        <v>6</v>
      </c>
      <c r="HI106" s="2">
        <f t="shared" si="3"/>
        <v>5</v>
      </c>
      <c r="HJ106" s="2"/>
      <c r="HK106" s="2">
        <v>8</v>
      </c>
      <c r="HL106" s="2">
        <v>8</v>
      </c>
      <c r="HM106" s="2"/>
      <c r="HN106" s="2"/>
    </row>
    <row r="107" spans="1:222" ht="15.75" customHeight="1" x14ac:dyDescent="0.2">
      <c r="A107" s="3" t="e">
        <f>VLOOKUP(B107,#REF!,1,FALSE)</f>
        <v>#REF!</v>
      </c>
      <c r="B107" s="3">
        <v>44643.926560416665</v>
      </c>
      <c r="C107" s="2">
        <v>116</v>
      </c>
      <c r="D107" s="2" t="s">
        <v>185</v>
      </c>
      <c r="E107" s="2">
        <v>0</v>
      </c>
      <c r="F107" s="2" t="s">
        <v>186</v>
      </c>
      <c r="G107" s="2">
        <v>2</v>
      </c>
      <c r="H107" s="2">
        <v>2</v>
      </c>
      <c r="I107" s="2">
        <v>1</v>
      </c>
      <c r="J107" s="2">
        <v>3</v>
      </c>
      <c r="K107" s="2">
        <v>0</v>
      </c>
      <c r="L107" s="2">
        <v>2</v>
      </c>
      <c r="M107" s="2" t="s">
        <v>187</v>
      </c>
      <c r="N107" s="2">
        <v>2</v>
      </c>
      <c r="O107" s="2">
        <v>6</v>
      </c>
      <c r="P107" s="2">
        <v>2</v>
      </c>
      <c r="Q107" s="2">
        <v>0</v>
      </c>
      <c r="R107" s="2">
        <v>2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/>
      <c r="Y107" s="2">
        <v>-1</v>
      </c>
      <c r="Z107" s="2">
        <v>0</v>
      </c>
      <c r="AA107" s="2">
        <v>1</v>
      </c>
      <c r="AB107" s="2">
        <v>1</v>
      </c>
      <c r="AC107" s="2">
        <v>0</v>
      </c>
      <c r="AD107" s="2">
        <v>1</v>
      </c>
      <c r="AE107" s="2">
        <v>2</v>
      </c>
      <c r="AF107" s="2">
        <v>4</v>
      </c>
      <c r="AG107" s="2">
        <v>1</v>
      </c>
      <c r="AH107" s="2">
        <v>2</v>
      </c>
      <c r="AI107" s="2">
        <v>1</v>
      </c>
      <c r="AJ107" s="2">
        <v>1</v>
      </c>
      <c r="AK107" s="2">
        <v>1</v>
      </c>
      <c r="AL107" s="2">
        <v>2</v>
      </c>
      <c r="AM107" s="2">
        <v>4</v>
      </c>
      <c r="AN107" s="2">
        <v>3</v>
      </c>
      <c r="AO107" s="2">
        <v>4</v>
      </c>
      <c r="AP107" s="2">
        <v>3</v>
      </c>
      <c r="AQ107" s="2">
        <v>4</v>
      </c>
      <c r="AR107" s="2">
        <v>3</v>
      </c>
      <c r="AS107" s="2">
        <v>2</v>
      </c>
      <c r="AT107" s="2">
        <v>1</v>
      </c>
      <c r="AU107" s="2">
        <v>2</v>
      </c>
      <c r="AV107" s="2"/>
      <c r="AW107" s="2">
        <v>3</v>
      </c>
      <c r="AX107" s="2">
        <v>3</v>
      </c>
      <c r="AY107" s="2">
        <v>3</v>
      </c>
      <c r="AZ107" s="2">
        <v>2</v>
      </c>
      <c r="BA107" s="2">
        <v>3</v>
      </c>
      <c r="BB107" s="2">
        <v>2</v>
      </c>
      <c r="BC107" s="2">
        <v>2</v>
      </c>
      <c r="BD107" s="2">
        <v>2</v>
      </c>
      <c r="BE107" s="2">
        <v>2</v>
      </c>
      <c r="BF107" s="2">
        <v>2</v>
      </c>
      <c r="BG107" s="2">
        <v>2</v>
      </c>
      <c r="BH107" s="2">
        <v>2</v>
      </c>
      <c r="BI107" s="2"/>
      <c r="BJ107" s="2">
        <v>3</v>
      </c>
      <c r="BK107" s="2">
        <v>1</v>
      </c>
      <c r="BL107" s="2">
        <v>1</v>
      </c>
      <c r="BM107" s="2">
        <v>7</v>
      </c>
      <c r="BN107" s="2">
        <v>8</v>
      </c>
      <c r="BO107" s="2">
        <v>6</v>
      </c>
      <c r="BP107" s="2" t="s">
        <v>481</v>
      </c>
      <c r="BQ107" s="2"/>
      <c r="BR107" s="2"/>
      <c r="BS107" s="2"/>
      <c r="BT107" s="2"/>
      <c r="BU107" s="2"/>
      <c r="BV107" s="2" t="s">
        <v>482</v>
      </c>
      <c r="BW107" s="2" t="s">
        <v>483</v>
      </c>
      <c r="BX107" s="2" t="s">
        <v>191</v>
      </c>
      <c r="BY107" s="2" t="s">
        <v>188</v>
      </c>
      <c r="BZ107" s="2" t="s">
        <v>188</v>
      </c>
      <c r="CA107" s="2" t="s">
        <v>191</v>
      </c>
      <c r="CB107" s="2" t="s">
        <v>188</v>
      </c>
      <c r="CC107" s="2" t="s">
        <v>191</v>
      </c>
      <c r="CD107" s="2" t="s">
        <v>189</v>
      </c>
      <c r="CE107" s="2" t="s">
        <v>191</v>
      </c>
      <c r="CF107" s="2" t="s">
        <v>188</v>
      </c>
      <c r="CG107" s="2" t="s">
        <v>188</v>
      </c>
      <c r="CH107" s="2" t="s">
        <v>188</v>
      </c>
      <c r="CI107" s="2" t="s">
        <v>188</v>
      </c>
      <c r="CJ107" s="2" t="s">
        <v>190</v>
      </c>
      <c r="CK107" s="2" t="s">
        <v>191</v>
      </c>
      <c r="CL107" s="2" t="s">
        <v>191</v>
      </c>
      <c r="CM107" s="2" t="s">
        <v>192</v>
      </c>
      <c r="CN107" s="2" t="s">
        <v>192</v>
      </c>
      <c r="CO107" s="2" t="s">
        <v>200</v>
      </c>
      <c r="CP107" s="2" t="s">
        <v>192</v>
      </c>
      <c r="CQ107" s="2" t="s">
        <v>193</v>
      </c>
      <c r="CR107" s="2" t="s">
        <v>200</v>
      </c>
      <c r="CS107" s="2" t="s">
        <v>193</v>
      </c>
      <c r="CT107" s="2" t="s">
        <v>193</v>
      </c>
      <c r="CU107" s="2" t="s">
        <v>193</v>
      </c>
      <c r="CV107" s="2" t="s">
        <v>200</v>
      </c>
      <c r="CW107" s="2" t="s">
        <v>200</v>
      </c>
      <c r="CX107" s="2" t="s">
        <v>200</v>
      </c>
      <c r="CY107" s="2" t="s">
        <v>200</v>
      </c>
      <c r="CZ107" s="2" t="s">
        <v>193</v>
      </c>
      <c r="DA107" s="2" t="s">
        <v>200</v>
      </c>
      <c r="DB107" s="2" t="s">
        <v>192</v>
      </c>
      <c r="DC107" s="2" t="s">
        <v>192</v>
      </c>
      <c r="DD107" s="2" t="s">
        <v>200</v>
      </c>
      <c r="DE107" s="2" t="s">
        <v>193</v>
      </c>
      <c r="DF107" s="2" t="s">
        <v>192</v>
      </c>
      <c r="DG107" s="2" t="s">
        <v>201</v>
      </c>
      <c r="DH107" s="2" t="s">
        <v>201</v>
      </c>
      <c r="DI107" s="2" t="s">
        <v>201</v>
      </c>
      <c r="DJ107" s="2" t="s">
        <v>195</v>
      </c>
      <c r="DK107" s="2" t="s">
        <v>194</v>
      </c>
      <c r="DL107" s="2" t="s">
        <v>201</v>
      </c>
      <c r="DM107" s="2" t="s">
        <v>195</v>
      </c>
      <c r="DN107" s="2" t="s">
        <v>220</v>
      </c>
      <c r="DO107" s="2" t="s">
        <v>220</v>
      </c>
      <c r="DP107" s="2" t="s">
        <v>195</v>
      </c>
      <c r="DQ107" s="2" t="s">
        <v>201</v>
      </c>
      <c r="DR107" s="2" t="s">
        <v>195</v>
      </c>
      <c r="DS107" s="2" t="s">
        <v>197</v>
      </c>
      <c r="DT107" s="2" t="s">
        <v>198</v>
      </c>
      <c r="DU107" s="2" t="s">
        <v>197</v>
      </c>
      <c r="DV107" s="2" t="s">
        <v>197</v>
      </c>
      <c r="DW107" s="2" t="s">
        <v>197</v>
      </c>
      <c r="DX107" s="2" t="s">
        <v>197</v>
      </c>
      <c r="DY107" s="2" t="s">
        <v>197</v>
      </c>
      <c r="DZ107" s="2"/>
      <c r="EA107" s="2">
        <v>1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1</v>
      </c>
      <c r="EM107" s="2">
        <v>0</v>
      </c>
      <c r="EN107" s="2">
        <v>1</v>
      </c>
      <c r="EO107" s="2">
        <v>0</v>
      </c>
      <c r="EP107" s="2">
        <v>1</v>
      </c>
      <c r="EQ107" s="2">
        <v>0</v>
      </c>
      <c r="ER107" s="2">
        <v>0</v>
      </c>
      <c r="ES107" s="2">
        <v>1</v>
      </c>
      <c r="ET107" s="2">
        <v>0</v>
      </c>
      <c r="EU107" s="2">
        <v>1</v>
      </c>
      <c r="EV107" s="2">
        <v>1</v>
      </c>
      <c r="EW107" s="2">
        <v>0</v>
      </c>
      <c r="EX107" s="2">
        <v>0</v>
      </c>
      <c r="EY107" s="2">
        <v>1</v>
      </c>
      <c r="EZ107" s="2">
        <v>1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1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1</v>
      </c>
      <c r="FO107" s="2">
        <v>0</v>
      </c>
      <c r="FP107" s="2">
        <v>0</v>
      </c>
      <c r="FQ107" s="2">
        <v>1</v>
      </c>
      <c r="FR107" s="2">
        <v>0</v>
      </c>
      <c r="FS107" s="2">
        <v>1</v>
      </c>
      <c r="FT107" s="2">
        <v>0</v>
      </c>
      <c r="FU107" s="2">
        <v>1</v>
      </c>
      <c r="FV107" s="2">
        <v>0</v>
      </c>
      <c r="FW107" s="2">
        <v>0</v>
      </c>
      <c r="FX107" s="2">
        <v>1</v>
      </c>
      <c r="FY107" s="2">
        <v>0</v>
      </c>
      <c r="FZ107" s="2"/>
      <c r="GA107" s="2">
        <v>4</v>
      </c>
      <c r="GB107" s="2">
        <v>3</v>
      </c>
      <c r="GC107" s="2">
        <v>4</v>
      </c>
      <c r="GD107" s="2">
        <v>3</v>
      </c>
      <c r="GE107" s="2">
        <v>4</v>
      </c>
      <c r="GG107" s="2">
        <v>2</v>
      </c>
      <c r="GH107" s="2">
        <v>3</v>
      </c>
      <c r="GI107" s="2">
        <v>2</v>
      </c>
      <c r="GJ107" s="2">
        <v>2</v>
      </c>
      <c r="GK107" s="2">
        <v>2</v>
      </c>
      <c r="GM107" s="2">
        <f t="shared" si="0"/>
        <v>18</v>
      </c>
      <c r="GN107" s="2">
        <f t="shared" si="1"/>
        <v>11</v>
      </c>
      <c r="GO107" s="2"/>
      <c r="GP107" s="2">
        <v>3</v>
      </c>
      <c r="GQ107" s="2">
        <v>2</v>
      </c>
      <c r="GR107" s="2">
        <v>1</v>
      </c>
      <c r="GS107" s="2">
        <v>2</v>
      </c>
      <c r="GU107" s="2">
        <v>3</v>
      </c>
      <c r="GV107" s="2">
        <v>3</v>
      </c>
      <c r="GW107" s="2">
        <v>3</v>
      </c>
      <c r="GY107" s="2">
        <v>2</v>
      </c>
      <c r="GZ107" s="2">
        <v>2</v>
      </c>
      <c r="HA107" s="2">
        <v>2</v>
      </c>
      <c r="HB107" s="2">
        <v>2</v>
      </c>
      <c r="HD107" s="2">
        <v>3</v>
      </c>
      <c r="HE107" s="2">
        <v>1</v>
      </c>
      <c r="HF107" s="2">
        <v>1</v>
      </c>
      <c r="HH107" s="2">
        <f t="shared" si="2"/>
        <v>17</v>
      </c>
      <c r="HI107" s="2">
        <f t="shared" si="3"/>
        <v>13</v>
      </c>
      <c r="HJ107" s="2"/>
      <c r="HK107" s="2">
        <v>8</v>
      </c>
      <c r="HL107" s="2">
        <v>6</v>
      </c>
      <c r="HM107" s="2"/>
      <c r="HN107" s="2"/>
    </row>
    <row r="108" spans="1:222" ht="15.75" customHeight="1" x14ac:dyDescent="0.2">
      <c r="A108" s="3" t="e">
        <f>VLOOKUP(B108,#REF!,1,FALSE)</f>
        <v>#REF!</v>
      </c>
      <c r="B108" s="3">
        <v>44643.965840312499</v>
      </c>
      <c r="C108" s="2">
        <v>117</v>
      </c>
      <c r="D108" s="2" t="s">
        <v>185</v>
      </c>
      <c r="E108" s="2">
        <v>0</v>
      </c>
      <c r="F108" s="2" t="s">
        <v>484</v>
      </c>
      <c r="G108" s="2">
        <v>15</v>
      </c>
      <c r="H108" s="2">
        <v>2</v>
      </c>
      <c r="I108" s="2">
        <v>1</v>
      </c>
      <c r="J108" s="2">
        <v>3</v>
      </c>
      <c r="K108" s="2">
        <v>0</v>
      </c>
      <c r="L108" s="2">
        <v>6</v>
      </c>
      <c r="M108" s="2" t="s">
        <v>213</v>
      </c>
      <c r="N108" s="2">
        <v>3</v>
      </c>
      <c r="O108" s="2">
        <v>2</v>
      </c>
      <c r="P108" s="2">
        <v>0</v>
      </c>
      <c r="Q108" s="2">
        <v>0</v>
      </c>
      <c r="R108" s="2">
        <v>3</v>
      </c>
      <c r="S108" s="2">
        <v>0</v>
      </c>
      <c r="T108" s="2">
        <v>-1</v>
      </c>
      <c r="U108" s="2">
        <v>-1</v>
      </c>
      <c r="V108" s="2">
        <v>-1</v>
      </c>
      <c r="W108" s="2">
        <v>-1</v>
      </c>
      <c r="X108" s="2"/>
      <c r="Y108" s="2">
        <v>-1</v>
      </c>
      <c r="Z108" s="2">
        <v>1</v>
      </c>
      <c r="AA108" s="2">
        <v>1</v>
      </c>
      <c r="AB108" s="2">
        <v>4</v>
      </c>
      <c r="AC108" s="2">
        <v>4</v>
      </c>
      <c r="AD108" s="2">
        <v>4</v>
      </c>
      <c r="AE108" s="2">
        <v>2</v>
      </c>
      <c r="AF108" s="2">
        <v>2</v>
      </c>
      <c r="AG108" s="2">
        <v>2</v>
      </c>
      <c r="AH108" s="2">
        <v>2</v>
      </c>
      <c r="AI108" s="2">
        <v>3</v>
      </c>
      <c r="AJ108" s="2">
        <v>3</v>
      </c>
      <c r="AK108" s="2">
        <v>3</v>
      </c>
      <c r="AL108" s="2">
        <v>2</v>
      </c>
      <c r="AM108" s="2">
        <v>2</v>
      </c>
      <c r="AN108" s="2">
        <v>4</v>
      </c>
      <c r="AO108" s="2">
        <v>3</v>
      </c>
      <c r="AP108" s="2">
        <v>3</v>
      </c>
      <c r="AQ108" s="2">
        <v>2</v>
      </c>
      <c r="AR108" s="2">
        <v>3</v>
      </c>
      <c r="AS108" s="2">
        <v>1</v>
      </c>
      <c r="AT108" s="2">
        <v>0</v>
      </c>
      <c r="AU108" s="2">
        <v>0</v>
      </c>
      <c r="AV108" s="2"/>
      <c r="AW108" s="2">
        <v>1</v>
      </c>
      <c r="AX108" s="2">
        <v>2</v>
      </c>
      <c r="AY108" s="2">
        <v>2</v>
      </c>
      <c r="AZ108" s="2">
        <v>4</v>
      </c>
      <c r="BA108" s="2">
        <v>4</v>
      </c>
      <c r="BB108" s="2">
        <v>4</v>
      </c>
      <c r="BC108" s="2">
        <v>4</v>
      </c>
      <c r="BD108" s="2">
        <v>3</v>
      </c>
      <c r="BE108" s="2">
        <v>3</v>
      </c>
      <c r="BF108" s="2">
        <v>0</v>
      </c>
      <c r="BG108" s="2">
        <v>0</v>
      </c>
      <c r="BH108" s="2">
        <v>0</v>
      </c>
      <c r="BI108" s="2"/>
      <c r="BJ108" s="2">
        <v>2</v>
      </c>
      <c r="BK108" s="2">
        <v>1</v>
      </c>
      <c r="BL108" s="2">
        <v>2</v>
      </c>
      <c r="BM108" s="2">
        <v>8</v>
      </c>
      <c r="BN108" s="2">
        <v>8</v>
      </c>
      <c r="BO108" s="2">
        <v>10</v>
      </c>
      <c r="BP108" s="2"/>
      <c r="BQ108" s="2"/>
      <c r="BR108" s="2"/>
      <c r="BS108" s="2"/>
      <c r="BT108" s="2"/>
      <c r="BU108" s="2"/>
      <c r="BV108" s="2" t="s">
        <v>485</v>
      </c>
      <c r="BW108" s="2" t="s">
        <v>486</v>
      </c>
      <c r="BX108" s="2" t="s">
        <v>189</v>
      </c>
      <c r="BY108" s="2" t="s">
        <v>188</v>
      </c>
      <c r="BZ108" s="2" t="s">
        <v>188</v>
      </c>
      <c r="CA108" s="2" t="s">
        <v>191</v>
      </c>
      <c r="CB108" s="2" t="s">
        <v>189</v>
      </c>
      <c r="CC108" s="2" t="s">
        <v>190</v>
      </c>
      <c r="CD108" s="2" t="s">
        <v>189</v>
      </c>
      <c r="CE108" s="2" t="s">
        <v>188</v>
      </c>
      <c r="CF108" s="2" t="s">
        <v>188</v>
      </c>
      <c r="CG108" s="2" t="s">
        <v>191</v>
      </c>
      <c r="CH108" s="2" t="s">
        <v>188</v>
      </c>
      <c r="CI108" s="2" t="s">
        <v>189</v>
      </c>
      <c r="CJ108" s="2" t="s">
        <v>189</v>
      </c>
      <c r="CK108" s="2" t="s">
        <v>189</v>
      </c>
      <c r="CL108" s="2" t="s">
        <v>189</v>
      </c>
      <c r="CM108" s="2" t="s">
        <v>192</v>
      </c>
      <c r="CN108" s="2" t="s">
        <v>192</v>
      </c>
      <c r="CO108" s="2" t="s">
        <v>200</v>
      </c>
      <c r="CP108" s="2" t="s">
        <v>193</v>
      </c>
      <c r="CQ108" s="2" t="s">
        <v>192</v>
      </c>
      <c r="CR108" s="2" t="s">
        <v>200</v>
      </c>
      <c r="CS108" s="2" t="s">
        <v>200</v>
      </c>
      <c r="CT108" s="2" t="s">
        <v>193</v>
      </c>
      <c r="CU108" s="2" t="s">
        <v>192</v>
      </c>
      <c r="CV108" s="2" t="s">
        <v>200</v>
      </c>
      <c r="CW108" s="2" t="s">
        <v>200</v>
      </c>
      <c r="CX108" s="2" t="s">
        <v>200</v>
      </c>
      <c r="CY108" s="2" t="s">
        <v>200</v>
      </c>
      <c r="CZ108" s="2" t="s">
        <v>200</v>
      </c>
      <c r="DA108" s="2" t="s">
        <v>200</v>
      </c>
      <c r="DB108" s="2" t="s">
        <v>192</v>
      </c>
      <c r="DC108" s="2" t="s">
        <v>192</v>
      </c>
      <c r="DD108" s="2" t="s">
        <v>193</v>
      </c>
      <c r="DE108" s="2" t="s">
        <v>200</v>
      </c>
      <c r="DF108" s="2" t="s">
        <v>192</v>
      </c>
      <c r="DG108" s="2" t="s">
        <v>195</v>
      </c>
      <c r="DH108" s="2" t="s">
        <v>201</v>
      </c>
      <c r="DI108" s="2" t="s">
        <v>195</v>
      </c>
      <c r="DJ108" s="2" t="s">
        <v>195</v>
      </c>
      <c r="DK108" s="2" t="s">
        <v>220</v>
      </c>
      <c r="DL108" s="2" t="s">
        <v>195</v>
      </c>
      <c r="DM108" s="2" t="s">
        <v>195</v>
      </c>
      <c r="DN108" s="2" t="s">
        <v>220</v>
      </c>
      <c r="DO108" s="2" t="s">
        <v>220</v>
      </c>
      <c r="DP108" s="2" t="s">
        <v>194</v>
      </c>
      <c r="DQ108" s="2" t="s">
        <v>201</v>
      </c>
      <c r="DR108" s="2" t="s">
        <v>220</v>
      </c>
      <c r="DS108" s="2" t="s">
        <v>197</v>
      </c>
      <c r="DT108" s="2" t="s">
        <v>197</v>
      </c>
      <c r="DU108" s="2" t="s">
        <v>197</v>
      </c>
      <c r="DV108" s="2" t="s">
        <v>197</v>
      </c>
      <c r="DW108" s="2" t="s">
        <v>197</v>
      </c>
      <c r="DX108" s="2" t="s">
        <v>198</v>
      </c>
      <c r="DY108" s="2" t="s">
        <v>197</v>
      </c>
      <c r="DZ108" s="2"/>
      <c r="EA108" s="2">
        <v>1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1</v>
      </c>
      <c r="EJ108" s="2">
        <v>0</v>
      </c>
      <c r="EK108" s="2">
        <v>1</v>
      </c>
      <c r="EL108" s="2">
        <v>1</v>
      </c>
      <c r="EM108" s="2">
        <v>0</v>
      </c>
      <c r="EN108" s="2">
        <v>1</v>
      </c>
      <c r="EO108" s="2">
        <v>0</v>
      </c>
      <c r="EP108" s="2">
        <v>0</v>
      </c>
      <c r="EQ108" s="2">
        <v>1</v>
      </c>
      <c r="ER108" s="2">
        <v>0</v>
      </c>
      <c r="ES108" s="2">
        <v>1</v>
      </c>
      <c r="ET108" s="2">
        <v>0</v>
      </c>
      <c r="EU108" s="2">
        <v>1</v>
      </c>
      <c r="EV108" s="2">
        <v>1</v>
      </c>
      <c r="EW108" s="2">
        <v>0</v>
      </c>
      <c r="EX108" s="2">
        <v>0</v>
      </c>
      <c r="EY108" s="2">
        <v>1</v>
      </c>
      <c r="EZ108" s="2">
        <v>1</v>
      </c>
      <c r="FA108" s="2">
        <v>0</v>
      </c>
      <c r="FB108" s="2">
        <v>1</v>
      </c>
      <c r="FC108" s="2">
        <v>0</v>
      </c>
      <c r="FD108" s="2">
        <v>0</v>
      </c>
      <c r="FE108" s="2">
        <v>0</v>
      </c>
      <c r="FF108" s="2">
        <v>1</v>
      </c>
      <c r="FG108" s="2">
        <v>0</v>
      </c>
      <c r="FH108" s="2">
        <v>1</v>
      </c>
      <c r="FI108" s="2">
        <v>0</v>
      </c>
      <c r="FJ108" s="2">
        <v>1</v>
      </c>
      <c r="FK108" s="2">
        <v>0</v>
      </c>
      <c r="FL108" s="2">
        <v>1</v>
      </c>
      <c r="FM108" s="2">
        <v>0</v>
      </c>
      <c r="FN108" s="2">
        <v>0</v>
      </c>
      <c r="FO108" s="2">
        <v>1</v>
      </c>
      <c r="FP108" s="2">
        <v>0</v>
      </c>
      <c r="FQ108" s="2">
        <v>1</v>
      </c>
      <c r="FR108" s="2">
        <v>1</v>
      </c>
      <c r="FS108" s="2">
        <v>0</v>
      </c>
      <c r="FT108" s="2">
        <v>1</v>
      </c>
      <c r="FU108" s="2">
        <v>0</v>
      </c>
      <c r="FV108" s="2">
        <v>1</v>
      </c>
      <c r="FW108" s="2">
        <v>0</v>
      </c>
      <c r="FX108" s="2">
        <v>1</v>
      </c>
      <c r="FY108" s="2">
        <v>0</v>
      </c>
      <c r="FZ108" s="2"/>
      <c r="GA108" s="2">
        <v>2</v>
      </c>
      <c r="GB108" s="2">
        <v>4</v>
      </c>
      <c r="GC108" s="2">
        <v>3</v>
      </c>
      <c r="GD108" s="2">
        <v>3</v>
      </c>
      <c r="GE108" s="2">
        <v>2</v>
      </c>
      <c r="GG108" s="2">
        <v>4</v>
      </c>
      <c r="GH108" s="2">
        <v>4</v>
      </c>
      <c r="GI108" s="2">
        <v>4</v>
      </c>
      <c r="GJ108" s="2">
        <v>4</v>
      </c>
      <c r="GK108" s="2">
        <v>3</v>
      </c>
      <c r="GM108" s="2">
        <f t="shared" si="0"/>
        <v>14</v>
      </c>
      <c r="GN108" s="2">
        <f t="shared" si="1"/>
        <v>19</v>
      </c>
      <c r="GO108" s="2"/>
      <c r="GP108" s="2">
        <v>3</v>
      </c>
      <c r="GQ108" s="2">
        <v>1</v>
      </c>
      <c r="GR108" s="2">
        <v>0</v>
      </c>
      <c r="GS108" s="2">
        <v>0</v>
      </c>
      <c r="GU108" s="2">
        <v>1</v>
      </c>
      <c r="GV108" s="2">
        <v>2</v>
      </c>
      <c r="GW108" s="2">
        <v>2</v>
      </c>
      <c r="GY108" s="2">
        <v>3</v>
      </c>
      <c r="GZ108" s="2">
        <v>0</v>
      </c>
      <c r="HA108" s="2">
        <v>0</v>
      </c>
      <c r="HB108" s="2">
        <v>0</v>
      </c>
      <c r="HD108" s="2">
        <v>2</v>
      </c>
      <c r="HE108" s="2">
        <v>1</v>
      </c>
      <c r="HF108" s="2">
        <v>2</v>
      </c>
      <c r="HH108" s="2">
        <f t="shared" si="2"/>
        <v>9</v>
      </c>
      <c r="HI108" s="2">
        <f t="shared" si="3"/>
        <v>8</v>
      </c>
      <c r="HJ108" s="2"/>
      <c r="HK108" s="2">
        <v>8</v>
      </c>
      <c r="HL108" s="2">
        <v>10</v>
      </c>
      <c r="HM108" s="2"/>
      <c r="HN108" s="2"/>
    </row>
    <row r="109" spans="1:222" ht="15.75" customHeight="1" x14ac:dyDescent="0.2">
      <c r="A109" s="3" t="e">
        <f>VLOOKUP(B109,#REF!,1,FALSE)</f>
        <v>#REF!</v>
      </c>
      <c r="B109" s="3">
        <v>44644.003008634259</v>
      </c>
      <c r="C109" s="2">
        <v>118</v>
      </c>
      <c r="D109" s="2" t="s">
        <v>185</v>
      </c>
      <c r="E109" s="2">
        <v>0</v>
      </c>
      <c r="F109" s="2" t="s">
        <v>487</v>
      </c>
      <c r="G109" s="2">
        <v>2</v>
      </c>
      <c r="H109" s="2">
        <v>2</v>
      </c>
      <c r="I109" s="2">
        <v>1</v>
      </c>
      <c r="J109" s="2">
        <v>4</v>
      </c>
      <c r="K109" s="2">
        <v>0</v>
      </c>
      <c r="L109" s="2">
        <v>3</v>
      </c>
      <c r="M109" s="2" t="s">
        <v>213</v>
      </c>
      <c r="N109" s="2">
        <v>2</v>
      </c>
      <c r="O109" s="2">
        <v>3</v>
      </c>
      <c r="P109" s="2">
        <v>0</v>
      </c>
      <c r="Q109" s="2">
        <v>0</v>
      </c>
      <c r="R109" s="2">
        <v>3</v>
      </c>
      <c r="S109" s="2">
        <v>0</v>
      </c>
      <c r="T109" s="2">
        <v>0</v>
      </c>
      <c r="U109" s="2">
        <v>1</v>
      </c>
      <c r="V109" s="2">
        <v>-1</v>
      </c>
      <c r="W109" s="2">
        <v>0</v>
      </c>
      <c r="X109" s="2"/>
      <c r="Y109" s="2">
        <v>-1</v>
      </c>
      <c r="Z109" s="2">
        <v>0</v>
      </c>
      <c r="AA109" s="2">
        <v>0</v>
      </c>
      <c r="AB109" s="2">
        <v>2</v>
      </c>
      <c r="AC109" s="2">
        <v>2</v>
      </c>
      <c r="AD109" s="2">
        <v>4</v>
      </c>
      <c r="AE109" s="2">
        <v>2</v>
      </c>
      <c r="AF109" s="2">
        <v>4</v>
      </c>
      <c r="AG109" s="2">
        <v>2</v>
      </c>
      <c r="AH109" s="2">
        <v>3</v>
      </c>
      <c r="AI109" s="2">
        <v>1</v>
      </c>
      <c r="AJ109" s="2">
        <v>1</v>
      </c>
      <c r="AK109" s="2">
        <v>-1</v>
      </c>
      <c r="AL109" s="2">
        <v>1</v>
      </c>
      <c r="AM109" s="2">
        <v>4</v>
      </c>
      <c r="AN109" s="2">
        <v>4</v>
      </c>
      <c r="AO109" s="2">
        <v>4</v>
      </c>
      <c r="AP109" s="2">
        <v>4</v>
      </c>
      <c r="AQ109" s="2">
        <v>4</v>
      </c>
      <c r="AR109" s="2">
        <v>3</v>
      </c>
      <c r="AS109" s="2">
        <v>3</v>
      </c>
      <c r="AT109" s="2">
        <v>3</v>
      </c>
      <c r="AU109" s="2">
        <v>3</v>
      </c>
      <c r="AV109" s="2"/>
      <c r="AW109" s="2">
        <v>3</v>
      </c>
      <c r="AX109" s="2">
        <v>2</v>
      </c>
      <c r="AY109" s="2">
        <v>0</v>
      </c>
      <c r="AZ109" s="2">
        <v>2</v>
      </c>
      <c r="BA109" s="2">
        <v>2</v>
      </c>
      <c r="BB109" s="2">
        <v>2</v>
      </c>
      <c r="BC109" s="2">
        <v>2</v>
      </c>
      <c r="BD109" s="2">
        <v>2</v>
      </c>
      <c r="BE109" s="2">
        <v>1</v>
      </c>
      <c r="BF109" s="2">
        <v>1</v>
      </c>
      <c r="BG109" s="2">
        <v>1</v>
      </c>
      <c r="BH109" s="2">
        <v>1</v>
      </c>
      <c r="BI109" s="2"/>
      <c r="BJ109" s="2">
        <v>1</v>
      </c>
      <c r="BK109" s="2">
        <v>1</v>
      </c>
      <c r="BL109" s="2">
        <v>-1</v>
      </c>
      <c r="BM109" s="2">
        <v>6</v>
      </c>
      <c r="BN109" s="2">
        <v>6</v>
      </c>
      <c r="BO109" s="2">
        <v>4</v>
      </c>
      <c r="BP109" s="2" t="s">
        <v>488</v>
      </c>
      <c r="BQ109" s="2"/>
      <c r="BR109" s="2"/>
      <c r="BS109" s="2"/>
      <c r="BT109" s="2"/>
      <c r="BU109" s="2"/>
      <c r="BV109" s="2"/>
      <c r="BW109" s="2"/>
      <c r="BX109" s="2" t="s">
        <v>188</v>
      </c>
      <c r="BY109" s="2" t="s">
        <v>188</v>
      </c>
      <c r="BZ109" s="2" t="s">
        <v>188</v>
      </c>
      <c r="CA109" s="2" t="s">
        <v>188</v>
      </c>
      <c r="CB109" s="2" t="s">
        <v>188</v>
      </c>
      <c r="CC109" s="2" t="s">
        <v>188</v>
      </c>
      <c r="CD109" s="2" t="s">
        <v>190</v>
      </c>
      <c r="CE109" s="2"/>
      <c r="CF109" s="2" t="s">
        <v>188</v>
      </c>
      <c r="CG109" s="2" t="s">
        <v>188</v>
      </c>
      <c r="CH109" s="2" t="s">
        <v>188</v>
      </c>
      <c r="CI109" s="2" t="s">
        <v>189</v>
      </c>
      <c r="CJ109" s="2" t="s">
        <v>189</v>
      </c>
      <c r="CK109" s="2" t="s">
        <v>189</v>
      </c>
      <c r="CL109" s="2" t="s">
        <v>188</v>
      </c>
      <c r="CM109" s="2" t="s">
        <v>193</v>
      </c>
      <c r="CN109" s="2" t="s">
        <v>193</v>
      </c>
      <c r="CO109" s="2" t="s">
        <v>200</v>
      </c>
      <c r="CP109" s="2" t="s">
        <v>200</v>
      </c>
      <c r="CQ109" s="2" t="s">
        <v>200</v>
      </c>
      <c r="CR109" s="2" t="s">
        <v>193</v>
      </c>
      <c r="CS109" s="2" t="s">
        <v>193</v>
      </c>
      <c r="CT109" s="2" t="s">
        <v>192</v>
      </c>
      <c r="CU109" s="2" t="s">
        <v>192</v>
      </c>
      <c r="CV109" s="2" t="s">
        <v>200</v>
      </c>
      <c r="CW109" s="2" t="s">
        <v>200</v>
      </c>
      <c r="CX109" s="2" t="s">
        <v>200</v>
      </c>
      <c r="CY109" s="2" t="s">
        <v>200</v>
      </c>
      <c r="CZ109" s="2" t="s">
        <v>200</v>
      </c>
      <c r="DA109" s="2" t="s">
        <v>200</v>
      </c>
      <c r="DB109" s="2" t="s">
        <v>200</v>
      </c>
      <c r="DC109" s="2" t="s">
        <v>192</v>
      </c>
      <c r="DD109" s="2" t="s">
        <v>200</v>
      </c>
      <c r="DE109" s="2" t="s">
        <v>200</v>
      </c>
      <c r="DF109" s="2" t="s">
        <v>200</v>
      </c>
      <c r="DG109" s="2" t="s">
        <v>195</v>
      </c>
      <c r="DH109" s="2" t="s">
        <v>195</v>
      </c>
      <c r="DI109" s="2" t="s">
        <v>195</v>
      </c>
      <c r="DJ109" s="2" t="s">
        <v>195</v>
      </c>
      <c r="DK109" s="2" t="s">
        <v>195</v>
      </c>
      <c r="DL109" s="2" t="s">
        <v>194</v>
      </c>
      <c r="DM109" s="2" t="s">
        <v>194</v>
      </c>
      <c r="DN109" s="2" t="s">
        <v>196</v>
      </c>
      <c r="DO109" s="2" t="s">
        <v>196</v>
      </c>
      <c r="DP109" s="2"/>
      <c r="DQ109" s="2" t="s">
        <v>194</v>
      </c>
      <c r="DR109" s="2" t="s">
        <v>195</v>
      </c>
      <c r="DS109" s="2" t="s">
        <v>197</v>
      </c>
      <c r="DT109" s="2" t="s">
        <v>198</v>
      </c>
      <c r="DU109" s="2" t="s">
        <v>198</v>
      </c>
      <c r="DV109" s="2" t="s">
        <v>197</v>
      </c>
      <c r="DW109" s="2" t="s">
        <v>198</v>
      </c>
      <c r="DX109" s="2" t="s">
        <v>198</v>
      </c>
      <c r="DY109" s="2" t="s">
        <v>197</v>
      </c>
      <c r="DZ109" s="2"/>
      <c r="EA109" s="2">
        <v>1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1</v>
      </c>
      <c r="EJ109" s="2">
        <v>0</v>
      </c>
      <c r="EK109" s="2">
        <v>1</v>
      </c>
      <c r="EL109" s="2">
        <v>0</v>
      </c>
      <c r="EM109" s="2">
        <v>1</v>
      </c>
      <c r="EN109" s="2">
        <v>1</v>
      </c>
      <c r="EO109" s="2">
        <v>0</v>
      </c>
      <c r="EP109" s="2">
        <v>0</v>
      </c>
      <c r="EQ109" s="2">
        <v>1</v>
      </c>
      <c r="ER109" s="2">
        <v>0</v>
      </c>
      <c r="ES109" s="2">
        <v>1</v>
      </c>
      <c r="ET109" s="2">
        <v>0</v>
      </c>
      <c r="EU109" s="2">
        <v>1</v>
      </c>
      <c r="EV109" s="2">
        <v>0</v>
      </c>
      <c r="EW109" s="2">
        <v>1</v>
      </c>
      <c r="EX109" s="2">
        <v>0</v>
      </c>
      <c r="EY109" s="2">
        <v>1</v>
      </c>
      <c r="EZ109" s="2">
        <v>1</v>
      </c>
      <c r="FA109" s="2">
        <v>0</v>
      </c>
      <c r="FB109" s="2">
        <v>0</v>
      </c>
      <c r="FC109" s="2">
        <v>1</v>
      </c>
      <c r="FD109" s="2">
        <v>0</v>
      </c>
      <c r="FE109" s="2">
        <v>0</v>
      </c>
      <c r="FF109" s="2">
        <v>0</v>
      </c>
      <c r="FG109" s="2">
        <v>1</v>
      </c>
      <c r="FH109" s="2">
        <v>0</v>
      </c>
      <c r="FI109" s="2">
        <v>1</v>
      </c>
      <c r="FJ109" s="2">
        <v>1</v>
      </c>
      <c r="FK109" s="2">
        <v>0</v>
      </c>
      <c r="FL109" s="2">
        <v>1</v>
      </c>
      <c r="FM109" s="2">
        <v>0</v>
      </c>
      <c r="FN109" s="2">
        <v>0</v>
      </c>
      <c r="FO109" s="2">
        <v>1</v>
      </c>
      <c r="FP109" s="2">
        <v>0</v>
      </c>
      <c r="FQ109" s="2">
        <v>1</v>
      </c>
      <c r="FR109" s="2">
        <v>0</v>
      </c>
      <c r="FS109" s="2">
        <v>1</v>
      </c>
      <c r="FT109" s="2">
        <v>1</v>
      </c>
      <c r="FU109" s="2">
        <v>0</v>
      </c>
      <c r="FV109" s="2">
        <v>1</v>
      </c>
      <c r="FW109" s="2">
        <v>0</v>
      </c>
      <c r="FX109" s="2">
        <v>0</v>
      </c>
      <c r="FY109" s="2">
        <v>1</v>
      </c>
      <c r="FZ109" s="2"/>
      <c r="GA109" s="2">
        <v>4</v>
      </c>
      <c r="GB109" s="2">
        <v>4</v>
      </c>
      <c r="GC109" s="2">
        <v>4</v>
      </c>
      <c r="GD109" s="2">
        <v>4</v>
      </c>
      <c r="GE109" s="2">
        <v>4</v>
      </c>
      <c r="GG109" s="2">
        <v>2</v>
      </c>
      <c r="GH109" s="2">
        <v>2</v>
      </c>
      <c r="GI109" s="2">
        <v>2</v>
      </c>
      <c r="GJ109" s="2">
        <v>2</v>
      </c>
      <c r="GK109" s="2">
        <v>2</v>
      </c>
      <c r="GM109" s="2">
        <f t="shared" si="0"/>
        <v>20</v>
      </c>
      <c r="GN109" s="2">
        <f t="shared" si="1"/>
        <v>10</v>
      </c>
      <c r="GO109" s="2"/>
      <c r="GP109" s="2">
        <v>3</v>
      </c>
      <c r="GQ109" s="2">
        <v>3</v>
      </c>
      <c r="GR109" s="2">
        <v>3</v>
      </c>
      <c r="GS109" s="2">
        <v>3</v>
      </c>
      <c r="GU109" s="2">
        <v>3</v>
      </c>
      <c r="GV109" s="2">
        <v>2</v>
      </c>
      <c r="GW109" s="2">
        <v>0</v>
      </c>
      <c r="GY109" s="2">
        <v>1</v>
      </c>
      <c r="GZ109" s="2">
        <v>1</v>
      </c>
      <c r="HA109" s="2">
        <v>1</v>
      </c>
      <c r="HB109" s="2">
        <v>1</v>
      </c>
      <c r="HD109" s="2">
        <v>1</v>
      </c>
      <c r="HE109" s="2">
        <v>1</v>
      </c>
      <c r="HF109" s="2">
        <v>-1</v>
      </c>
      <c r="HH109" s="2">
        <f t="shared" si="2"/>
        <v>17</v>
      </c>
      <c r="HI109" s="2">
        <f t="shared" si="3"/>
        <v>5</v>
      </c>
      <c r="HJ109" s="2"/>
      <c r="HK109" s="2">
        <v>6</v>
      </c>
      <c r="HL109" s="2">
        <v>4</v>
      </c>
      <c r="HM109" s="2"/>
      <c r="HN109" s="2"/>
    </row>
    <row r="110" spans="1:222" ht="15.75" customHeight="1" x14ac:dyDescent="0.2">
      <c r="A110" s="3" t="e">
        <f>VLOOKUP(B110,#REF!,1,FALSE)</f>
        <v>#REF!</v>
      </c>
      <c r="B110" s="3">
        <v>44644.063195844908</v>
      </c>
      <c r="C110" s="2">
        <v>119</v>
      </c>
      <c r="D110" s="2" t="s">
        <v>185</v>
      </c>
      <c r="E110" s="2">
        <v>0</v>
      </c>
      <c r="F110" s="2" t="s">
        <v>237</v>
      </c>
      <c r="G110" s="2">
        <v>0.5</v>
      </c>
      <c r="H110" s="2">
        <v>0.5</v>
      </c>
      <c r="I110" s="2">
        <v>1</v>
      </c>
      <c r="J110" s="2">
        <v>4</v>
      </c>
      <c r="K110" s="2">
        <v>0</v>
      </c>
      <c r="L110" s="2">
        <v>2</v>
      </c>
      <c r="M110" s="2" t="s">
        <v>187</v>
      </c>
      <c r="N110" s="2">
        <v>2</v>
      </c>
      <c r="O110" s="2">
        <v>2</v>
      </c>
      <c r="P110" s="2">
        <v>0</v>
      </c>
      <c r="Q110" s="2" t="s">
        <v>384</v>
      </c>
      <c r="R110" s="2">
        <v>2</v>
      </c>
      <c r="S110" s="2">
        <v>-1</v>
      </c>
      <c r="T110" s="2">
        <v>0</v>
      </c>
      <c r="U110" s="2">
        <v>1</v>
      </c>
      <c r="V110" s="2">
        <v>-1</v>
      </c>
      <c r="W110" s="2">
        <v>-1</v>
      </c>
      <c r="X110" s="2"/>
      <c r="Y110" s="2">
        <v>1</v>
      </c>
      <c r="Z110" s="2">
        <v>1</v>
      </c>
      <c r="AA110" s="2">
        <v>1</v>
      </c>
      <c r="AB110" s="2">
        <v>2</v>
      </c>
      <c r="AC110" s="2">
        <v>2</v>
      </c>
      <c r="AD110" s="2">
        <v>2</v>
      </c>
      <c r="AE110" s="2">
        <v>2</v>
      </c>
      <c r="AF110" s="2">
        <v>2</v>
      </c>
      <c r="AG110" s="2">
        <v>1</v>
      </c>
      <c r="AH110" s="2">
        <v>1</v>
      </c>
      <c r="AI110" s="2">
        <v>3</v>
      </c>
      <c r="AJ110" s="2">
        <v>3</v>
      </c>
      <c r="AK110" s="2">
        <v>-1</v>
      </c>
      <c r="AL110" s="2">
        <v>2</v>
      </c>
      <c r="AM110" s="2">
        <v>3</v>
      </c>
      <c r="AN110" s="2">
        <v>3</v>
      </c>
      <c r="AO110" s="2">
        <v>4</v>
      </c>
      <c r="AP110" s="2">
        <v>4</v>
      </c>
      <c r="AQ110" s="2">
        <v>3</v>
      </c>
      <c r="AR110" s="2">
        <v>2</v>
      </c>
      <c r="AS110" s="2">
        <v>1</v>
      </c>
      <c r="AT110" s="2">
        <v>0</v>
      </c>
      <c r="AU110" s="2">
        <v>1</v>
      </c>
      <c r="AV110" s="2"/>
      <c r="AW110" s="2">
        <v>3</v>
      </c>
      <c r="AX110" s="2">
        <v>0</v>
      </c>
      <c r="AY110" s="2">
        <v>1</v>
      </c>
      <c r="AZ110" s="2">
        <v>4</v>
      </c>
      <c r="BA110" s="2">
        <v>4</v>
      </c>
      <c r="BB110" s="2">
        <v>4</v>
      </c>
      <c r="BC110" s="2">
        <v>4</v>
      </c>
      <c r="BD110" s="2">
        <v>4</v>
      </c>
      <c r="BE110" s="2">
        <v>3</v>
      </c>
      <c r="BF110" s="2">
        <v>2</v>
      </c>
      <c r="BG110" s="2">
        <v>1</v>
      </c>
      <c r="BH110" s="2">
        <v>1</v>
      </c>
      <c r="BI110" s="2"/>
      <c r="BJ110" s="2">
        <v>2</v>
      </c>
      <c r="BK110" s="2">
        <v>0</v>
      </c>
      <c r="BL110" s="2">
        <v>1</v>
      </c>
      <c r="BM110" s="2">
        <v>7</v>
      </c>
      <c r="BN110" s="2">
        <v>7</v>
      </c>
      <c r="BO110" s="2">
        <v>8</v>
      </c>
      <c r="BP110" s="2" t="s">
        <v>489</v>
      </c>
      <c r="BQ110" s="2"/>
      <c r="BR110" s="2"/>
      <c r="BS110" s="2"/>
      <c r="BT110" s="2"/>
      <c r="BU110" s="2"/>
      <c r="BV110" s="2" t="s">
        <v>490</v>
      </c>
      <c r="BW110" s="2" t="s">
        <v>491</v>
      </c>
      <c r="BX110" s="2" t="s">
        <v>190</v>
      </c>
      <c r="BY110" s="2" t="s">
        <v>189</v>
      </c>
      <c r="BZ110" s="2" t="s">
        <v>190</v>
      </c>
      <c r="CA110" s="2" t="s">
        <v>191</v>
      </c>
      <c r="CB110" s="2" t="s">
        <v>190</v>
      </c>
      <c r="CC110" s="2" t="s">
        <v>191</v>
      </c>
      <c r="CD110" s="2" t="s">
        <v>190</v>
      </c>
      <c r="CE110" s="2" t="s">
        <v>189</v>
      </c>
      <c r="CF110" s="2" t="s">
        <v>189</v>
      </c>
      <c r="CG110" s="2" t="s">
        <v>189</v>
      </c>
      <c r="CH110" s="2" t="s">
        <v>190</v>
      </c>
      <c r="CI110" s="2" t="s">
        <v>190</v>
      </c>
      <c r="CJ110" s="2" t="s">
        <v>190</v>
      </c>
      <c r="CK110" s="2" t="s">
        <v>190</v>
      </c>
      <c r="CL110" s="2" t="s">
        <v>190</v>
      </c>
      <c r="CM110" s="2" t="s">
        <v>193</v>
      </c>
      <c r="CN110" s="2" t="s">
        <v>193</v>
      </c>
      <c r="CO110" s="2" t="s">
        <v>193</v>
      </c>
      <c r="CP110" s="2" t="s">
        <v>193</v>
      </c>
      <c r="CQ110" s="2" t="s">
        <v>192</v>
      </c>
      <c r="CR110" s="2" t="s">
        <v>193</v>
      </c>
      <c r="CS110" s="2" t="s">
        <v>193</v>
      </c>
      <c r="CT110" s="2" t="s">
        <v>192</v>
      </c>
      <c r="CU110" s="2" t="s">
        <v>193</v>
      </c>
      <c r="CV110" s="2" t="s">
        <v>200</v>
      </c>
      <c r="CW110" s="2" t="s">
        <v>193</v>
      </c>
      <c r="CX110" s="2" t="s">
        <v>193</v>
      </c>
      <c r="CY110" s="2" t="s">
        <v>192</v>
      </c>
      <c r="CZ110" s="2" t="s">
        <v>193</v>
      </c>
      <c r="DA110" s="2" t="s">
        <v>193</v>
      </c>
      <c r="DB110" s="2" t="s">
        <v>192</v>
      </c>
      <c r="DC110" s="2" t="s">
        <v>192</v>
      </c>
      <c r="DD110" s="2" t="s">
        <v>192</v>
      </c>
      <c r="DE110" s="2" t="s">
        <v>192</v>
      </c>
      <c r="DF110" s="2" t="s">
        <v>192</v>
      </c>
      <c r="DG110" s="2" t="s">
        <v>196</v>
      </c>
      <c r="DH110" s="2" t="s">
        <v>195</v>
      </c>
      <c r="DI110" s="2" t="s">
        <v>195</v>
      </c>
      <c r="DJ110" s="2" t="s">
        <v>196</v>
      </c>
      <c r="DK110" s="2" t="s">
        <v>194</v>
      </c>
      <c r="DL110" s="2" t="s">
        <v>196</v>
      </c>
      <c r="DM110" s="2" t="s">
        <v>196</v>
      </c>
      <c r="DN110" s="2" t="s">
        <v>196</v>
      </c>
      <c r="DO110" s="2" t="s">
        <v>220</v>
      </c>
      <c r="DP110" s="2" t="s">
        <v>196</v>
      </c>
      <c r="DQ110" s="2" t="s">
        <v>194</v>
      </c>
      <c r="DR110" s="2" t="s">
        <v>195</v>
      </c>
      <c r="DS110" s="2" t="s">
        <v>198</v>
      </c>
      <c r="DT110" s="2" t="s">
        <v>221</v>
      </c>
      <c r="DU110" s="2" t="s">
        <v>199</v>
      </c>
      <c r="DV110" s="2" t="s">
        <v>198</v>
      </c>
      <c r="DW110" s="2" t="s">
        <v>199</v>
      </c>
      <c r="DX110" s="2" t="s">
        <v>221</v>
      </c>
      <c r="DY110" s="2" t="s">
        <v>199</v>
      </c>
      <c r="DZ110" s="2"/>
      <c r="EA110" s="2">
        <v>0</v>
      </c>
      <c r="EB110" s="2">
        <v>1</v>
      </c>
      <c r="EC110" s="2">
        <v>1</v>
      </c>
      <c r="ED110" s="2">
        <v>1</v>
      </c>
      <c r="EE110" s="2">
        <v>0</v>
      </c>
      <c r="EF110" s="2">
        <v>1</v>
      </c>
      <c r="EG110" s="2">
        <v>0</v>
      </c>
      <c r="EH110" s="2">
        <v>0</v>
      </c>
      <c r="EI110" s="2">
        <v>1</v>
      </c>
      <c r="EJ110" s="2">
        <v>1</v>
      </c>
      <c r="EK110" s="2">
        <v>0</v>
      </c>
      <c r="EL110" s="2">
        <v>0</v>
      </c>
      <c r="EM110" s="2">
        <v>1</v>
      </c>
      <c r="EN110" s="2">
        <v>1</v>
      </c>
      <c r="EO110" s="2">
        <v>0</v>
      </c>
      <c r="EP110" s="2">
        <v>0</v>
      </c>
      <c r="EQ110" s="2">
        <v>1</v>
      </c>
      <c r="ER110" s="2">
        <v>0</v>
      </c>
      <c r="ES110" s="2">
        <v>1</v>
      </c>
      <c r="ET110" s="2">
        <v>0</v>
      </c>
      <c r="EU110" s="2">
        <v>1</v>
      </c>
      <c r="EV110" s="2">
        <v>0</v>
      </c>
      <c r="EW110" s="2">
        <v>1</v>
      </c>
      <c r="EX110" s="2">
        <v>0</v>
      </c>
      <c r="EY110" s="2">
        <v>1</v>
      </c>
      <c r="EZ110" s="2">
        <v>0</v>
      </c>
      <c r="FA110" s="2">
        <v>0</v>
      </c>
      <c r="FB110" s="2">
        <v>0</v>
      </c>
      <c r="FC110" s="2">
        <v>1</v>
      </c>
      <c r="FD110" s="2">
        <v>0</v>
      </c>
      <c r="FE110" s="2">
        <v>0</v>
      </c>
      <c r="FF110" s="2">
        <v>0</v>
      </c>
      <c r="FG110" s="2">
        <v>1</v>
      </c>
      <c r="FH110" s="2">
        <v>1</v>
      </c>
      <c r="FI110" s="2">
        <v>0</v>
      </c>
      <c r="FJ110" s="2">
        <v>1</v>
      </c>
      <c r="FK110" s="2">
        <v>0</v>
      </c>
      <c r="FL110" s="2">
        <v>0</v>
      </c>
      <c r="FM110" s="2">
        <v>1</v>
      </c>
      <c r="FN110" s="2">
        <v>0</v>
      </c>
      <c r="FO110" s="2">
        <v>1</v>
      </c>
      <c r="FP110" s="2">
        <v>0</v>
      </c>
      <c r="FQ110" s="2">
        <v>1</v>
      </c>
      <c r="FR110" s="2">
        <v>0</v>
      </c>
      <c r="FS110" s="2">
        <v>1</v>
      </c>
      <c r="FT110" s="2">
        <v>0</v>
      </c>
      <c r="FU110" s="2">
        <v>1</v>
      </c>
      <c r="FV110" s="2">
        <v>0</v>
      </c>
      <c r="FW110" s="2">
        <v>1</v>
      </c>
      <c r="FX110" s="2">
        <v>0</v>
      </c>
      <c r="FY110" s="2">
        <v>1</v>
      </c>
      <c r="FZ110" s="2"/>
      <c r="GA110" s="2">
        <v>3</v>
      </c>
      <c r="GB110" s="2">
        <v>3</v>
      </c>
      <c r="GC110" s="2">
        <v>4</v>
      </c>
      <c r="GD110" s="2">
        <v>4</v>
      </c>
      <c r="GE110" s="2">
        <v>3</v>
      </c>
      <c r="GG110" s="2">
        <v>4</v>
      </c>
      <c r="GH110" s="2">
        <v>4</v>
      </c>
      <c r="GI110" s="2">
        <v>4</v>
      </c>
      <c r="GJ110" s="2">
        <v>4</v>
      </c>
      <c r="GK110" s="2">
        <v>4</v>
      </c>
      <c r="GM110" s="2">
        <f t="shared" si="0"/>
        <v>17</v>
      </c>
      <c r="GN110" s="2">
        <f t="shared" si="1"/>
        <v>20</v>
      </c>
      <c r="GO110" s="2"/>
      <c r="GP110" s="2">
        <v>2</v>
      </c>
      <c r="GQ110" s="2">
        <v>1</v>
      </c>
      <c r="GR110" s="2">
        <v>0</v>
      </c>
      <c r="GS110" s="2">
        <v>1</v>
      </c>
      <c r="GU110" s="2">
        <v>3</v>
      </c>
      <c r="GV110" s="2">
        <v>0</v>
      </c>
      <c r="GW110" s="2">
        <v>1</v>
      </c>
      <c r="GY110" s="2">
        <v>3</v>
      </c>
      <c r="GZ110" s="2">
        <v>2</v>
      </c>
      <c r="HA110" s="2">
        <v>1</v>
      </c>
      <c r="HB110" s="2">
        <v>1</v>
      </c>
      <c r="HD110" s="2">
        <v>2</v>
      </c>
      <c r="HE110" s="2">
        <v>0</v>
      </c>
      <c r="HF110" s="2">
        <v>1</v>
      </c>
      <c r="HH110" s="2">
        <f t="shared" si="2"/>
        <v>8</v>
      </c>
      <c r="HI110" s="2">
        <f t="shared" si="3"/>
        <v>10</v>
      </c>
      <c r="HJ110" s="2"/>
      <c r="HK110" s="2">
        <v>7</v>
      </c>
      <c r="HL110" s="2">
        <v>8</v>
      </c>
      <c r="HM110" s="2"/>
      <c r="HN110" s="2"/>
    </row>
    <row r="111" spans="1:222" ht="15.75" customHeight="1" x14ac:dyDescent="0.2">
      <c r="A111" s="3" t="e">
        <f>VLOOKUP(B111,#REF!,1,FALSE)</f>
        <v>#REF!</v>
      </c>
      <c r="B111" s="3">
        <v>44644.32063141204</v>
      </c>
      <c r="C111" s="2">
        <v>120</v>
      </c>
      <c r="D111" s="2" t="s">
        <v>185</v>
      </c>
      <c r="E111" s="2">
        <v>0</v>
      </c>
      <c r="F111" s="2" t="s">
        <v>237</v>
      </c>
      <c r="G111" s="2">
        <v>8</v>
      </c>
      <c r="H111" s="2">
        <v>2</v>
      </c>
      <c r="I111" s="2">
        <v>1</v>
      </c>
      <c r="J111" s="2">
        <v>5</v>
      </c>
      <c r="K111" s="2">
        <v>0</v>
      </c>
      <c r="L111" s="2">
        <v>4</v>
      </c>
      <c r="M111" s="2" t="s">
        <v>213</v>
      </c>
      <c r="N111" s="2">
        <v>2</v>
      </c>
      <c r="O111" s="2">
        <v>2</v>
      </c>
      <c r="P111" s="2">
        <v>0</v>
      </c>
      <c r="Q111" s="2">
        <v>2</v>
      </c>
      <c r="R111" s="2">
        <v>3</v>
      </c>
      <c r="S111" s="2">
        <v>0</v>
      </c>
      <c r="T111" s="2">
        <v>-1</v>
      </c>
      <c r="U111" s="2">
        <v>0</v>
      </c>
      <c r="V111" s="2">
        <v>0</v>
      </c>
      <c r="W111" s="2">
        <v>-1</v>
      </c>
      <c r="X111" s="2"/>
      <c r="Y111" s="2">
        <v>-1</v>
      </c>
      <c r="Z111" s="2">
        <v>0</v>
      </c>
      <c r="AA111" s="2">
        <v>1</v>
      </c>
      <c r="AB111" s="2">
        <v>4</v>
      </c>
      <c r="AC111" s="2">
        <v>2</v>
      </c>
      <c r="AD111" s="2">
        <v>2</v>
      </c>
      <c r="AE111" s="2">
        <v>2</v>
      </c>
      <c r="AF111" s="2">
        <v>2</v>
      </c>
      <c r="AG111" s="2">
        <v>1</v>
      </c>
      <c r="AH111" s="2">
        <v>2</v>
      </c>
      <c r="AI111" s="2">
        <v>1</v>
      </c>
      <c r="AJ111" s="2">
        <v>2</v>
      </c>
      <c r="AK111" s="2">
        <v>2</v>
      </c>
      <c r="AL111" s="2">
        <v>2</v>
      </c>
      <c r="AM111" s="2">
        <v>2</v>
      </c>
      <c r="AN111" s="2">
        <v>3</v>
      </c>
      <c r="AO111" s="2">
        <v>4</v>
      </c>
      <c r="AP111" s="2">
        <v>2</v>
      </c>
      <c r="AQ111" s="2">
        <v>2</v>
      </c>
      <c r="AR111" s="2">
        <v>0</v>
      </c>
      <c r="AS111" s="2">
        <v>0</v>
      </c>
      <c r="AT111" s="2">
        <v>0</v>
      </c>
      <c r="AU111" s="2">
        <v>1</v>
      </c>
      <c r="AV111" s="2"/>
      <c r="AW111" s="2">
        <v>2</v>
      </c>
      <c r="AX111" s="2">
        <v>2</v>
      </c>
      <c r="AY111" s="2">
        <v>2</v>
      </c>
      <c r="AZ111" s="2">
        <v>3</v>
      </c>
      <c r="BA111" s="2">
        <v>4</v>
      </c>
      <c r="BB111" s="2">
        <v>2</v>
      </c>
      <c r="BC111" s="2">
        <v>3</v>
      </c>
      <c r="BD111" s="2">
        <v>4</v>
      </c>
      <c r="BE111" s="2">
        <v>0</v>
      </c>
      <c r="BF111" s="2">
        <v>0</v>
      </c>
      <c r="BG111" s="2">
        <v>1</v>
      </c>
      <c r="BH111" s="2">
        <v>1</v>
      </c>
      <c r="BI111" s="2"/>
      <c r="BJ111" s="2">
        <v>2</v>
      </c>
      <c r="BK111" s="2">
        <v>1</v>
      </c>
      <c r="BL111" s="2">
        <v>1</v>
      </c>
      <c r="BM111" s="2">
        <v>7</v>
      </c>
      <c r="BN111" s="2">
        <v>8</v>
      </c>
      <c r="BO111" s="2">
        <v>8</v>
      </c>
      <c r="BP111" s="2" t="s">
        <v>492</v>
      </c>
      <c r="BQ111" s="2"/>
      <c r="BR111" s="2"/>
      <c r="BS111" s="2"/>
      <c r="BT111" s="2"/>
      <c r="BU111" s="2" t="s">
        <v>493</v>
      </c>
      <c r="BV111" s="2" t="s">
        <v>494</v>
      </c>
      <c r="BW111" s="2" t="s">
        <v>495</v>
      </c>
      <c r="BX111" s="2" t="s">
        <v>191</v>
      </c>
      <c r="BY111" s="2" t="s">
        <v>190</v>
      </c>
      <c r="BZ111" s="2" t="s">
        <v>191</v>
      </c>
      <c r="CA111" s="2" t="s">
        <v>190</v>
      </c>
      <c r="CB111" s="2" t="s">
        <v>191</v>
      </c>
      <c r="CC111" s="2" t="s">
        <v>188</v>
      </c>
      <c r="CD111" s="2" t="s">
        <v>189</v>
      </c>
      <c r="CE111" s="2" t="s">
        <v>189</v>
      </c>
      <c r="CF111" s="2" t="s">
        <v>190</v>
      </c>
      <c r="CG111" s="2" t="s">
        <v>190</v>
      </c>
      <c r="CH111" s="2" t="s">
        <v>191</v>
      </c>
      <c r="CI111" s="2" t="s">
        <v>190</v>
      </c>
      <c r="CJ111" s="2" t="s">
        <v>190</v>
      </c>
      <c r="CK111" s="2" t="s">
        <v>189</v>
      </c>
      <c r="CL111" s="2" t="s">
        <v>190</v>
      </c>
      <c r="CM111" s="2" t="s">
        <v>192</v>
      </c>
      <c r="CN111" s="2" t="s">
        <v>192</v>
      </c>
      <c r="CO111" s="2" t="s">
        <v>193</v>
      </c>
      <c r="CP111" s="2" t="s">
        <v>193</v>
      </c>
      <c r="CQ111" s="2" t="s">
        <v>193</v>
      </c>
      <c r="CR111" s="2" t="s">
        <v>193</v>
      </c>
      <c r="CS111" s="2" t="s">
        <v>192</v>
      </c>
      <c r="CT111" s="2" t="s">
        <v>192</v>
      </c>
      <c r="CU111" s="2" t="s">
        <v>192</v>
      </c>
      <c r="CV111" s="2" t="s">
        <v>192</v>
      </c>
      <c r="CW111" s="2" t="s">
        <v>200</v>
      </c>
      <c r="CX111" s="2" t="s">
        <v>200</v>
      </c>
      <c r="CY111" s="2" t="s">
        <v>192</v>
      </c>
      <c r="CZ111" s="2" t="s">
        <v>193</v>
      </c>
      <c r="DA111" s="2" t="s">
        <v>200</v>
      </c>
      <c r="DB111" s="2" t="s">
        <v>192</v>
      </c>
      <c r="DC111" s="2" t="s">
        <v>192</v>
      </c>
      <c r="DD111" s="2" t="s">
        <v>193</v>
      </c>
      <c r="DE111" s="2" t="s">
        <v>192</v>
      </c>
      <c r="DF111" s="2" t="s">
        <v>192</v>
      </c>
      <c r="DG111" s="2" t="s">
        <v>195</v>
      </c>
      <c r="DH111" s="2" t="s">
        <v>195</v>
      </c>
      <c r="DI111" s="2" t="s">
        <v>194</v>
      </c>
      <c r="DJ111" s="2" t="s">
        <v>194</v>
      </c>
      <c r="DK111" s="2" t="s">
        <v>194</v>
      </c>
      <c r="DL111" s="2" t="s">
        <v>195</v>
      </c>
      <c r="DM111" s="2" t="s">
        <v>195</v>
      </c>
      <c r="DN111" s="2" t="s">
        <v>196</v>
      </c>
      <c r="DO111" s="2" t="s">
        <v>196</v>
      </c>
      <c r="DP111" s="2" t="s">
        <v>196</v>
      </c>
      <c r="DQ111" s="2" t="s">
        <v>195</v>
      </c>
      <c r="DR111" s="2" t="s">
        <v>194</v>
      </c>
      <c r="DS111" s="2" t="s">
        <v>197</v>
      </c>
      <c r="DT111" s="2" t="s">
        <v>197</v>
      </c>
      <c r="DU111" s="2" t="s">
        <v>198</v>
      </c>
      <c r="DV111" s="2" t="s">
        <v>197</v>
      </c>
      <c r="DW111" s="2" t="s">
        <v>197</v>
      </c>
      <c r="DX111" s="2" t="s">
        <v>198</v>
      </c>
      <c r="DY111" s="2" t="s">
        <v>197</v>
      </c>
      <c r="DZ111" s="2"/>
      <c r="EA111" s="2">
        <v>0</v>
      </c>
      <c r="EB111" s="2">
        <v>1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1</v>
      </c>
      <c r="EJ111" s="2">
        <v>0</v>
      </c>
      <c r="EK111" s="2">
        <v>0</v>
      </c>
      <c r="EL111" s="2">
        <v>1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1</v>
      </c>
      <c r="ET111" s="2">
        <v>0</v>
      </c>
      <c r="EU111" s="2">
        <v>1</v>
      </c>
      <c r="EV111" s="2">
        <v>0</v>
      </c>
      <c r="EW111" s="2">
        <v>0</v>
      </c>
      <c r="EX111" s="2">
        <v>0</v>
      </c>
      <c r="EY111" s="2">
        <v>1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1</v>
      </c>
      <c r="FP111" s="2">
        <v>0</v>
      </c>
      <c r="FQ111" s="2">
        <v>1</v>
      </c>
      <c r="FR111" s="2">
        <v>0</v>
      </c>
      <c r="FS111" s="2">
        <v>1</v>
      </c>
      <c r="FT111" s="2">
        <v>0</v>
      </c>
      <c r="FU111" s="2">
        <v>1</v>
      </c>
      <c r="FV111" s="2">
        <v>0</v>
      </c>
      <c r="FW111" s="2">
        <v>0</v>
      </c>
      <c r="FX111" s="2">
        <v>1</v>
      </c>
      <c r="FY111" s="2">
        <v>0</v>
      </c>
      <c r="FZ111" s="2"/>
      <c r="GA111" s="2">
        <v>2</v>
      </c>
      <c r="GB111" s="2">
        <v>3</v>
      </c>
      <c r="GC111" s="2">
        <v>4</v>
      </c>
      <c r="GD111" s="2">
        <v>2</v>
      </c>
      <c r="GE111" s="2">
        <v>2</v>
      </c>
      <c r="GG111" s="2">
        <v>3</v>
      </c>
      <c r="GH111" s="2">
        <v>4</v>
      </c>
      <c r="GI111" s="2">
        <v>2</v>
      </c>
      <c r="GJ111" s="2">
        <v>3</v>
      </c>
      <c r="GK111" s="2">
        <v>4</v>
      </c>
      <c r="GM111" s="2">
        <f t="shared" si="0"/>
        <v>13</v>
      </c>
      <c r="GN111" s="2">
        <f t="shared" si="1"/>
        <v>16</v>
      </c>
      <c r="GO111" s="2"/>
      <c r="GP111" s="2">
        <v>0</v>
      </c>
      <c r="GQ111" s="2">
        <v>0</v>
      </c>
      <c r="GR111" s="2">
        <v>0</v>
      </c>
      <c r="GS111" s="2">
        <v>1</v>
      </c>
      <c r="GU111" s="2">
        <v>2</v>
      </c>
      <c r="GV111" s="2">
        <v>2</v>
      </c>
      <c r="GW111" s="2">
        <v>2</v>
      </c>
      <c r="GY111" s="2">
        <v>0</v>
      </c>
      <c r="GZ111" s="2">
        <v>0</v>
      </c>
      <c r="HA111" s="2">
        <v>1</v>
      </c>
      <c r="HB111" s="2">
        <v>1</v>
      </c>
      <c r="HD111" s="2">
        <v>2</v>
      </c>
      <c r="HE111" s="2">
        <v>1</v>
      </c>
      <c r="HF111" s="2">
        <v>1</v>
      </c>
      <c r="HH111" s="2">
        <f t="shared" si="2"/>
        <v>7</v>
      </c>
      <c r="HI111" s="2">
        <f t="shared" si="3"/>
        <v>6</v>
      </c>
      <c r="HJ111" s="2"/>
      <c r="HK111" s="2">
        <v>8</v>
      </c>
      <c r="HL111" s="2">
        <v>8</v>
      </c>
      <c r="HM111" s="2"/>
      <c r="HN111" s="2"/>
    </row>
    <row r="112" spans="1:222" ht="15.75" customHeight="1" x14ac:dyDescent="0.2">
      <c r="A112" s="3" t="e">
        <f>VLOOKUP(B112,#REF!,1,FALSE)</f>
        <v>#REF!</v>
      </c>
      <c r="B112" s="3">
        <v>44644.372029247686</v>
      </c>
      <c r="C112" s="2">
        <v>121</v>
      </c>
      <c r="D112" s="2" t="s">
        <v>185</v>
      </c>
      <c r="E112" s="2">
        <v>0</v>
      </c>
      <c r="F112" s="2" t="s">
        <v>186</v>
      </c>
      <c r="G112" s="2">
        <v>2</v>
      </c>
      <c r="H112" s="2">
        <v>2</v>
      </c>
      <c r="I112" s="2">
        <v>1</v>
      </c>
      <c r="J112" s="2">
        <v>2</v>
      </c>
      <c r="K112" s="2">
        <v>0</v>
      </c>
      <c r="L112" s="2">
        <v>3</v>
      </c>
      <c r="M112" s="2" t="s">
        <v>187</v>
      </c>
      <c r="N112" s="2">
        <v>3</v>
      </c>
      <c r="O112" s="2">
        <v>4</v>
      </c>
      <c r="P112" s="2">
        <v>0</v>
      </c>
      <c r="Q112" s="2">
        <v>2</v>
      </c>
      <c r="R112" s="2">
        <v>2</v>
      </c>
      <c r="S112" s="2">
        <v>1</v>
      </c>
      <c r="T112" s="2">
        <v>-1</v>
      </c>
      <c r="U112" s="2">
        <v>0</v>
      </c>
      <c r="V112" s="2">
        <v>1</v>
      </c>
      <c r="W112" s="2">
        <v>1</v>
      </c>
      <c r="X112" s="2"/>
      <c r="Y112" s="2">
        <v>-1</v>
      </c>
      <c r="Z112" s="2">
        <v>1</v>
      </c>
      <c r="AA112" s="2">
        <v>1</v>
      </c>
      <c r="AB112" s="2">
        <v>4</v>
      </c>
      <c r="AC112" s="2">
        <v>2</v>
      </c>
      <c r="AD112" s="2">
        <v>2</v>
      </c>
      <c r="AE112" s="2">
        <v>4</v>
      </c>
      <c r="AF112" s="2">
        <v>4</v>
      </c>
      <c r="AG112" s="2">
        <v>2</v>
      </c>
      <c r="AH112" s="2">
        <v>3</v>
      </c>
      <c r="AI112" s="2">
        <v>1</v>
      </c>
      <c r="AJ112" s="2">
        <v>2</v>
      </c>
      <c r="AK112" s="2">
        <v>2</v>
      </c>
      <c r="AL112" s="2">
        <v>2</v>
      </c>
      <c r="AM112" s="2">
        <v>4</v>
      </c>
      <c r="AN112" s="2">
        <v>4</v>
      </c>
      <c r="AO112" s="2">
        <v>3</v>
      </c>
      <c r="AP112" s="2">
        <v>3</v>
      </c>
      <c r="AQ112" s="2">
        <v>5</v>
      </c>
      <c r="AR112" s="2">
        <v>0</v>
      </c>
      <c r="AS112" s="2">
        <v>0</v>
      </c>
      <c r="AT112" s="2">
        <v>0</v>
      </c>
      <c r="AU112" s="2">
        <v>0</v>
      </c>
      <c r="AV112" s="2"/>
      <c r="AW112" s="2">
        <v>2</v>
      </c>
      <c r="AX112" s="2">
        <v>1</v>
      </c>
      <c r="AY112" s="2">
        <v>0</v>
      </c>
      <c r="AZ112" s="2">
        <v>4</v>
      </c>
      <c r="BA112" s="2">
        <v>4</v>
      </c>
      <c r="BB112" s="2">
        <v>2</v>
      </c>
      <c r="BC112" s="2">
        <v>5</v>
      </c>
      <c r="BD112" s="2">
        <v>1</v>
      </c>
      <c r="BE112" s="2">
        <v>0</v>
      </c>
      <c r="BF112" s="2">
        <v>0</v>
      </c>
      <c r="BG112" s="2">
        <v>0</v>
      </c>
      <c r="BH112" s="2">
        <v>0</v>
      </c>
      <c r="BI112" s="2"/>
      <c r="BJ112" s="2">
        <v>1</v>
      </c>
      <c r="BK112" s="2">
        <v>0</v>
      </c>
      <c r="BL112" s="2">
        <v>0</v>
      </c>
      <c r="BM112" s="2">
        <v>8</v>
      </c>
      <c r="BN112" s="2">
        <v>8</v>
      </c>
      <c r="BO112" s="2">
        <v>9</v>
      </c>
      <c r="BP112" s="2" t="s">
        <v>496</v>
      </c>
      <c r="BQ112" s="2"/>
      <c r="BR112" s="2" t="s">
        <v>497</v>
      </c>
      <c r="BS112" s="2" t="s">
        <v>498</v>
      </c>
      <c r="BT112" s="2"/>
      <c r="BU112" s="2" t="s">
        <v>499</v>
      </c>
      <c r="BV112" s="2" t="s">
        <v>500</v>
      </c>
      <c r="BW112" s="2" t="s">
        <v>501</v>
      </c>
      <c r="BX112" s="2" t="s">
        <v>191</v>
      </c>
      <c r="BY112" s="2" t="s">
        <v>188</v>
      </c>
      <c r="BZ112" s="2" t="s">
        <v>191</v>
      </c>
      <c r="CA112" s="2" t="s">
        <v>188</v>
      </c>
      <c r="CB112" s="2" t="s">
        <v>188</v>
      </c>
      <c r="CC112" s="2" t="s">
        <v>191</v>
      </c>
      <c r="CD112" s="2" t="s">
        <v>189</v>
      </c>
      <c r="CE112" s="2" t="s">
        <v>190</v>
      </c>
      <c r="CF112" s="2" t="s">
        <v>190</v>
      </c>
      <c r="CG112" s="2" t="s">
        <v>189</v>
      </c>
      <c r="CH112" s="2" t="s">
        <v>190</v>
      </c>
      <c r="CI112" s="2" t="s">
        <v>189</v>
      </c>
      <c r="CJ112" s="2" t="s">
        <v>189</v>
      </c>
      <c r="CK112" s="2" t="s">
        <v>189</v>
      </c>
      <c r="CL112" s="2" t="s">
        <v>189</v>
      </c>
      <c r="CM112" s="2" t="s">
        <v>192</v>
      </c>
      <c r="CN112" s="2" t="s">
        <v>192</v>
      </c>
      <c r="CO112" s="2" t="s">
        <v>193</v>
      </c>
      <c r="CP112" s="2" t="s">
        <v>192</v>
      </c>
      <c r="CQ112" s="2" t="s">
        <v>192</v>
      </c>
      <c r="CR112" s="2" t="s">
        <v>193</v>
      </c>
      <c r="CS112" s="2" t="s">
        <v>193</v>
      </c>
      <c r="CT112" s="2" t="s">
        <v>193</v>
      </c>
      <c r="CU112" s="2" t="s">
        <v>192</v>
      </c>
      <c r="CV112" s="2" t="s">
        <v>200</v>
      </c>
      <c r="CW112" s="2" t="s">
        <v>193</v>
      </c>
      <c r="CX112" s="2" t="s">
        <v>200</v>
      </c>
      <c r="CY112" s="2" t="s">
        <v>192</v>
      </c>
      <c r="CZ112" s="2" t="s">
        <v>193</v>
      </c>
      <c r="DA112" s="2" t="s">
        <v>200</v>
      </c>
      <c r="DB112" s="2" t="s">
        <v>192</v>
      </c>
      <c r="DC112" s="2"/>
      <c r="DD112" s="2" t="s">
        <v>193</v>
      </c>
      <c r="DE112" s="2" t="s">
        <v>193</v>
      </c>
      <c r="DF112" s="2" t="s">
        <v>192</v>
      </c>
      <c r="DG112" s="2" t="s">
        <v>194</v>
      </c>
      <c r="DH112" s="2" t="s">
        <v>195</v>
      </c>
      <c r="DI112" s="2" t="s">
        <v>194</v>
      </c>
      <c r="DJ112" s="2" t="s">
        <v>195</v>
      </c>
      <c r="DK112" s="2" t="s">
        <v>196</v>
      </c>
      <c r="DL112" s="2" t="s">
        <v>194</v>
      </c>
      <c r="DM112" s="2" t="s">
        <v>195</v>
      </c>
      <c r="DN112" s="2" t="s">
        <v>220</v>
      </c>
      <c r="DO112" s="2" t="s">
        <v>196</v>
      </c>
      <c r="DP112" s="2" t="s">
        <v>195</v>
      </c>
      <c r="DQ112" s="2" t="s">
        <v>195</v>
      </c>
      <c r="DR112" s="2" t="s">
        <v>194</v>
      </c>
      <c r="DS112" s="2" t="s">
        <v>221</v>
      </c>
      <c r="DT112" s="2" t="s">
        <v>197</v>
      </c>
      <c r="DU112" s="2" t="s">
        <v>221</v>
      </c>
      <c r="DV112" s="2" t="s">
        <v>199</v>
      </c>
      <c r="DW112" s="2" t="s">
        <v>197</v>
      </c>
      <c r="DX112" s="2" t="s">
        <v>221</v>
      </c>
      <c r="DY112" s="2" t="s">
        <v>197</v>
      </c>
      <c r="DZ112" s="2"/>
      <c r="EA112" s="2">
        <v>0</v>
      </c>
      <c r="EB112" s="2">
        <v>1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1</v>
      </c>
      <c r="EJ112" s="2">
        <v>1</v>
      </c>
      <c r="EK112" s="2">
        <v>0</v>
      </c>
      <c r="EL112" s="2">
        <v>0</v>
      </c>
      <c r="EM112" s="2">
        <v>1</v>
      </c>
      <c r="EN112" s="2">
        <v>1</v>
      </c>
      <c r="EO112" s="2">
        <v>0</v>
      </c>
      <c r="EP112" s="2">
        <v>0</v>
      </c>
      <c r="EQ112" s="2">
        <v>1</v>
      </c>
      <c r="ER112" s="2">
        <v>0</v>
      </c>
      <c r="ES112" s="2">
        <v>1</v>
      </c>
      <c r="ET112" s="2">
        <v>0</v>
      </c>
      <c r="EU112" s="2">
        <v>1</v>
      </c>
      <c r="EV112" s="2">
        <v>0</v>
      </c>
      <c r="EW112" s="2">
        <v>0</v>
      </c>
      <c r="EX112" s="2">
        <v>0</v>
      </c>
      <c r="EY112" s="2">
        <v>1</v>
      </c>
      <c r="EZ112" s="2">
        <v>0</v>
      </c>
      <c r="FA112" s="2">
        <v>0</v>
      </c>
      <c r="FB112" s="2">
        <v>1</v>
      </c>
      <c r="FC112" s="2">
        <v>0</v>
      </c>
      <c r="FD112" s="2">
        <v>0</v>
      </c>
      <c r="FE112" s="2">
        <v>0</v>
      </c>
      <c r="FF112" s="2">
        <v>0</v>
      </c>
      <c r="FG112" s="2">
        <v>1</v>
      </c>
      <c r="FH112" s="2">
        <v>1</v>
      </c>
      <c r="FI112" s="2">
        <v>0</v>
      </c>
      <c r="FJ112" s="2">
        <v>0</v>
      </c>
      <c r="FK112" s="2">
        <v>0</v>
      </c>
      <c r="FL112" s="2">
        <v>1</v>
      </c>
      <c r="FM112" s="2">
        <v>0</v>
      </c>
      <c r="FN112" s="2">
        <v>0</v>
      </c>
      <c r="FO112" s="2">
        <v>1</v>
      </c>
      <c r="FP112" s="2">
        <v>0</v>
      </c>
      <c r="FQ112" s="2">
        <v>1</v>
      </c>
      <c r="FR112" s="2">
        <v>0</v>
      </c>
      <c r="FS112" s="2">
        <v>1</v>
      </c>
      <c r="FT112" s="2">
        <v>0</v>
      </c>
      <c r="FU112" s="2">
        <v>1</v>
      </c>
      <c r="FV112" s="2">
        <v>0</v>
      </c>
      <c r="FW112" s="2">
        <v>1</v>
      </c>
      <c r="FX112" s="2">
        <v>0</v>
      </c>
      <c r="FY112" s="2">
        <v>1</v>
      </c>
      <c r="FZ112" s="2"/>
      <c r="GA112" s="2">
        <v>4</v>
      </c>
      <c r="GB112" s="2">
        <v>4</v>
      </c>
      <c r="GC112" s="2">
        <v>3</v>
      </c>
      <c r="GD112" s="2">
        <v>3</v>
      </c>
      <c r="GE112" s="2">
        <v>5</v>
      </c>
      <c r="GG112" s="2">
        <v>4</v>
      </c>
      <c r="GH112" s="2">
        <v>4</v>
      </c>
      <c r="GI112" s="2">
        <v>2</v>
      </c>
      <c r="GJ112" s="2">
        <v>5</v>
      </c>
      <c r="GK112" s="2">
        <v>1</v>
      </c>
      <c r="GM112" s="2">
        <f t="shared" si="0"/>
        <v>19</v>
      </c>
      <c r="GN112" s="2">
        <f t="shared" si="1"/>
        <v>16</v>
      </c>
      <c r="GO112" s="2"/>
      <c r="GP112" s="2">
        <v>0</v>
      </c>
      <c r="GQ112" s="2">
        <v>0</v>
      </c>
      <c r="GR112" s="2">
        <v>0</v>
      </c>
      <c r="GS112" s="2">
        <v>0</v>
      </c>
      <c r="GU112" s="2">
        <v>2</v>
      </c>
      <c r="GV112" s="2">
        <v>1</v>
      </c>
      <c r="GW112" s="2">
        <v>0</v>
      </c>
      <c r="GY112" s="2">
        <v>0</v>
      </c>
      <c r="GZ112" s="2">
        <v>0</v>
      </c>
      <c r="HA112" s="2">
        <v>0</v>
      </c>
      <c r="HB112" s="2">
        <v>0</v>
      </c>
      <c r="HD112" s="2">
        <v>1</v>
      </c>
      <c r="HE112" s="2">
        <v>0</v>
      </c>
      <c r="HF112" s="2">
        <v>0</v>
      </c>
      <c r="HH112" s="2">
        <f t="shared" si="2"/>
        <v>3</v>
      </c>
      <c r="HI112" s="2">
        <f t="shared" si="3"/>
        <v>1</v>
      </c>
      <c r="HJ112" s="2"/>
      <c r="HK112" s="2">
        <v>8</v>
      </c>
      <c r="HL112" s="2">
        <v>9</v>
      </c>
      <c r="HM112" s="2"/>
      <c r="HN112" s="2"/>
    </row>
    <row r="113" spans="1:222" ht="15.75" customHeight="1" x14ac:dyDescent="0.2">
      <c r="A113" s="3" t="e">
        <f>VLOOKUP(B113,#REF!,1,FALSE)</f>
        <v>#REF!</v>
      </c>
      <c r="B113" s="3">
        <v>44644.398499965275</v>
      </c>
      <c r="C113" s="2">
        <v>122</v>
      </c>
      <c r="D113" s="2" t="s">
        <v>185</v>
      </c>
      <c r="E113" s="2">
        <v>0</v>
      </c>
      <c r="F113" s="2" t="s">
        <v>186</v>
      </c>
      <c r="G113" s="2">
        <v>8</v>
      </c>
      <c r="H113" s="2">
        <v>2</v>
      </c>
      <c r="I113" s="2">
        <v>1</v>
      </c>
      <c r="J113" s="2">
        <v>4</v>
      </c>
      <c r="K113" s="2">
        <v>0</v>
      </c>
      <c r="L113" s="2">
        <v>3</v>
      </c>
      <c r="M113" s="2" t="s">
        <v>187</v>
      </c>
      <c r="N113" s="2">
        <v>2</v>
      </c>
      <c r="O113" s="2">
        <v>2</v>
      </c>
      <c r="P113" s="2">
        <v>0</v>
      </c>
      <c r="Q113" s="2" t="s">
        <v>502</v>
      </c>
      <c r="R113" s="2">
        <v>2</v>
      </c>
      <c r="S113" s="2">
        <v>1</v>
      </c>
      <c r="T113" s="2">
        <v>-1</v>
      </c>
      <c r="U113" s="2">
        <v>0</v>
      </c>
      <c r="V113" s="2">
        <v>1</v>
      </c>
      <c r="W113" s="2">
        <v>0</v>
      </c>
      <c r="X113" s="2"/>
      <c r="Y113" s="2">
        <v>1</v>
      </c>
      <c r="Z113" s="2">
        <v>1</v>
      </c>
      <c r="AA113" s="2">
        <v>0</v>
      </c>
      <c r="AB113" s="2">
        <v>1</v>
      </c>
      <c r="AC113" s="2">
        <v>0</v>
      </c>
      <c r="AD113" s="2">
        <v>1</v>
      </c>
      <c r="AE113" s="2">
        <v>1</v>
      </c>
      <c r="AF113" s="2">
        <v>0</v>
      </c>
      <c r="AG113" s="2">
        <v>1</v>
      </c>
      <c r="AH113" s="2">
        <v>1</v>
      </c>
      <c r="AI113" s="2">
        <v>-1</v>
      </c>
      <c r="AJ113" s="2">
        <v>1</v>
      </c>
      <c r="AK113" s="2">
        <v>1</v>
      </c>
      <c r="AL113" s="2">
        <v>1</v>
      </c>
      <c r="AM113" s="2">
        <v>2</v>
      </c>
      <c r="AN113" s="2">
        <v>1</v>
      </c>
      <c r="AO113" s="2">
        <v>2</v>
      </c>
      <c r="AP113" s="2">
        <v>1</v>
      </c>
      <c r="AQ113" s="2">
        <v>1</v>
      </c>
      <c r="AR113" s="2">
        <v>1</v>
      </c>
      <c r="AS113" s="2">
        <v>2</v>
      </c>
      <c r="AT113" s="2">
        <v>1</v>
      </c>
      <c r="AU113" s="2">
        <v>2</v>
      </c>
      <c r="AV113" s="2"/>
      <c r="AW113" s="2">
        <v>1</v>
      </c>
      <c r="AX113" s="2">
        <v>2</v>
      </c>
      <c r="AY113" s="2">
        <v>0</v>
      </c>
      <c r="AZ113" s="2">
        <v>5</v>
      </c>
      <c r="BA113" s="2">
        <v>2</v>
      </c>
      <c r="BB113" s="2">
        <v>2</v>
      </c>
      <c r="BC113" s="2">
        <v>2</v>
      </c>
      <c r="BD113" s="2">
        <v>2</v>
      </c>
      <c r="BE113" s="2">
        <v>1</v>
      </c>
      <c r="BF113" s="2">
        <v>2</v>
      </c>
      <c r="BG113" s="2">
        <v>1</v>
      </c>
      <c r="BH113" s="2">
        <v>2</v>
      </c>
      <c r="BI113" s="2"/>
      <c r="BJ113" s="2">
        <v>1</v>
      </c>
      <c r="BK113" s="2">
        <v>1</v>
      </c>
      <c r="BL113" s="2">
        <v>-2</v>
      </c>
      <c r="BM113" s="2">
        <v>6</v>
      </c>
      <c r="BN113" s="2">
        <v>6</v>
      </c>
      <c r="BO113" s="2">
        <v>8</v>
      </c>
      <c r="BP113" s="2"/>
      <c r="BQ113" s="2"/>
      <c r="BR113" s="2"/>
      <c r="BS113" s="2"/>
      <c r="BT113" s="2"/>
      <c r="BU113" s="2"/>
      <c r="BV113" s="2" t="s">
        <v>503</v>
      </c>
      <c r="BW113" s="2"/>
      <c r="BX113" s="2" t="s">
        <v>191</v>
      </c>
      <c r="BY113" s="2" t="s">
        <v>191</v>
      </c>
      <c r="BZ113" s="2" t="s">
        <v>191</v>
      </c>
      <c r="CA113" s="2" t="s">
        <v>190</v>
      </c>
      <c r="CB113" s="2" t="s">
        <v>191</v>
      </c>
      <c r="CC113" s="2" t="s">
        <v>191</v>
      </c>
      <c r="CD113" s="2" t="s">
        <v>189</v>
      </c>
      <c r="CE113" s="2" t="s">
        <v>190</v>
      </c>
      <c r="CF113" s="2" t="s">
        <v>188</v>
      </c>
      <c r="CG113" s="2" t="s">
        <v>191</v>
      </c>
      <c r="CH113" s="2" t="s">
        <v>188</v>
      </c>
      <c r="CI113" s="2" t="s">
        <v>190</v>
      </c>
      <c r="CJ113" s="2" t="s">
        <v>188</v>
      </c>
      <c r="CK113" s="2" t="s">
        <v>188</v>
      </c>
      <c r="CL113" s="2" t="s">
        <v>191</v>
      </c>
      <c r="CM113" s="2" t="s">
        <v>193</v>
      </c>
      <c r="CN113" s="2" t="s">
        <v>192</v>
      </c>
      <c r="CO113" s="2" t="s">
        <v>193</v>
      </c>
      <c r="CP113" s="2" t="s">
        <v>193</v>
      </c>
      <c r="CQ113" s="2" t="s">
        <v>193</v>
      </c>
      <c r="CR113" s="2" t="s">
        <v>192</v>
      </c>
      <c r="CS113" s="2" t="s">
        <v>192</v>
      </c>
      <c r="CT113" s="2" t="s">
        <v>192</v>
      </c>
      <c r="CU113" s="2" t="s">
        <v>192</v>
      </c>
      <c r="CV113" s="2" t="s">
        <v>192</v>
      </c>
      <c r="CW113" s="2" t="s">
        <v>200</v>
      </c>
      <c r="CX113" s="2" t="s">
        <v>193</v>
      </c>
      <c r="CY113" s="2" t="s">
        <v>193</v>
      </c>
      <c r="CZ113" s="2" t="s">
        <v>193</v>
      </c>
      <c r="DA113" s="2" t="s">
        <v>193</v>
      </c>
      <c r="DB113" s="2" t="s">
        <v>193</v>
      </c>
      <c r="DC113" s="2" t="s">
        <v>193</v>
      </c>
      <c r="DD113" s="2" t="s">
        <v>193</v>
      </c>
      <c r="DE113" s="2" t="s">
        <v>193</v>
      </c>
      <c r="DF113" s="2" t="s">
        <v>193</v>
      </c>
      <c r="DG113" s="2" t="s">
        <v>194</v>
      </c>
      <c r="DH113" s="2" t="s">
        <v>194</v>
      </c>
      <c r="DI113" s="2" t="s">
        <v>194</v>
      </c>
      <c r="DJ113" s="2" t="s">
        <v>194</v>
      </c>
      <c r="DK113" s="2" t="s">
        <v>194</v>
      </c>
      <c r="DL113" s="2" t="s">
        <v>196</v>
      </c>
      <c r="DM113" s="2" t="s">
        <v>196</v>
      </c>
      <c r="DN113" s="2" t="s">
        <v>196</v>
      </c>
      <c r="DO113" s="2" t="s">
        <v>196</v>
      </c>
      <c r="DP113" s="2" t="s">
        <v>194</v>
      </c>
      <c r="DQ113" s="2" t="s">
        <v>196</v>
      </c>
      <c r="DR113" s="2" t="s">
        <v>194</v>
      </c>
      <c r="DS113" s="2" t="s">
        <v>197</v>
      </c>
      <c r="DT113" s="2" t="s">
        <v>197</v>
      </c>
      <c r="DU113" s="2" t="s">
        <v>197</v>
      </c>
      <c r="DV113" s="2" t="s">
        <v>197</v>
      </c>
      <c r="DW113" s="2" t="s">
        <v>198</v>
      </c>
      <c r="DX113" s="2" t="s">
        <v>198</v>
      </c>
      <c r="DY113" s="2" t="s">
        <v>198</v>
      </c>
      <c r="DZ113" s="2"/>
      <c r="EA113" s="2">
        <v>0</v>
      </c>
      <c r="EB113" s="2">
        <v>0</v>
      </c>
      <c r="EC113" s="2">
        <v>0</v>
      </c>
      <c r="ED113" s="2">
        <v>0</v>
      </c>
      <c r="EE113" s="2">
        <v>1</v>
      </c>
      <c r="EF113" s="2">
        <v>1</v>
      </c>
      <c r="EG113" s="2">
        <v>0</v>
      </c>
      <c r="EH113" s="2">
        <v>1</v>
      </c>
      <c r="EI113" s="2">
        <v>0</v>
      </c>
      <c r="EJ113" s="2">
        <v>1</v>
      </c>
      <c r="EK113" s="2">
        <v>0</v>
      </c>
      <c r="EL113" s="2">
        <v>1</v>
      </c>
      <c r="EM113" s="2">
        <v>0</v>
      </c>
      <c r="EN113" s="2">
        <v>1</v>
      </c>
      <c r="EO113" s="2">
        <v>0</v>
      </c>
      <c r="EP113" s="2">
        <v>1</v>
      </c>
      <c r="EQ113" s="2">
        <v>0</v>
      </c>
      <c r="ER113" s="2">
        <v>1</v>
      </c>
      <c r="ES113" s="2">
        <v>0</v>
      </c>
      <c r="ET113" s="2">
        <v>0</v>
      </c>
      <c r="EU113" s="2">
        <v>1</v>
      </c>
      <c r="EV113" s="2">
        <v>1</v>
      </c>
      <c r="EW113" s="2">
        <v>0</v>
      </c>
      <c r="EX113" s="2">
        <v>0</v>
      </c>
      <c r="EY113" s="2">
        <v>1</v>
      </c>
      <c r="EZ113" s="2">
        <v>1</v>
      </c>
      <c r="FA113" s="2">
        <v>0</v>
      </c>
      <c r="FB113" s="2">
        <v>0</v>
      </c>
      <c r="FC113" s="2">
        <v>1</v>
      </c>
      <c r="FD113" s="2">
        <v>0</v>
      </c>
      <c r="FE113" s="2">
        <v>0</v>
      </c>
      <c r="FF113" s="2">
        <v>0</v>
      </c>
      <c r="FG113" s="2">
        <v>1</v>
      </c>
      <c r="FH113" s="2">
        <v>1</v>
      </c>
      <c r="FI113" s="2">
        <v>0</v>
      </c>
      <c r="FJ113" s="2">
        <v>1</v>
      </c>
      <c r="FK113" s="2">
        <v>0</v>
      </c>
      <c r="FL113" s="2">
        <v>1</v>
      </c>
      <c r="FM113" s="2">
        <v>0</v>
      </c>
      <c r="FN113" s="2">
        <v>1</v>
      </c>
      <c r="FO113" s="2">
        <v>0</v>
      </c>
      <c r="FP113" s="2">
        <v>0</v>
      </c>
      <c r="FQ113" s="2">
        <v>1</v>
      </c>
      <c r="FR113" s="2">
        <v>0</v>
      </c>
      <c r="FS113" s="2">
        <v>1</v>
      </c>
      <c r="FT113" s="2">
        <v>0</v>
      </c>
      <c r="FU113" s="2">
        <v>1</v>
      </c>
      <c r="FV113" s="2">
        <v>0</v>
      </c>
      <c r="FW113" s="2">
        <v>1</v>
      </c>
      <c r="FX113" s="2">
        <v>0</v>
      </c>
      <c r="FY113" s="2">
        <v>1</v>
      </c>
      <c r="FZ113" s="2"/>
      <c r="GA113" s="2">
        <v>2</v>
      </c>
      <c r="GB113" s="2">
        <v>1</v>
      </c>
      <c r="GC113" s="2">
        <v>2</v>
      </c>
      <c r="GD113" s="2">
        <v>1</v>
      </c>
      <c r="GE113" s="2">
        <v>1</v>
      </c>
      <c r="GG113" s="2">
        <v>5</v>
      </c>
      <c r="GH113" s="2">
        <v>2</v>
      </c>
      <c r="GI113" s="2">
        <v>2</v>
      </c>
      <c r="GJ113" s="2">
        <v>2</v>
      </c>
      <c r="GK113" s="2">
        <v>2</v>
      </c>
      <c r="GM113" s="2">
        <f t="shared" si="0"/>
        <v>7</v>
      </c>
      <c r="GN113" s="2">
        <f t="shared" si="1"/>
        <v>13</v>
      </c>
      <c r="GO113" s="2"/>
      <c r="GP113" s="2">
        <v>1</v>
      </c>
      <c r="GQ113" s="2">
        <v>2</v>
      </c>
      <c r="GR113" s="2">
        <v>1</v>
      </c>
      <c r="GS113" s="2">
        <v>2</v>
      </c>
      <c r="GU113" s="2">
        <v>1</v>
      </c>
      <c r="GV113" s="2">
        <v>2</v>
      </c>
      <c r="GW113" s="2">
        <v>0</v>
      </c>
      <c r="GY113" s="2">
        <v>1</v>
      </c>
      <c r="GZ113" s="2">
        <v>2</v>
      </c>
      <c r="HA113" s="2">
        <v>1</v>
      </c>
      <c r="HB113" s="2">
        <v>2</v>
      </c>
      <c r="HD113" s="2">
        <v>1</v>
      </c>
      <c r="HE113" s="2">
        <v>1</v>
      </c>
      <c r="HF113" s="2">
        <v>-2</v>
      </c>
      <c r="HH113" s="2">
        <f t="shared" si="2"/>
        <v>9</v>
      </c>
      <c r="HI113" s="2">
        <f t="shared" si="3"/>
        <v>6</v>
      </c>
      <c r="HJ113" s="2"/>
      <c r="HK113" s="2">
        <v>6</v>
      </c>
      <c r="HL113" s="2">
        <v>8</v>
      </c>
      <c r="HM113" s="2"/>
      <c r="HN113" s="2"/>
    </row>
    <row r="114" spans="1:222" ht="15.75" customHeight="1" x14ac:dyDescent="0.2">
      <c r="A114" s="3" t="e">
        <f>VLOOKUP(B114,#REF!,1,FALSE)</f>
        <v>#REF!</v>
      </c>
      <c r="B114" s="3">
        <v>44644.90083460648</v>
      </c>
      <c r="C114" s="2">
        <v>124</v>
      </c>
      <c r="D114" s="2" t="s">
        <v>185</v>
      </c>
      <c r="E114" s="2">
        <v>0</v>
      </c>
      <c r="F114" s="2" t="s">
        <v>186</v>
      </c>
      <c r="G114" s="2">
        <v>15</v>
      </c>
      <c r="H114" s="2">
        <v>2</v>
      </c>
      <c r="I114" s="2">
        <v>1</v>
      </c>
      <c r="J114" s="2">
        <v>2</v>
      </c>
      <c r="K114" s="2">
        <v>0</v>
      </c>
      <c r="L114" s="2">
        <v>4</v>
      </c>
      <c r="M114" s="2" t="s">
        <v>187</v>
      </c>
      <c r="N114" s="2">
        <v>2</v>
      </c>
      <c r="O114" s="2">
        <v>1</v>
      </c>
      <c r="P114" s="2">
        <v>0</v>
      </c>
      <c r="Q114" s="2" t="s">
        <v>341</v>
      </c>
      <c r="R114" s="2">
        <v>3</v>
      </c>
      <c r="S114" s="2">
        <v>-1</v>
      </c>
      <c r="T114" s="2">
        <v>0</v>
      </c>
      <c r="U114" s="2">
        <v>0</v>
      </c>
      <c r="V114" s="2">
        <v>-1</v>
      </c>
      <c r="W114" s="2">
        <v>-1</v>
      </c>
      <c r="X114" s="2"/>
      <c r="Y114" s="2">
        <v>-1</v>
      </c>
      <c r="Z114" s="2">
        <v>0</v>
      </c>
      <c r="AA114" s="2">
        <v>1</v>
      </c>
      <c r="AB114" s="2">
        <v>1</v>
      </c>
      <c r="AC114" s="2">
        <v>0</v>
      </c>
      <c r="AD114" s="2">
        <v>4</v>
      </c>
      <c r="AE114" s="2">
        <v>4</v>
      </c>
      <c r="AF114" s="2">
        <v>4</v>
      </c>
      <c r="AG114" s="2">
        <v>2</v>
      </c>
      <c r="AH114" s="2">
        <v>3</v>
      </c>
      <c r="AI114" s="2">
        <v>3</v>
      </c>
      <c r="AJ114" s="2">
        <v>3</v>
      </c>
      <c r="AK114" s="2">
        <v>2</v>
      </c>
      <c r="AL114" s="2">
        <v>3</v>
      </c>
      <c r="AM114" s="2">
        <v>5</v>
      </c>
      <c r="AN114" s="2">
        <v>5</v>
      </c>
      <c r="AO114" s="2">
        <v>4</v>
      </c>
      <c r="AP114" s="2">
        <v>5</v>
      </c>
      <c r="AQ114" s="2">
        <v>3</v>
      </c>
      <c r="AR114" s="2">
        <v>3</v>
      </c>
      <c r="AS114" s="2">
        <v>0</v>
      </c>
      <c r="AT114" s="2">
        <v>0</v>
      </c>
      <c r="AU114" s="2">
        <v>1</v>
      </c>
      <c r="AV114" s="2"/>
      <c r="AW114" s="2">
        <v>1</v>
      </c>
      <c r="AX114" s="2">
        <v>0</v>
      </c>
      <c r="AY114" s="2">
        <v>2</v>
      </c>
      <c r="AZ114" s="2">
        <v>5</v>
      </c>
      <c r="BA114" s="2">
        <v>5</v>
      </c>
      <c r="BB114" s="2">
        <v>4</v>
      </c>
      <c r="BC114" s="2">
        <v>4</v>
      </c>
      <c r="BD114" s="2">
        <v>4</v>
      </c>
      <c r="BE114" s="2">
        <v>3</v>
      </c>
      <c r="BF114" s="2">
        <v>0</v>
      </c>
      <c r="BG114" s="2">
        <v>1</v>
      </c>
      <c r="BH114" s="2">
        <v>1</v>
      </c>
      <c r="BI114" s="2"/>
      <c r="BJ114" s="2">
        <v>1</v>
      </c>
      <c r="BK114" s="2">
        <v>0</v>
      </c>
      <c r="BL114" s="2">
        <v>2</v>
      </c>
      <c r="BM114" s="2">
        <v>8</v>
      </c>
      <c r="BN114" s="2">
        <v>8</v>
      </c>
      <c r="BO114" s="2">
        <v>9</v>
      </c>
      <c r="BP114" s="2"/>
      <c r="BQ114" s="2"/>
      <c r="BR114" s="2" t="s">
        <v>504</v>
      </c>
      <c r="BS114" s="2" t="s">
        <v>258</v>
      </c>
      <c r="BT114" s="2" t="s">
        <v>505</v>
      </c>
      <c r="BU114" s="2"/>
      <c r="BV114" s="2" t="s">
        <v>506</v>
      </c>
      <c r="BW114" s="2" t="s">
        <v>507</v>
      </c>
      <c r="BX114" s="2" t="s">
        <v>190</v>
      </c>
      <c r="BY114" s="2" t="s">
        <v>190</v>
      </c>
      <c r="BZ114" s="2" t="s">
        <v>191</v>
      </c>
      <c r="CA114" s="2" t="s">
        <v>189</v>
      </c>
      <c r="CB114" s="2" t="s">
        <v>191</v>
      </c>
      <c r="CC114" s="2" t="s">
        <v>189</v>
      </c>
      <c r="CD114" s="2" t="s">
        <v>189</v>
      </c>
      <c r="CE114" s="2" t="s">
        <v>189</v>
      </c>
      <c r="CF114" s="2" t="s">
        <v>190</v>
      </c>
      <c r="CG114" s="2" t="s">
        <v>189</v>
      </c>
      <c r="CH114" s="2" t="s">
        <v>191</v>
      </c>
      <c r="CI114" s="2" t="s">
        <v>189</v>
      </c>
      <c r="CJ114" s="2" t="s">
        <v>188</v>
      </c>
      <c r="CK114" s="2" t="s">
        <v>189</v>
      </c>
      <c r="CL114" s="2" t="s">
        <v>189</v>
      </c>
      <c r="CM114" s="2" t="s">
        <v>192</v>
      </c>
      <c r="CN114" s="2" t="s">
        <v>192</v>
      </c>
      <c r="CO114" s="2" t="s">
        <v>193</v>
      </c>
      <c r="CP114" s="2" t="s">
        <v>192</v>
      </c>
      <c r="CQ114" s="2" t="s">
        <v>192</v>
      </c>
      <c r="CR114" s="2" t="s">
        <v>193</v>
      </c>
      <c r="CS114" s="2" t="s">
        <v>193</v>
      </c>
      <c r="CT114" s="2" t="s">
        <v>192</v>
      </c>
      <c r="CU114" s="2" t="s">
        <v>193</v>
      </c>
      <c r="CV114" s="2" t="s">
        <v>200</v>
      </c>
      <c r="CW114" s="2" t="s">
        <v>193</v>
      </c>
      <c r="CX114" s="2" t="s">
        <v>193</v>
      </c>
      <c r="CY114" s="2" t="s">
        <v>192</v>
      </c>
      <c r="CZ114" s="2" t="s">
        <v>192</v>
      </c>
      <c r="DA114" s="2" t="s">
        <v>193</v>
      </c>
      <c r="DB114" s="2" t="s">
        <v>192</v>
      </c>
      <c r="DC114" s="2" t="s">
        <v>192</v>
      </c>
      <c r="DD114" s="2" t="s">
        <v>192</v>
      </c>
      <c r="DE114" s="2" t="s">
        <v>192</v>
      </c>
      <c r="DF114" s="2" t="s">
        <v>192</v>
      </c>
      <c r="DG114" s="2" t="s">
        <v>195</v>
      </c>
      <c r="DH114" s="2" t="s">
        <v>195</v>
      </c>
      <c r="DI114" s="2" t="s">
        <v>195</v>
      </c>
      <c r="DJ114" s="2" t="s">
        <v>194</v>
      </c>
      <c r="DK114" s="2" t="s">
        <v>194</v>
      </c>
      <c r="DL114" s="2" t="s">
        <v>196</v>
      </c>
      <c r="DM114" s="2" t="s">
        <v>196</v>
      </c>
      <c r="DN114" s="2" t="s">
        <v>196</v>
      </c>
      <c r="DO114" s="2" t="s">
        <v>220</v>
      </c>
      <c r="DP114" s="2" t="s">
        <v>201</v>
      </c>
      <c r="DQ114" s="2" t="s">
        <v>194</v>
      </c>
      <c r="DR114" s="2" t="s">
        <v>194</v>
      </c>
      <c r="DS114" s="2" t="s">
        <v>197</v>
      </c>
      <c r="DT114" s="2" t="s">
        <v>199</v>
      </c>
      <c r="DU114" s="2" t="s">
        <v>199</v>
      </c>
      <c r="DV114" s="2" t="s">
        <v>197</v>
      </c>
      <c r="DW114" s="2" t="s">
        <v>198</v>
      </c>
      <c r="DX114" s="2" t="s">
        <v>199</v>
      </c>
      <c r="DY114" s="2" t="s">
        <v>197</v>
      </c>
      <c r="DZ114" s="2"/>
      <c r="EA114" s="2">
        <v>0</v>
      </c>
      <c r="EB114" s="2">
        <v>1</v>
      </c>
      <c r="EC114" s="2">
        <v>0</v>
      </c>
      <c r="ED114" s="2">
        <v>1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1</v>
      </c>
      <c r="EL114" s="2">
        <v>0</v>
      </c>
      <c r="EM114" s="2">
        <v>1</v>
      </c>
      <c r="EN114" s="2">
        <v>0</v>
      </c>
      <c r="EO114" s="2">
        <v>0</v>
      </c>
      <c r="EP114" s="2">
        <v>0</v>
      </c>
      <c r="EQ114" s="2">
        <v>1</v>
      </c>
      <c r="ER114" s="2">
        <v>0</v>
      </c>
      <c r="ES114" s="2">
        <v>1</v>
      </c>
      <c r="ET114" s="2">
        <v>0</v>
      </c>
      <c r="EU114" s="2">
        <v>1</v>
      </c>
      <c r="EV114" s="2">
        <v>0</v>
      </c>
      <c r="EW114" s="2">
        <v>1</v>
      </c>
      <c r="EX114" s="2">
        <v>0</v>
      </c>
      <c r="EY114" s="2">
        <v>1</v>
      </c>
      <c r="EZ114" s="2">
        <v>0</v>
      </c>
      <c r="FA114" s="2">
        <v>0</v>
      </c>
      <c r="FB114" s="2">
        <v>0</v>
      </c>
      <c r="FC114" s="2">
        <v>1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1</v>
      </c>
      <c r="FM114" s="2">
        <v>0</v>
      </c>
      <c r="FN114" s="2">
        <v>1</v>
      </c>
      <c r="FO114" s="2">
        <v>0</v>
      </c>
      <c r="FP114" s="2">
        <v>0</v>
      </c>
      <c r="FQ114" s="2">
        <v>1</v>
      </c>
      <c r="FR114" s="2">
        <v>0</v>
      </c>
      <c r="FS114" s="2">
        <v>1</v>
      </c>
      <c r="FT114" s="2">
        <v>0</v>
      </c>
      <c r="FU114" s="2">
        <v>1</v>
      </c>
      <c r="FV114" s="2">
        <v>0</v>
      </c>
      <c r="FW114" s="2">
        <v>0</v>
      </c>
      <c r="FX114" s="2">
        <v>0</v>
      </c>
      <c r="FY114" s="2">
        <v>1</v>
      </c>
      <c r="FZ114" s="2"/>
      <c r="GA114" s="2">
        <v>5</v>
      </c>
      <c r="GB114" s="2">
        <v>5</v>
      </c>
      <c r="GC114" s="2">
        <v>4</v>
      </c>
      <c r="GD114" s="2">
        <v>5</v>
      </c>
      <c r="GE114" s="2">
        <v>3</v>
      </c>
      <c r="GG114" s="2">
        <v>5</v>
      </c>
      <c r="GH114" s="2">
        <v>5</v>
      </c>
      <c r="GI114" s="2">
        <v>4</v>
      </c>
      <c r="GJ114" s="2">
        <v>4</v>
      </c>
      <c r="GK114" s="2">
        <v>4</v>
      </c>
      <c r="GM114" s="2">
        <f t="shared" si="0"/>
        <v>22</v>
      </c>
      <c r="GN114" s="2">
        <f t="shared" si="1"/>
        <v>22</v>
      </c>
      <c r="GO114" s="2"/>
      <c r="GP114" s="2">
        <v>3</v>
      </c>
      <c r="GQ114" s="2">
        <v>0</v>
      </c>
      <c r="GR114" s="2">
        <v>0</v>
      </c>
      <c r="GS114" s="2">
        <v>1</v>
      </c>
      <c r="GU114" s="2">
        <v>1</v>
      </c>
      <c r="GV114" s="2">
        <v>0</v>
      </c>
      <c r="GW114" s="2">
        <v>2</v>
      </c>
      <c r="GY114" s="2">
        <v>3</v>
      </c>
      <c r="GZ114" s="2">
        <v>0</v>
      </c>
      <c r="HA114" s="2">
        <v>1</v>
      </c>
      <c r="HB114" s="2">
        <v>1</v>
      </c>
      <c r="HD114" s="2">
        <v>1</v>
      </c>
      <c r="HE114" s="2">
        <v>0</v>
      </c>
      <c r="HF114" s="2">
        <v>2</v>
      </c>
      <c r="HH114" s="2">
        <f t="shared" si="2"/>
        <v>7</v>
      </c>
      <c r="HI114" s="2">
        <f t="shared" si="3"/>
        <v>8</v>
      </c>
      <c r="HJ114" s="2"/>
      <c r="HK114" s="2">
        <v>8</v>
      </c>
      <c r="HL114" s="2">
        <v>9</v>
      </c>
      <c r="HM114" s="2"/>
      <c r="HN114" s="2"/>
    </row>
    <row r="115" spans="1:222" ht="15.75" customHeight="1" x14ac:dyDescent="0.2">
      <c r="A115" s="3" t="e">
        <f>VLOOKUP(B115,#REF!,1,FALSE)</f>
        <v>#REF!</v>
      </c>
      <c r="B115" s="3">
        <v>44645.922888993053</v>
      </c>
      <c r="C115" s="2">
        <v>126</v>
      </c>
      <c r="D115" s="2" t="s">
        <v>185</v>
      </c>
      <c r="E115" s="2">
        <v>0</v>
      </c>
      <c r="F115" s="2" t="s">
        <v>186</v>
      </c>
      <c r="G115" s="2">
        <v>2</v>
      </c>
      <c r="H115" s="2">
        <v>2</v>
      </c>
      <c r="I115" s="2">
        <v>1</v>
      </c>
      <c r="J115" s="2">
        <v>2</v>
      </c>
      <c r="K115" s="2">
        <v>0</v>
      </c>
      <c r="L115" s="2">
        <v>3</v>
      </c>
      <c r="M115" s="2" t="s">
        <v>187</v>
      </c>
      <c r="N115" s="2">
        <v>2</v>
      </c>
      <c r="O115" s="2">
        <v>2</v>
      </c>
      <c r="P115" s="2">
        <v>0</v>
      </c>
      <c r="Q115" s="2" t="s">
        <v>266</v>
      </c>
      <c r="R115" s="2">
        <v>3</v>
      </c>
      <c r="S115" s="2">
        <v>1</v>
      </c>
      <c r="T115" s="2">
        <v>-1</v>
      </c>
      <c r="U115" s="2">
        <v>1</v>
      </c>
      <c r="V115" s="2">
        <v>-1</v>
      </c>
      <c r="W115" s="2">
        <v>1</v>
      </c>
      <c r="X115" s="2"/>
      <c r="Y115" s="2">
        <v>-1</v>
      </c>
      <c r="Z115" s="2">
        <v>0</v>
      </c>
      <c r="AA115" s="2">
        <v>1</v>
      </c>
      <c r="AB115" s="2">
        <v>4</v>
      </c>
      <c r="AC115" s="2">
        <v>-99</v>
      </c>
      <c r="AD115" s="2">
        <v>4</v>
      </c>
      <c r="AE115" s="2">
        <v>2</v>
      </c>
      <c r="AF115" s="2">
        <v>1</v>
      </c>
      <c r="AG115" s="2">
        <v>3</v>
      </c>
      <c r="AH115" s="2">
        <v>3</v>
      </c>
      <c r="AI115" s="2">
        <v>-1</v>
      </c>
      <c r="AJ115" s="2">
        <v>3</v>
      </c>
      <c r="AK115" s="2">
        <v>2</v>
      </c>
      <c r="AL115" s="2">
        <v>3</v>
      </c>
      <c r="AM115" s="2">
        <v>3</v>
      </c>
      <c r="AN115" s="2">
        <v>3</v>
      </c>
      <c r="AO115" s="2">
        <v>4</v>
      </c>
      <c r="AP115" s="2">
        <v>3</v>
      </c>
      <c r="AQ115" s="2">
        <v>3</v>
      </c>
      <c r="AR115" s="2">
        <v>3</v>
      </c>
      <c r="AS115" s="2">
        <v>0</v>
      </c>
      <c r="AT115" s="2">
        <v>1</v>
      </c>
      <c r="AU115" s="2">
        <v>1</v>
      </c>
      <c r="AV115" s="2"/>
      <c r="AW115" s="2">
        <v>1</v>
      </c>
      <c r="AX115" s="2">
        <v>0</v>
      </c>
      <c r="AY115" s="2">
        <v>1</v>
      </c>
      <c r="AZ115" s="2">
        <v>5</v>
      </c>
      <c r="BA115" s="2">
        <v>5</v>
      </c>
      <c r="BB115" s="2">
        <v>4</v>
      </c>
      <c r="BC115" s="2">
        <v>4</v>
      </c>
      <c r="BD115" s="2">
        <v>3</v>
      </c>
      <c r="BE115" s="2">
        <v>3</v>
      </c>
      <c r="BF115" s="2">
        <v>1</v>
      </c>
      <c r="BG115" s="2">
        <v>1</v>
      </c>
      <c r="BH115" s="2">
        <v>1</v>
      </c>
      <c r="BI115" s="2"/>
      <c r="BJ115" s="2">
        <v>1</v>
      </c>
      <c r="BK115" s="2">
        <v>0</v>
      </c>
      <c r="BL115" s="2">
        <v>0</v>
      </c>
      <c r="BM115" s="2">
        <v>10</v>
      </c>
      <c r="BN115" s="2">
        <v>8</v>
      </c>
      <c r="BO115" s="2">
        <v>9</v>
      </c>
      <c r="BP115" s="2"/>
      <c r="BQ115" s="2"/>
      <c r="BR115" s="2"/>
      <c r="BS115" s="2"/>
      <c r="BT115" s="2"/>
      <c r="BU115" s="2"/>
      <c r="BV115" s="2"/>
      <c r="BW115" s="2" t="s">
        <v>508</v>
      </c>
      <c r="BX115" s="2" t="s">
        <v>188</v>
      </c>
      <c r="BY115" s="2" t="s">
        <v>190</v>
      </c>
      <c r="BZ115" s="2" t="s">
        <v>191</v>
      </c>
      <c r="CA115" s="2" t="s">
        <v>190</v>
      </c>
      <c r="CB115" s="2" t="s">
        <v>188</v>
      </c>
      <c r="CC115" s="2" t="s">
        <v>190</v>
      </c>
      <c r="CD115" s="2" t="s">
        <v>189</v>
      </c>
      <c r="CE115" s="2" t="s">
        <v>189</v>
      </c>
      <c r="CF115" s="2" t="s">
        <v>188</v>
      </c>
      <c r="CG115" s="2" t="s">
        <v>190</v>
      </c>
      <c r="CH115" s="2" t="s">
        <v>188</v>
      </c>
      <c r="CI115" s="2" t="s">
        <v>189</v>
      </c>
      <c r="CJ115" s="2" t="s">
        <v>189</v>
      </c>
      <c r="CK115" s="2" t="s">
        <v>189</v>
      </c>
      <c r="CL115" s="2" t="s">
        <v>189</v>
      </c>
      <c r="CM115" s="2" t="s">
        <v>192</v>
      </c>
      <c r="CN115" s="2" t="s">
        <v>192</v>
      </c>
      <c r="CO115" s="2" t="s">
        <v>193</v>
      </c>
      <c r="CP115" s="2" t="s">
        <v>192</v>
      </c>
      <c r="CQ115" s="2" t="s">
        <v>192</v>
      </c>
      <c r="CR115" s="2" t="s">
        <v>192</v>
      </c>
      <c r="CS115" s="2" t="s">
        <v>192</v>
      </c>
      <c r="CT115" s="2" t="s">
        <v>192</v>
      </c>
      <c r="CU115" s="2" t="s">
        <v>192</v>
      </c>
      <c r="CV115" s="2" t="s">
        <v>192</v>
      </c>
      <c r="CW115" s="2" t="s">
        <v>192</v>
      </c>
      <c r="CX115" s="2" t="s">
        <v>192</v>
      </c>
      <c r="CY115" s="2" t="s">
        <v>192</v>
      </c>
      <c r="CZ115" s="2" t="s">
        <v>192</v>
      </c>
      <c r="DA115" s="2" t="s">
        <v>192</v>
      </c>
      <c r="DB115" s="2" t="s">
        <v>192</v>
      </c>
      <c r="DC115" s="2" t="s">
        <v>192</v>
      </c>
      <c r="DD115" s="2" t="s">
        <v>192</v>
      </c>
      <c r="DE115" s="2" t="s">
        <v>192</v>
      </c>
      <c r="DF115" s="2" t="s">
        <v>193</v>
      </c>
      <c r="DG115" s="2" t="s">
        <v>195</v>
      </c>
      <c r="DH115" s="2" t="s">
        <v>194</v>
      </c>
      <c r="DI115" s="2" t="s">
        <v>194</v>
      </c>
      <c r="DJ115" s="2" t="s">
        <v>195</v>
      </c>
      <c r="DK115" s="2" t="s">
        <v>194</v>
      </c>
      <c r="DL115" s="2" t="s">
        <v>194</v>
      </c>
      <c r="DM115" s="2" t="s">
        <v>194</v>
      </c>
      <c r="DN115" s="2" t="s">
        <v>194</v>
      </c>
      <c r="DO115" s="2" t="s">
        <v>201</v>
      </c>
      <c r="DP115" s="2" t="s">
        <v>194</v>
      </c>
      <c r="DQ115" s="2" t="s">
        <v>194</v>
      </c>
      <c r="DR115" s="2" t="s">
        <v>196</v>
      </c>
      <c r="DS115" s="2" t="s">
        <v>197</v>
      </c>
      <c r="DT115" s="2" t="s">
        <v>198</v>
      </c>
      <c r="DU115" s="2" t="s">
        <v>198</v>
      </c>
      <c r="DV115" s="2" t="s">
        <v>198</v>
      </c>
      <c r="DW115" s="2" t="s">
        <v>198</v>
      </c>
      <c r="DX115" s="2" t="s">
        <v>199</v>
      </c>
      <c r="DY115" s="2" t="s">
        <v>198</v>
      </c>
      <c r="DZ115" s="2"/>
      <c r="EA115" s="2">
        <v>1</v>
      </c>
      <c r="EB115" s="2">
        <v>1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1</v>
      </c>
      <c r="EI115" s="2">
        <v>1</v>
      </c>
      <c r="EJ115" s="2">
        <v>1</v>
      </c>
      <c r="EK115" s="2">
        <v>0</v>
      </c>
      <c r="EL115" s="2">
        <v>1</v>
      </c>
      <c r="EM115" s="2">
        <v>1</v>
      </c>
      <c r="EN115" s="2">
        <v>1</v>
      </c>
      <c r="EO115" s="2">
        <v>0</v>
      </c>
      <c r="EP115" s="2">
        <v>1</v>
      </c>
      <c r="EQ115" s="2">
        <v>1</v>
      </c>
      <c r="ER115" s="2">
        <v>1</v>
      </c>
      <c r="ES115" s="2">
        <v>1</v>
      </c>
      <c r="ET115" s="2">
        <v>1</v>
      </c>
      <c r="EU115" s="2">
        <v>1</v>
      </c>
      <c r="EV115" s="2">
        <v>0</v>
      </c>
      <c r="EW115" s="2">
        <v>1</v>
      </c>
      <c r="EX115" s="2">
        <v>1</v>
      </c>
      <c r="EY115" s="2">
        <v>1</v>
      </c>
      <c r="EZ115" s="2">
        <v>0</v>
      </c>
      <c r="FA115" s="2">
        <v>0</v>
      </c>
      <c r="FB115" s="2">
        <v>1</v>
      </c>
      <c r="FC115" s="2">
        <v>1</v>
      </c>
      <c r="FD115" s="2">
        <v>0</v>
      </c>
      <c r="FE115" s="2">
        <v>0</v>
      </c>
      <c r="FF115" s="2">
        <v>0</v>
      </c>
      <c r="FG115" s="2">
        <v>0</v>
      </c>
      <c r="FH115" s="2">
        <v>1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1</v>
      </c>
      <c r="FO115" s="2">
        <v>1</v>
      </c>
      <c r="FP115" s="2">
        <v>1</v>
      </c>
      <c r="FQ115" s="2">
        <v>1</v>
      </c>
      <c r="FR115" s="2">
        <v>1</v>
      </c>
      <c r="FS115" s="2">
        <v>1</v>
      </c>
      <c r="FT115" s="2">
        <v>1</v>
      </c>
      <c r="FU115" s="2">
        <v>1</v>
      </c>
      <c r="FV115" s="2">
        <v>1</v>
      </c>
      <c r="FW115" s="2">
        <v>1</v>
      </c>
      <c r="FX115" s="2">
        <v>1</v>
      </c>
      <c r="FY115" s="2">
        <v>1</v>
      </c>
      <c r="FZ115" s="2"/>
      <c r="GA115" s="2">
        <v>3</v>
      </c>
      <c r="GB115" s="2">
        <v>3</v>
      </c>
      <c r="GC115" s="2">
        <v>4</v>
      </c>
      <c r="GD115" s="2">
        <v>3</v>
      </c>
      <c r="GE115" s="2">
        <v>3</v>
      </c>
      <c r="GG115" s="2">
        <v>5</v>
      </c>
      <c r="GH115" s="2">
        <v>5</v>
      </c>
      <c r="GI115" s="2">
        <v>4</v>
      </c>
      <c r="GJ115" s="2">
        <v>4</v>
      </c>
      <c r="GK115" s="2">
        <v>3</v>
      </c>
      <c r="GM115" s="2">
        <f t="shared" si="0"/>
        <v>16</v>
      </c>
      <c r="GN115" s="2">
        <f t="shared" si="1"/>
        <v>21</v>
      </c>
      <c r="GO115" s="2"/>
      <c r="GP115" s="2">
        <v>3</v>
      </c>
      <c r="GQ115" s="2">
        <v>0</v>
      </c>
      <c r="GR115" s="2">
        <v>1</v>
      </c>
      <c r="GS115" s="2">
        <v>1</v>
      </c>
      <c r="GU115" s="2">
        <v>1</v>
      </c>
      <c r="GV115" s="2">
        <v>0</v>
      </c>
      <c r="GW115" s="2">
        <v>1</v>
      </c>
      <c r="GY115" s="2">
        <v>3</v>
      </c>
      <c r="GZ115" s="2">
        <v>1</v>
      </c>
      <c r="HA115" s="2">
        <v>1</v>
      </c>
      <c r="HB115" s="2">
        <v>1</v>
      </c>
      <c r="HD115" s="2">
        <v>1</v>
      </c>
      <c r="HE115" s="2">
        <v>0</v>
      </c>
      <c r="HF115" s="2">
        <v>0</v>
      </c>
      <c r="HH115" s="2">
        <f t="shared" si="2"/>
        <v>7</v>
      </c>
      <c r="HI115" s="2">
        <f t="shared" si="3"/>
        <v>7</v>
      </c>
      <c r="HJ115" s="2"/>
      <c r="HK115" s="2">
        <v>8</v>
      </c>
      <c r="HL115" s="2">
        <v>9</v>
      </c>
      <c r="HM115" s="2"/>
      <c r="HN115" s="2"/>
    </row>
    <row r="116" spans="1:222" ht="15.75" customHeight="1" x14ac:dyDescent="0.2">
      <c r="A116" s="3" t="e">
        <f>VLOOKUP(B116,#REF!,1,FALSE)</f>
        <v>#REF!</v>
      </c>
      <c r="B116" s="3">
        <v>44646.058230219911</v>
      </c>
      <c r="C116" s="2">
        <v>127</v>
      </c>
      <c r="D116" s="2" t="s">
        <v>185</v>
      </c>
      <c r="E116" s="2">
        <v>0</v>
      </c>
      <c r="F116" s="2" t="s">
        <v>186</v>
      </c>
      <c r="G116" s="2">
        <v>8</v>
      </c>
      <c r="H116" s="2">
        <v>2</v>
      </c>
      <c r="I116" s="2">
        <v>1</v>
      </c>
      <c r="J116" s="2">
        <v>1</v>
      </c>
      <c r="K116" s="2">
        <v>0</v>
      </c>
      <c r="L116" s="2">
        <v>3</v>
      </c>
      <c r="M116" s="2" t="s">
        <v>187</v>
      </c>
      <c r="N116" s="2">
        <v>2</v>
      </c>
      <c r="O116" s="2">
        <v>2</v>
      </c>
      <c r="P116" s="2">
        <v>0</v>
      </c>
      <c r="Q116" s="2">
        <v>0</v>
      </c>
      <c r="R116" s="2">
        <v>1</v>
      </c>
      <c r="S116" s="2">
        <v>-1</v>
      </c>
      <c r="T116" s="2">
        <v>-1</v>
      </c>
      <c r="U116" s="2">
        <v>-1</v>
      </c>
      <c r="V116" s="2">
        <v>-1</v>
      </c>
      <c r="W116" s="2">
        <v>-1</v>
      </c>
      <c r="X116" s="2"/>
      <c r="Y116" s="2">
        <v>-1</v>
      </c>
      <c r="Z116" s="2">
        <v>1</v>
      </c>
      <c r="AA116" s="2">
        <v>1</v>
      </c>
      <c r="AB116" s="2">
        <v>4</v>
      </c>
      <c r="AC116" s="2">
        <v>4</v>
      </c>
      <c r="AD116" s="2">
        <v>4</v>
      </c>
      <c r="AE116" s="2">
        <v>4</v>
      </c>
      <c r="AF116" s="2">
        <v>4</v>
      </c>
      <c r="AG116" s="2">
        <v>3</v>
      </c>
      <c r="AH116" s="2">
        <v>3</v>
      </c>
      <c r="AI116" s="2">
        <v>3</v>
      </c>
      <c r="AJ116" s="2">
        <v>3</v>
      </c>
      <c r="AK116" s="2">
        <v>3</v>
      </c>
      <c r="AL116" s="2">
        <v>3</v>
      </c>
      <c r="AM116" s="2">
        <v>5</v>
      </c>
      <c r="AN116" s="2">
        <v>5</v>
      </c>
      <c r="AO116" s="2">
        <v>5</v>
      </c>
      <c r="AP116" s="2">
        <v>5</v>
      </c>
      <c r="AQ116" s="2">
        <v>5</v>
      </c>
      <c r="AR116" s="2">
        <v>4</v>
      </c>
      <c r="AS116" s="2">
        <v>0</v>
      </c>
      <c r="AT116" s="2">
        <v>0</v>
      </c>
      <c r="AU116" s="2">
        <v>0</v>
      </c>
      <c r="AV116" s="2"/>
      <c r="AW116" s="2">
        <v>0</v>
      </c>
      <c r="AX116" s="2">
        <v>0</v>
      </c>
      <c r="AY116" s="2">
        <v>3</v>
      </c>
      <c r="AZ116" s="2">
        <v>5</v>
      </c>
      <c r="BA116" s="2">
        <v>5</v>
      </c>
      <c r="BB116" s="2">
        <v>5</v>
      </c>
      <c r="BC116" s="2">
        <v>5</v>
      </c>
      <c r="BD116" s="2">
        <v>5</v>
      </c>
      <c r="BE116" s="2">
        <v>4</v>
      </c>
      <c r="BF116" s="2">
        <v>0</v>
      </c>
      <c r="BG116" s="2">
        <v>0</v>
      </c>
      <c r="BH116" s="2">
        <v>0</v>
      </c>
      <c r="BI116" s="2"/>
      <c r="BJ116" s="2">
        <v>0</v>
      </c>
      <c r="BK116" s="2">
        <v>0</v>
      </c>
      <c r="BL116" s="2">
        <v>3</v>
      </c>
      <c r="BM116" s="2">
        <v>10</v>
      </c>
      <c r="BN116" s="2">
        <v>10</v>
      </c>
      <c r="BO116" s="2">
        <v>10</v>
      </c>
      <c r="BP116" s="2" t="s">
        <v>509</v>
      </c>
      <c r="BQ116" s="2" t="s">
        <v>258</v>
      </c>
      <c r="BR116" s="2" t="s">
        <v>510</v>
      </c>
      <c r="BS116" s="2" t="s">
        <v>511</v>
      </c>
      <c r="BT116" s="2" t="s">
        <v>512</v>
      </c>
      <c r="BU116" s="2" t="s">
        <v>513</v>
      </c>
      <c r="BV116" s="2" t="s">
        <v>514</v>
      </c>
      <c r="BW116" s="2" t="s">
        <v>258</v>
      </c>
      <c r="BX116" s="2" t="s">
        <v>188</v>
      </c>
      <c r="BY116" s="2" t="s">
        <v>189</v>
      </c>
      <c r="BZ116" s="2" t="s">
        <v>189</v>
      </c>
      <c r="CA116" s="2" t="s">
        <v>189</v>
      </c>
      <c r="CB116" s="2" t="s">
        <v>189</v>
      </c>
      <c r="CC116" s="2" t="s">
        <v>189</v>
      </c>
      <c r="CD116" s="2" t="s">
        <v>189</v>
      </c>
      <c r="CE116" s="2" t="s">
        <v>189</v>
      </c>
      <c r="CF116" s="2" t="s">
        <v>189</v>
      </c>
      <c r="CG116" s="2" t="s">
        <v>189</v>
      </c>
      <c r="CH116" s="2" t="s">
        <v>189</v>
      </c>
      <c r="CI116" s="2" t="s">
        <v>189</v>
      </c>
      <c r="CJ116" s="2" t="s">
        <v>189</v>
      </c>
      <c r="CK116" s="2" t="s">
        <v>189</v>
      </c>
      <c r="CL116" s="2" t="s">
        <v>189</v>
      </c>
      <c r="CM116" s="2" t="s">
        <v>192</v>
      </c>
      <c r="CN116" s="2" t="s">
        <v>192</v>
      </c>
      <c r="CO116" s="2" t="s">
        <v>192</v>
      </c>
      <c r="CP116" s="2" t="s">
        <v>192</v>
      </c>
      <c r="CQ116" s="2" t="s">
        <v>192</v>
      </c>
      <c r="CR116" s="2" t="s">
        <v>192</v>
      </c>
      <c r="CS116" s="2" t="s">
        <v>192</v>
      </c>
      <c r="CT116" s="2" t="s">
        <v>192</v>
      </c>
      <c r="CU116" s="2" t="s">
        <v>192</v>
      </c>
      <c r="CV116" s="2" t="s">
        <v>192</v>
      </c>
      <c r="CW116" s="2" t="s">
        <v>192</v>
      </c>
      <c r="CX116" s="2" t="s">
        <v>192</v>
      </c>
      <c r="CY116" s="2" t="s">
        <v>192</v>
      </c>
      <c r="CZ116" s="2" t="s">
        <v>192</v>
      </c>
      <c r="DA116" s="2" t="s">
        <v>192</v>
      </c>
      <c r="DB116" s="2" t="s">
        <v>192</v>
      </c>
      <c r="DC116" s="2" t="s">
        <v>192</v>
      </c>
      <c r="DD116" s="2" t="s">
        <v>192</v>
      </c>
      <c r="DE116" s="2" t="s">
        <v>192</v>
      </c>
      <c r="DF116" s="2" t="s">
        <v>192</v>
      </c>
      <c r="DG116" s="2" t="s">
        <v>220</v>
      </c>
      <c r="DH116" s="2" t="s">
        <v>220</v>
      </c>
      <c r="DI116" s="2" t="s">
        <v>220</v>
      </c>
      <c r="DJ116" s="2" t="s">
        <v>220</v>
      </c>
      <c r="DK116" s="2" t="s">
        <v>220</v>
      </c>
      <c r="DL116" s="2" t="s">
        <v>220</v>
      </c>
      <c r="DM116" s="2" t="s">
        <v>220</v>
      </c>
      <c r="DN116" s="2" t="s">
        <v>201</v>
      </c>
      <c r="DO116" s="2" t="s">
        <v>201</v>
      </c>
      <c r="DP116" s="2" t="s">
        <v>220</v>
      </c>
      <c r="DQ116" s="2" t="s">
        <v>220</v>
      </c>
      <c r="DR116" s="2" t="s">
        <v>220</v>
      </c>
      <c r="DS116" s="2" t="s">
        <v>221</v>
      </c>
      <c r="DT116" s="2" t="s">
        <v>221</v>
      </c>
      <c r="DU116" s="2" t="s">
        <v>221</v>
      </c>
      <c r="DV116" s="2" t="s">
        <v>221</v>
      </c>
      <c r="DW116" s="2" t="s">
        <v>221</v>
      </c>
      <c r="DX116" s="2" t="s">
        <v>221</v>
      </c>
      <c r="DY116" s="2" t="s">
        <v>221</v>
      </c>
      <c r="DZ116" s="2"/>
      <c r="EA116" s="2">
        <v>1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1</v>
      </c>
      <c r="EI116" s="2">
        <v>1</v>
      </c>
      <c r="EJ116" s="2">
        <v>1</v>
      </c>
      <c r="EK116" s="2">
        <v>1</v>
      </c>
      <c r="EL116" s="2">
        <v>1</v>
      </c>
      <c r="EM116" s="2">
        <v>1</v>
      </c>
      <c r="EN116" s="2">
        <v>0</v>
      </c>
      <c r="EO116" s="2">
        <v>0</v>
      </c>
      <c r="EP116" s="2">
        <v>1</v>
      </c>
      <c r="EQ116" s="2">
        <v>1</v>
      </c>
      <c r="ER116" s="2">
        <v>1</v>
      </c>
      <c r="ES116" s="2">
        <v>1</v>
      </c>
      <c r="ET116" s="2">
        <v>1</v>
      </c>
      <c r="EU116" s="2">
        <v>1</v>
      </c>
      <c r="EV116" s="2">
        <v>1</v>
      </c>
      <c r="EW116" s="2">
        <v>1</v>
      </c>
      <c r="EX116" s="2">
        <v>1</v>
      </c>
      <c r="EY116" s="2">
        <v>1</v>
      </c>
      <c r="EZ116" s="2">
        <v>1</v>
      </c>
      <c r="FA116" s="2">
        <v>1</v>
      </c>
      <c r="FB116" s="2">
        <v>1</v>
      </c>
      <c r="FC116" s="2">
        <v>1</v>
      </c>
      <c r="FD116" s="2">
        <v>0</v>
      </c>
      <c r="FE116" s="2">
        <v>0</v>
      </c>
      <c r="FF116" s="2">
        <v>1</v>
      </c>
      <c r="FG116" s="2">
        <v>1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1</v>
      </c>
      <c r="FO116" s="2">
        <v>1</v>
      </c>
      <c r="FP116" s="2">
        <v>1</v>
      </c>
      <c r="FQ116" s="2">
        <v>1</v>
      </c>
      <c r="FR116" s="2">
        <v>1</v>
      </c>
      <c r="FS116" s="2">
        <v>1</v>
      </c>
      <c r="FT116" s="2">
        <v>1</v>
      </c>
      <c r="FU116" s="2">
        <v>1</v>
      </c>
      <c r="FV116" s="2">
        <v>0</v>
      </c>
      <c r="FW116" s="2">
        <v>0</v>
      </c>
      <c r="FX116" s="2">
        <v>1</v>
      </c>
      <c r="FY116" s="2">
        <v>1</v>
      </c>
      <c r="FZ116" s="2"/>
      <c r="GA116" s="2">
        <v>5</v>
      </c>
      <c r="GB116" s="2">
        <v>5</v>
      </c>
      <c r="GC116" s="2">
        <v>5</v>
      </c>
      <c r="GD116" s="2">
        <v>5</v>
      </c>
      <c r="GE116" s="2">
        <v>5</v>
      </c>
      <c r="GG116" s="2">
        <v>5</v>
      </c>
      <c r="GH116" s="2">
        <v>5</v>
      </c>
      <c r="GI116" s="2">
        <v>5</v>
      </c>
      <c r="GJ116" s="2">
        <v>5</v>
      </c>
      <c r="GK116" s="2">
        <v>5</v>
      </c>
      <c r="GM116" s="2">
        <f t="shared" si="0"/>
        <v>25</v>
      </c>
      <c r="GN116" s="2">
        <f t="shared" si="1"/>
        <v>25</v>
      </c>
      <c r="GO116" s="2"/>
      <c r="GP116" s="2">
        <v>4</v>
      </c>
      <c r="GQ116" s="2">
        <v>0</v>
      </c>
      <c r="GR116" s="2">
        <v>0</v>
      </c>
      <c r="GS116" s="2">
        <v>0</v>
      </c>
      <c r="GU116" s="2">
        <v>0</v>
      </c>
      <c r="GV116" s="2">
        <v>0</v>
      </c>
      <c r="GW116" s="2">
        <v>3</v>
      </c>
      <c r="GY116" s="2">
        <v>4</v>
      </c>
      <c r="GZ116" s="2">
        <v>0</v>
      </c>
      <c r="HA116" s="2">
        <v>0</v>
      </c>
      <c r="HB116" s="2">
        <v>0</v>
      </c>
      <c r="HD116" s="2">
        <v>0</v>
      </c>
      <c r="HE116" s="2">
        <v>0</v>
      </c>
      <c r="HF116" s="2">
        <v>3</v>
      </c>
      <c r="HH116" s="2">
        <f t="shared" si="2"/>
        <v>7</v>
      </c>
      <c r="HI116" s="2">
        <f t="shared" si="3"/>
        <v>7</v>
      </c>
      <c r="HJ116" s="2"/>
      <c r="HK116" s="2">
        <v>10</v>
      </c>
      <c r="HL116" s="2">
        <v>10</v>
      </c>
      <c r="HM116" s="2"/>
      <c r="HN116" s="2"/>
    </row>
    <row r="117" spans="1:222" ht="15.75" customHeight="1" x14ac:dyDescent="0.2">
      <c r="A117" s="3">
        <v>44647.525515023146</v>
      </c>
      <c r="B117" s="3">
        <v>44647.525515023146</v>
      </c>
      <c r="C117" s="2">
        <v>128</v>
      </c>
      <c r="D117" s="2" t="s">
        <v>185</v>
      </c>
      <c r="E117" s="2">
        <v>0</v>
      </c>
      <c r="F117" s="2" t="s">
        <v>186</v>
      </c>
      <c r="G117" s="2">
        <v>2</v>
      </c>
      <c r="H117" s="2">
        <v>2</v>
      </c>
      <c r="I117" s="2">
        <v>1</v>
      </c>
      <c r="J117" s="2">
        <v>1</v>
      </c>
      <c r="K117" s="2">
        <v>0</v>
      </c>
      <c r="L117" s="2">
        <v>3</v>
      </c>
      <c r="M117" s="2" t="s">
        <v>187</v>
      </c>
      <c r="N117" s="2">
        <v>2</v>
      </c>
      <c r="O117" s="2">
        <v>4</v>
      </c>
      <c r="P117" s="2">
        <v>0</v>
      </c>
      <c r="Q117" s="2" t="s">
        <v>277</v>
      </c>
      <c r="R117" s="2">
        <v>3</v>
      </c>
      <c r="S117" s="2">
        <v>-1</v>
      </c>
      <c r="T117" s="2">
        <v>-1</v>
      </c>
      <c r="U117" s="2">
        <v>0</v>
      </c>
      <c r="V117" s="2">
        <v>-1</v>
      </c>
      <c r="W117" s="2">
        <v>-1</v>
      </c>
      <c r="X117" s="2"/>
      <c r="Y117" s="2">
        <v>-1</v>
      </c>
      <c r="Z117" s="2">
        <v>0</v>
      </c>
      <c r="AA117" s="2">
        <v>1</v>
      </c>
      <c r="AB117" s="2">
        <v>1</v>
      </c>
      <c r="AC117" s="2">
        <v>0</v>
      </c>
      <c r="AD117" s="2">
        <v>4</v>
      </c>
      <c r="AE117" s="2">
        <v>4</v>
      </c>
      <c r="AF117" s="2">
        <v>2</v>
      </c>
      <c r="AG117" s="2">
        <v>3</v>
      </c>
      <c r="AH117" s="2">
        <v>3</v>
      </c>
      <c r="AI117" s="2">
        <v>3</v>
      </c>
      <c r="AJ117" s="2">
        <v>3</v>
      </c>
      <c r="AK117" s="2">
        <v>3</v>
      </c>
      <c r="AL117" s="2">
        <v>3</v>
      </c>
      <c r="AM117" s="2">
        <v>3</v>
      </c>
      <c r="AN117" s="2">
        <v>2</v>
      </c>
      <c r="AO117" s="2">
        <v>2</v>
      </c>
      <c r="AP117" s="2">
        <v>2</v>
      </c>
      <c r="AQ117" s="2">
        <v>2</v>
      </c>
      <c r="AR117" s="2">
        <v>2</v>
      </c>
      <c r="AS117" s="2">
        <v>0</v>
      </c>
      <c r="AT117" s="2">
        <v>2</v>
      </c>
      <c r="AU117" s="2">
        <v>1</v>
      </c>
      <c r="AV117" s="2"/>
      <c r="AW117" s="2">
        <v>1</v>
      </c>
      <c r="AX117" s="2">
        <v>1</v>
      </c>
      <c r="AY117" s="2">
        <v>0</v>
      </c>
      <c r="AZ117" s="2">
        <v>5</v>
      </c>
      <c r="BA117" s="2">
        <v>5</v>
      </c>
      <c r="BB117" s="2">
        <v>2</v>
      </c>
      <c r="BC117" s="2">
        <v>5</v>
      </c>
      <c r="BD117" s="2">
        <v>5</v>
      </c>
      <c r="BE117" s="2">
        <v>2</v>
      </c>
      <c r="BF117" s="2">
        <v>0</v>
      </c>
      <c r="BG117" s="2">
        <v>0</v>
      </c>
      <c r="BH117" s="2">
        <v>0</v>
      </c>
      <c r="BI117" s="2"/>
      <c r="BJ117" s="2">
        <v>0</v>
      </c>
      <c r="BK117" s="2">
        <v>0</v>
      </c>
      <c r="BL117" s="2">
        <v>0</v>
      </c>
      <c r="BM117" s="2">
        <v>9</v>
      </c>
      <c r="BN117" s="2">
        <v>9</v>
      </c>
      <c r="BO117" s="2">
        <v>10</v>
      </c>
      <c r="BP117" s="2" t="s">
        <v>224</v>
      </c>
      <c r="BQ117" s="2" t="s">
        <v>224</v>
      </c>
      <c r="BR117" s="2" t="s">
        <v>224</v>
      </c>
      <c r="BS117" s="2" t="s">
        <v>224</v>
      </c>
      <c r="BT117" s="2" t="s">
        <v>224</v>
      </c>
      <c r="BU117" s="2" t="s">
        <v>224</v>
      </c>
      <c r="BV117" s="2" t="s">
        <v>515</v>
      </c>
      <c r="BW117" s="2" t="s">
        <v>516</v>
      </c>
      <c r="BX117" s="2" t="s">
        <v>189</v>
      </c>
      <c r="BY117" s="2" t="s">
        <v>189</v>
      </c>
      <c r="BZ117" s="2" t="s">
        <v>189</v>
      </c>
      <c r="CA117" s="2" t="s">
        <v>189</v>
      </c>
      <c r="CB117" s="2" t="s">
        <v>191</v>
      </c>
      <c r="CC117" s="2" t="s">
        <v>189</v>
      </c>
      <c r="CD117" s="2" t="s">
        <v>189</v>
      </c>
      <c r="CE117" s="2" t="s">
        <v>189</v>
      </c>
      <c r="CF117" s="2" t="s">
        <v>189</v>
      </c>
      <c r="CG117" s="2" t="s">
        <v>189</v>
      </c>
      <c r="CH117" s="2" t="s">
        <v>191</v>
      </c>
      <c r="CI117" s="2" t="s">
        <v>188</v>
      </c>
      <c r="CJ117" s="2" t="s">
        <v>189</v>
      </c>
      <c r="CK117" s="2" t="s">
        <v>189</v>
      </c>
      <c r="CL117" s="2" t="s">
        <v>189</v>
      </c>
      <c r="CM117" s="2" t="s">
        <v>192</v>
      </c>
      <c r="CN117" s="2" t="s">
        <v>192</v>
      </c>
      <c r="CO117" s="2" t="s">
        <v>192</v>
      </c>
      <c r="CP117" s="2" t="s">
        <v>192</v>
      </c>
      <c r="CQ117" s="2" t="s">
        <v>193</v>
      </c>
      <c r="CR117" s="2" t="s">
        <v>192</v>
      </c>
      <c r="CS117" s="2" t="s">
        <v>193</v>
      </c>
      <c r="CT117" s="2" t="s">
        <v>192</v>
      </c>
      <c r="CU117" s="2" t="s">
        <v>192</v>
      </c>
      <c r="CV117" s="2" t="s">
        <v>200</v>
      </c>
      <c r="CW117" s="2" t="s">
        <v>192</v>
      </c>
      <c r="CX117" s="2" t="s">
        <v>192</v>
      </c>
      <c r="CY117" s="2" t="s">
        <v>192</v>
      </c>
      <c r="CZ117" s="2" t="s">
        <v>192</v>
      </c>
      <c r="DA117" s="2" t="s">
        <v>192</v>
      </c>
      <c r="DB117" s="2" t="s">
        <v>192</v>
      </c>
      <c r="DC117" s="2" t="s">
        <v>192</v>
      </c>
      <c r="DD117" s="2" t="s">
        <v>192</v>
      </c>
      <c r="DE117" s="2" t="s">
        <v>193</v>
      </c>
      <c r="DF117" s="2" t="s">
        <v>192</v>
      </c>
      <c r="DG117" s="2" t="s">
        <v>196</v>
      </c>
      <c r="DH117" s="2" t="s">
        <v>196</v>
      </c>
      <c r="DI117" s="2" t="s">
        <v>220</v>
      </c>
      <c r="DJ117" s="2" t="s">
        <v>220</v>
      </c>
      <c r="DK117" s="2" t="s">
        <v>196</v>
      </c>
      <c r="DL117" s="2" t="s">
        <v>196</v>
      </c>
      <c r="DM117" s="2" t="s">
        <v>196</v>
      </c>
      <c r="DN117" s="2" t="s">
        <v>220</v>
      </c>
      <c r="DO117" s="2" t="s">
        <v>220</v>
      </c>
      <c r="DP117" s="2" t="s">
        <v>194</v>
      </c>
      <c r="DQ117" s="2" t="s">
        <v>196</v>
      </c>
      <c r="DR117" s="2" t="s">
        <v>220</v>
      </c>
      <c r="DS117" s="2" t="s">
        <v>197</v>
      </c>
      <c r="DT117" s="2" t="s">
        <v>197</v>
      </c>
      <c r="DU117" s="2" t="s">
        <v>197</v>
      </c>
      <c r="DV117" s="2" t="s">
        <v>197</v>
      </c>
      <c r="DW117" s="2" t="s">
        <v>197</v>
      </c>
      <c r="DX117" s="2" t="s">
        <v>197</v>
      </c>
      <c r="DY117" s="2" t="s">
        <v>197</v>
      </c>
      <c r="DZ117" s="2"/>
      <c r="EA117" s="2">
        <v>0</v>
      </c>
      <c r="EB117" s="2">
        <v>1</v>
      </c>
      <c r="EC117" s="2">
        <v>1</v>
      </c>
      <c r="ED117" s="2">
        <v>0</v>
      </c>
      <c r="EE117" s="2">
        <v>0</v>
      </c>
      <c r="EF117" s="2">
        <v>0</v>
      </c>
      <c r="EG117" s="2">
        <v>0</v>
      </c>
      <c r="EH117" s="2">
        <v>1</v>
      </c>
      <c r="EI117" s="2">
        <v>1</v>
      </c>
      <c r="EJ117" s="2">
        <v>0</v>
      </c>
      <c r="EK117" s="2">
        <v>0</v>
      </c>
      <c r="EL117" s="2">
        <v>1</v>
      </c>
      <c r="EM117" s="2">
        <v>1</v>
      </c>
      <c r="EN117" s="2">
        <v>1</v>
      </c>
      <c r="EO117" s="2">
        <v>0</v>
      </c>
      <c r="EP117" s="2">
        <v>1</v>
      </c>
      <c r="EQ117" s="2">
        <v>0</v>
      </c>
      <c r="ER117" s="2">
        <v>1</v>
      </c>
      <c r="ES117" s="2">
        <v>1</v>
      </c>
      <c r="ET117" s="2">
        <v>1</v>
      </c>
      <c r="EU117" s="2">
        <v>1</v>
      </c>
      <c r="EV117" s="2">
        <v>0</v>
      </c>
      <c r="EW117" s="2">
        <v>0</v>
      </c>
      <c r="EX117" s="2">
        <v>1</v>
      </c>
      <c r="EY117" s="2">
        <v>1</v>
      </c>
      <c r="EZ117" s="2">
        <v>1</v>
      </c>
      <c r="FA117" s="2">
        <v>0</v>
      </c>
      <c r="FB117" s="2">
        <v>1</v>
      </c>
      <c r="FC117" s="2">
        <v>1</v>
      </c>
      <c r="FD117" s="2">
        <v>0</v>
      </c>
      <c r="FE117" s="2">
        <v>0</v>
      </c>
      <c r="FF117" s="2">
        <v>1</v>
      </c>
      <c r="FG117" s="2">
        <v>1</v>
      </c>
      <c r="FH117" s="2">
        <v>1</v>
      </c>
      <c r="FI117" s="2">
        <v>0</v>
      </c>
      <c r="FJ117" s="2">
        <v>0</v>
      </c>
      <c r="FK117" s="2">
        <v>0</v>
      </c>
      <c r="FL117" s="2">
        <v>1</v>
      </c>
      <c r="FM117" s="2">
        <v>0</v>
      </c>
      <c r="FN117" s="2">
        <v>1</v>
      </c>
      <c r="FO117" s="2">
        <v>0</v>
      </c>
      <c r="FP117" s="2">
        <v>1</v>
      </c>
      <c r="FQ117" s="2">
        <v>1</v>
      </c>
      <c r="FR117" s="2">
        <v>1</v>
      </c>
      <c r="FS117" s="2">
        <v>1</v>
      </c>
      <c r="FT117" s="2">
        <v>1</v>
      </c>
      <c r="FU117" s="2">
        <v>1</v>
      </c>
      <c r="FV117" s="2">
        <v>1</v>
      </c>
      <c r="FW117" s="2">
        <v>0</v>
      </c>
      <c r="FX117" s="2">
        <v>1</v>
      </c>
      <c r="FY117" s="2">
        <v>1</v>
      </c>
      <c r="FZ117" s="2"/>
      <c r="GA117" s="2">
        <v>3</v>
      </c>
      <c r="GB117" s="2">
        <v>2</v>
      </c>
      <c r="GC117" s="2">
        <v>2</v>
      </c>
      <c r="GD117" s="2">
        <v>2</v>
      </c>
      <c r="GE117" s="2">
        <v>2</v>
      </c>
      <c r="GG117" s="2">
        <v>5</v>
      </c>
      <c r="GH117" s="2">
        <v>5</v>
      </c>
      <c r="GI117" s="2">
        <v>2</v>
      </c>
      <c r="GJ117" s="2">
        <v>5</v>
      </c>
      <c r="GK117" s="2">
        <v>5</v>
      </c>
      <c r="GM117" s="2">
        <f t="shared" si="0"/>
        <v>11</v>
      </c>
      <c r="GN117" s="2">
        <f t="shared" si="1"/>
        <v>22</v>
      </c>
      <c r="GO117" s="2"/>
      <c r="GP117" s="2">
        <v>2</v>
      </c>
      <c r="GQ117" s="2">
        <v>0</v>
      </c>
      <c r="GR117" s="2">
        <v>2</v>
      </c>
      <c r="GS117" s="2">
        <v>1</v>
      </c>
      <c r="GU117" s="2">
        <v>1</v>
      </c>
      <c r="GV117" s="2">
        <v>1</v>
      </c>
      <c r="GW117" s="2">
        <v>0</v>
      </c>
      <c r="GY117" s="2">
        <v>2</v>
      </c>
      <c r="GZ117" s="2">
        <v>0</v>
      </c>
      <c r="HA117" s="2">
        <v>0</v>
      </c>
      <c r="HB117" s="2">
        <v>0</v>
      </c>
      <c r="HD117" s="2">
        <v>0</v>
      </c>
      <c r="HE117" s="2">
        <v>0</v>
      </c>
      <c r="HF117" s="2">
        <v>0</v>
      </c>
      <c r="HH117" s="2">
        <f t="shared" si="2"/>
        <v>7</v>
      </c>
      <c r="HI117" s="2">
        <f t="shared" si="3"/>
        <v>2</v>
      </c>
      <c r="HJ117" s="2"/>
      <c r="HK117" s="2">
        <v>9</v>
      </c>
      <c r="HL117" s="2">
        <v>10</v>
      </c>
      <c r="HM117" s="2"/>
      <c r="HN117" s="2"/>
    </row>
    <row r="118" spans="1:222" ht="15.75" customHeight="1" x14ac:dyDescent="0.2">
      <c r="A118" s="3" t="e">
        <f>VLOOKUP(B118,#REF!,1,FALSE)</f>
        <v>#REF!</v>
      </c>
      <c r="B118" s="3">
        <v>44647.756338807871</v>
      </c>
      <c r="C118" s="2">
        <v>129</v>
      </c>
      <c r="D118" s="2" t="s">
        <v>185</v>
      </c>
      <c r="E118" s="2">
        <v>0</v>
      </c>
      <c r="F118" s="2" t="s">
        <v>186</v>
      </c>
      <c r="G118" s="2">
        <v>0.5</v>
      </c>
      <c r="H118" s="2">
        <v>0.5</v>
      </c>
      <c r="I118" s="2">
        <v>1</v>
      </c>
      <c r="J118" s="2">
        <v>4</v>
      </c>
      <c r="K118" s="2">
        <v>0</v>
      </c>
      <c r="L118" s="2">
        <v>2</v>
      </c>
      <c r="M118" s="2" t="s">
        <v>187</v>
      </c>
      <c r="N118" s="2">
        <v>2</v>
      </c>
      <c r="O118" s="2">
        <v>3</v>
      </c>
      <c r="P118" s="2">
        <v>1</v>
      </c>
      <c r="Q118" s="2">
        <v>0</v>
      </c>
      <c r="R118" s="2">
        <v>2</v>
      </c>
      <c r="S118" s="2">
        <v>1</v>
      </c>
      <c r="T118" s="2">
        <v>1</v>
      </c>
      <c r="U118" s="2">
        <v>1</v>
      </c>
      <c r="V118" s="2">
        <v>-1</v>
      </c>
      <c r="W118" s="2">
        <v>-1</v>
      </c>
      <c r="X118" s="2"/>
      <c r="Y118" s="2">
        <v>1</v>
      </c>
      <c r="Z118" s="2">
        <v>0</v>
      </c>
      <c r="AA118" s="2">
        <v>1</v>
      </c>
      <c r="AB118" s="2">
        <v>1</v>
      </c>
      <c r="AC118" s="2">
        <v>4</v>
      </c>
      <c r="AD118" s="2">
        <v>4</v>
      </c>
      <c r="AE118" s="2">
        <v>4</v>
      </c>
      <c r="AF118" s="2">
        <v>2</v>
      </c>
      <c r="AG118" s="2">
        <v>2</v>
      </c>
      <c r="AH118" s="2">
        <v>2</v>
      </c>
      <c r="AI118" s="2">
        <v>-1</v>
      </c>
      <c r="AJ118" s="2">
        <v>2</v>
      </c>
      <c r="AK118" s="2">
        <v>2</v>
      </c>
      <c r="AL118" s="2">
        <v>2</v>
      </c>
      <c r="AM118" s="2">
        <v>2</v>
      </c>
      <c r="AN118" s="2">
        <v>2</v>
      </c>
      <c r="AO118" s="2">
        <v>2</v>
      </c>
      <c r="AP118" s="2">
        <v>2</v>
      </c>
      <c r="AQ118" s="2">
        <v>2</v>
      </c>
      <c r="AR118" s="2">
        <v>3</v>
      </c>
      <c r="AS118" s="2">
        <v>2</v>
      </c>
      <c r="AT118" s="2">
        <v>2</v>
      </c>
      <c r="AU118" s="2">
        <v>2</v>
      </c>
      <c r="AV118" s="2"/>
      <c r="AW118" s="2">
        <v>2</v>
      </c>
      <c r="AX118" s="2">
        <v>3</v>
      </c>
      <c r="AY118" s="2">
        <v>0</v>
      </c>
      <c r="AZ118" s="2">
        <v>4</v>
      </c>
      <c r="BA118" s="2">
        <v>4</v>
      </c>
      <c r="BB118" s="2">
        <v>4</v>
      </c>
      <c r="BC118" s="2">
        <v>4</v>
      </c>
      <c r="BD118" s="2">
        <v>4</v>
      </c>
      <c r="BE118" s="2">
        <v>2</v>
      </c>
      <c r="BF118" s="2">
        <v>1</v>
      </c>
      <c r="BG118" s="2">
        <v>0</v>
      </c>
      <c r="BH118" s="2">
        <v>2</v>
      </c>
      <c r="BI118" s="2"/>
      <c r="BJ118" s="2">
        <v>1</v>
      </c>
      <c r="BK118" s="2">
        <v>0</v>
      </c>
      <c r="BL118" s="2">
        <v>1</v>
      </c>
      <c r="BM118" s="2">
        <v>8</v>
      </c>
      <c r="BN118" s="2">
        <v>8</v>
      </c>
      <c r="BO118" s="2">
        <v>8</v>
      </c>
      <c r="BP118" s="2"/>
      <c r="BQ118" s="2"/>
      <c r="BR118" s="2"/>
      <c r="BS118" s="2"/>
      <c r="BT118" s="2" t="s">
        <v>517</v>
      </c>
      <c r="BU118" s="2" t="s">
        <v>518</v>
      </c>
      <c r="BV118" s="2" t="s">
        <v>519</v>
      </c>
      <c r="BW118" s="2"/>
      <c r="BX118" s="2" t="s">
        <v>191</v>
      </c>
      <c r="BY118" s="2" t="s">
        <v>188</v>
      </c>
      <c r="BZ118" s="2" t="s">
        <v>188</v>
      </c>
      <c r="CA118" s="2" t="s">
        <v>188</v>
      </c>
      <c r="CB118" s="2" t="s">
        <v>190</v>
      </c>
      <c r="CC118" s="2" t="s">
        <v>191</v>
      </c>
      <c r="CD118" s="2" t="s">
        <v>188</v>
      </c>
      <c r="CE118" s="2" t="s">
        <v>188</v>
      </c>
      <c r="CF118" s="2" t="s">
        <v>188</v>
      </c>
      <c r="CG118" s="2" t="s">
        <v>191</v>
      </c>
      <c r="CH118" s="2"/>
      <c r="CI118" s="2" t="s">
        <v>188</v>
      </c>
      <c r="CJ118" s="2" t="s">
        <v>188</v>
      </c>
      <c r="CK118" s="2" t="s">
        <v>188</v>
      </c>
      <c r="CL118" s="2" t="s">
        <v>188</v>
      </c>
      <c r="CM118" s="2" t="s">
        <v>200</v>
      </c>
      <c r="CN118" s="2" t="s">
        <v>193</v>
      </c>
      <c r="CO118" s="2" t="s">
        <v>192</v>
      </c>
      <c r="CP118" s="2" t="s">
        <v>192</v>
      </c>
      <c r="CQ118" s="2" t="s">
        <v>200</v>
      </c>
      <c r="CR118" s="2" t="s">
        <v>200</v>
      </c>
      <c r="CS118" s="2" t="s">
        <v>193</v>
      </c>
      <c r="CT118" s="2" t="s">
        <v>193</v>
      </c>
      <c r="CU118" s="2" t="s">
        <v>193</v>
      </c>
      <c r="CV118" s="2" t="s">
        <v>192</v>
      </c>
      <c r="CW118" s="2" t="s">
        <v>192</v>
      </c>
      <c r="CX118" s="2" t="s">
        <v>193</v>
      </c>
      <c r="CY118" s="2" t="s">
        <v>193</v>
      </c>
      <c r="CZ118" s="2" t="s">
        <v>193</v>
      </c>
      <c r="DA118" s="2" t="s">
        <v>193</v>
      </c>
      <c r="DB118" s="2" t="s">
        <v>193</v>
      </c>
      <c r="DC118" s="2" t="s">
        <v>192</v>
      </c>
      <c r="DD118" s="2" t="s">
        <v>192</v>
      </c>
      <c r="DE118" s="2" t="s">
        <v>192</v>
      </c>
      <c r="DF118" s="2" t="s">
        <v>192</v>
      </c>
      <c r="DG118" s="2" t="s">
        <v>194</v>
      </c>
      <c r="DH118" s="2" t="s">
        <v>195</v>
      </c>
      <c r="DI118" s="2" t="s">
        <v>194</v>
      </c>
      <c r="DJ118" s="2" t="s">
        <v>194</v>
      </c>
      <c r="DK118" s="2" t="s">
        <v>196</v>
      </c>
      <c r="DL118" s="2" t="s">
        <v>194</v>
      </c>
      <c r="DM118" s="2" t="s">
        <v>194</v>
      </c>
      <c r="DN118" s="2" t="s">
        <v>196</v>
      </c>
      <c r="DO118" s="2" t="s">
        <v>196</v>
      </c>
      <c r="DP118" s="2" t="s">
        <v>194</v>
      </c>
      <c r="DQ118" s="2" t="s">
        <v>194</v>
      </c>
      <c r="DR118" s="2" t="s">
        <v>194</v>
      </c>
      <c r="DS118" s="2" t="s">
        <v>197</v>
      </c>
      <c r="DT118" s="2" t="s">
        <v>197</v>
      </c>
      <c r="DU118" s="2" t="s">
        <v>198</v>
      </c>
      <c r="DV118" s="2" t="s">
        <v>198</v>
      </c>
      <c r="DW118" s="2" t="s">
        <v>197</v>
      </c>
      <c r="DX118" s="2" t="s">
        <v>197</v>
      </c>
      <c r="DY118" s="2" t="s">
        <v>197</v>
      </c>
      <c r="DZ118" s="2"/>
      <c r="EA118" s="2">
        <v>1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1</v>
      </c>
      <c r="EJ118" s="2">
        <v>1</v>
      </c>
      <c r="EK118" s="2">
        <v>0</v>
      </c>
      <c r="EL118" s="2">
        <v>1</v>
      </c>
      <c r="EM118" s="2">
        <v>0</v>
      </c>
      <c r="EN118" s="2">
        <v>1</v>
      </c>
      <c r="EO118" s="2">
        <v>0</v>
      </c>
      <c r="EP118" s="2">
        <v>0</v>
      </c>
      <c r="EQ118" s="2">
        <v>1</v>
      </c>
      <c r="ER118" s="2">
        <v>0</v>
      </c>
      <c r="ES118" s="2">
        <v>1</v>
      </c>
      <c r="ET118" s="2">
        <v>0</v>
      </c>
      <c r="EU118" s="2">
        <v>1</v>
      </c>
      <c r="EV118" s="2">
        <v>1</v>
      </c>
      <c r="EW118" s="2">
        <v>0</v>
      </c>
      <c r="EX118" s="2">
        <v>0</v>
      </c>
      <c r="EY118" s="2">
        <v>1</v>
      </c>
      <c r="EZ118" s="2">
        <v>0</v>
      </c>
      <c r="FA118" s="2">
        <v>1</v>
      </c>
      <c r="FB118" s="2">
        <v>1</v>
      </c>
      <c r="FC118" s="2">
        <v>0</v>
      </c>
      <c r="FD118" s="2">
        <v>0</v>
      </c>
      <c r="FE118" s="2">
        <v>0</v>
      </c>
      <c r="FF118" s="2">
        <v>1</v>
      </c>
      <c r="FG118" s="2">
        <v>0</v>
      </c>
      <c r="FH118" s="2">
        <v>1</v>
      </c>
      <c r="FI118" s="2">
        <v>0</v>
      </c>
      <c r="FJ118" s="2">
        <v>1</v>
      </c>
      <c r="FK118" s="2">
        <v>0</v>
      </c>
      <c r="FL118" s="2">
        <v>1</v>
      </c>
      <c r="FM118" s="2">
        <v>0</v>
      </c>
      <c r="FN118" s="2">
        <v>1</v>
      </c>
      <c r="FO118" s="2">
        <v>0</v>
      </c>
      <c r="FP118" s="2">
        <v>0</v>
      </c>
      <c r="FQ118" s="2">
        <v>1</v>
      </c>
      <c r="FR118" s="2">
        <v>0</v>
      </c>
      <c r="FS118" s="2">
        <v>1</v>
      </c>
      <c r="FT118" s="2">
        <v>0</v>
      </c>
      <c r="FU118" s="2">
        <v>1</v>
      </c>
      <c r="FV118" s="2">
        <v>0</v>
      </c>
      <c r="FW118" s="2">
        <v>1</v>
      </c>
      <c r="FX118" s="2">
        <v>0</v>
      </c>
      <c r="FY118" s="2">
        <v>1</v>
      </c>
      <c r="FZ118" s="2"/>
      <c r="GA118" s="2">
        <v>2</v>
      </c>
      <c r="GB118" s="2">
        <v>2</v>
      </c>
      <c r="GC118" s="2">
        <v>2</v>
      </c>
      <c r="GD118" s="2">
        <v>2</v>
      </c>
      <c r="GE118" s="2">
        <v>2</v>
      </c>
      <c r="GG118" s="2">
        <v>4</v>
      </c>
      <c r="GH118" s="2">
        <v>4</v>
      </c>
      <c r="GI118" s="2">
        <v>4</v>
      </c>
      <c r="GJ118" s="2">
        <v>4</v>
      </c>
      <c r="GK118" s="2">
        <v>4</v>
      </c>
      <c r="GM118" s="2">
        <f t="shared" si="0"/>
        <v>10</v>
      </c>
      <c r="GN118" s="2">
        <f t="shared" si="1"/>
        <v>20</v>
      </c>
      <c r="GO118" s="2"/>
      <c r="GP118" s="2">
        <v>3</v>
      </c>
      <c r="GQ118" s="2">
        <v>2</v>
      </c>
      <c r="GR118" s="2">
        <v>2</v>
      </c>
      <c r="GS118" s="2">
        <v>2</v>
      </c>
      <c r="GU118" s="2">
        <v>2</v>
      </c>
      <c r="GV118" s="2">
        <v>3</v>
      </c>
      <c r="GW118" s="2">
        <v>0</v>
      </c>
      <c r="GY118" s="2">
        <v>2</v>
      </c>
      <c r="GZ118" s="2">
        <v>1</v>
      </c>
      <c r="HA118" s="2">
        <v>0</v>
      </c>
      <c r="HB118" s="2">
        <v>2</v>
      </c>
      <c r="HD118" s="2">
        <v>1</v>
      </c>
      <c r="HE118" s="2">
        <v>0</v>
      </c>
      <c r="HF118" s="2">
        <v>1</v>
      </c>
      <c r="HH118" s="2">
        <f t="shared" si="2"/>
        <v>14</v>
      </c>
      <c r="HI118" s="2">
        <f t="shared" si="3"/>
        <v>7</v>
      </c>
      <c r="HJ118" s="2"/>
      <c r="HK118" s="2">
        <v>8</v>
      </c>
      <c r="HL118" s="2">
        <v>8</v>
      </c>
      <c r="HM118" s="2"/>
      <c r="HN118" s="2"/>
    </row>
    <row r="119" spans="1:222" ht="15.75" customHeight="1" x14ac:dyDescent="0.2">
      <c r="A119" s="3" t="e">
        <f>VLOOKUP(B119,#REF!,1,FALSE)</f>
        <v>#REF!</v>
      </c>
      <c r="B119" s="3">
        <v>44649.473557812496</v>
      </c>
      <c r="C119" s="2">
        <v>130</v>
      </c>
      <c r="D119" s="2" t="s">
        <v>185</v>
      </c>
      <c r="E119" s="2">
        <v>0</v>
      </c>
      <c r="F119" s="2" t="s">
        <v>232</v>
      </c>
      <c r="G119" s="2">
        <v>15</v>
      </c>
      <c r="H119" s="2">
        <v>2</v>
      </c>
      <c r="I119" s="2">
        <v>1</v>
      </c>
      <c r="J119" s="2">
        <v>3</v>
      </c>
      <c r="K119" s="2">
        <v>1</v>
      </c>
      <c r="L119" s="2">
        <v>4</v>
      </c>
      <c r="M119" s="2" t="s">
        <v>187</v>
      </c>
      <c r="N119" s="2">
        <v>2</v>
      </c>
      <c r="O119" s="2">
        <v>4</v>
      </c>
      <c r="P119" s="2">
        <v>0</v>
      </c>
      <c r="Q119" s="2">
        <v>0</v>
      </c>
      <c r="R119" s="2">
        <v>3</v>
      </c>
      <c r="S119" s="2">
        <v>-1</v>
      </c>
      <c r="T119" s="2">
        <v>-1</v>
      </c>
      <c r="U119" s="2">
        <v>-1</v>
      </c>
      <c r="V119" s="2">
        <v>1</v>
      </c>
      <c r="W119" s="2">
        <v>0</v>
      </c>
      <c r="X119" s="2"/>
      <c r="Y119" s="2">
        <v>0</v>
      </c>
      <c r="Z119" s="2">
        <v>1</v>
      </c>
      <c r="AA119" s="2">
        <v>1</v>
      </c>
      <c r="AB119" s="2">
        <v>2</v>
      </c>
      <c r="AC119" s="2">
        <v>2</v>
      </c>
      <c r="AD119" s="2">
        <v>2</v>
      </c>
      <c r="AE119" s="2">
        <v>2</v>
      </c>
      <c r="AF119" s="2">
        <v>2</v>
      </c>
      <c r="AG119" s="2">
        <v>3</v>
      </c>
      <c r="AH119" s="2">
        <v>3</v>
      </c>
      <c r="AI119" s="2">
        <v>3</v>
      </c>
      <c r="AJ119" s="2">
        <v>3</v>
      </c>
      <c r="AK119" s="2">
        <v>3</v>
      </c>
      <c r="AL119" s="2">
        <v>3</v>
      </c>
      <c r="AM119" s="2">
        <v>4</v>
      </c>
      <c r="AN119" s="2">
        <v>4</v>
      </c>
      <c r="AO119" s="2">
        <v>4</v>
      </c>
      <c r="AP119" s="2">
        <v>4</v>
      </c>
      <c r="AQ119" s="2">
        <v>4</v>
      </c>
      <c r="AR119" s="2">
        <v>2</v>
      </c>
      <c r="AS119" s="2">
        <v>2</v>
      </c>
      <c r="AT119" s="2">
        <v>2</v>
      </c>
      <c r="AU119" s="2">
        <v>2</v>
      </c>
      <c r="AV119" s="2"/>
      <c r="AW119" s="2">
        <v>2</v>
      </c>
      <c r="AX119" s="2">
        <v>2</v>
      </c>
      <c r="AY119" s="2">
        <v>2</v>
      </c>
      <c r="AZ119" s="2">
        <v>3</v>
      </c>
      <c r="BA119" s="2">
        <v>3</v>
      </c>
      <c r="BB119" s="2">
        <v>3</v>
      </c>
      <c r="BC119" s="2">
        <v>3</v>
      </c>
      <c r="BD119" s="2">
        <v>3</v>
      </c>
      <c r="BE119" s="2">
        <v>3</v>
      </c>
      <c r="BF119" s="2">
        <v>3</v>
      </c>
      <c r="BG119" s="2">
        <v>3</v>
      </c>
      <c r="BH119" s="2">
        <v>3</v>
      </c>
      <c r="BI119" s="2"/>
      <c r="BJ119" s="2">
        <v>3</v>
      </c>
      <c r="BK119" s="2">
        <v>3</v>
      </c>
      <c r="BL119" s="2">
        <v>3</v>
      </c>
      <c r="BM119" s="2">
        <v>7</v>
      </c>
      <c r="BN119" s="2">
        <v>8</v>
      </c>
      <c r="BO119" s="2">
        <v>7</v>
      </c>
      <c r="BP119" s="2"/>
      <c r="BQ119" s="2"/>
      <c r="BR119" s="2"/>
      <c r="BS119" s="2"/>
      <c r="BT119" s="2"/>
      <c r="BU119" s="2"/>
      <c r="BV119" s="2"/>
      <c r="BW119" s="2"/>
      <c r="BX119" s="2" t="s">
        <v>191</v>
      </c>
      <c r="BY119" s="2" t="s">
        <v>188</v>
      </c>
      <c r="BZ119" s="2" t="s">
        <v>191</v>
      </c>
      <c r="CA119" s="2" t="s">
        <v>191</v>
      </c>
      <c r="CB119" s="2" t="s">
        <v>191</v>
      </c>
      <c r="CC119" s="2" t="s">
        <v>191</v>
      </c>
      <c r="CD119" s="2" t="s">
        <v>189</v>
      </c>
      <c r="CE119" s="2" t="s">
        <v>190</v>
      </c>
      <c r="CF119" s="2" t="s">
        <v>188</v>
      </c>
      <c r="CG119" s="2" t="s">
        <v>188</v>
      </c>
      <c r="CH119" s="2" t="s">
        <v>188</v>
      </c>
      <c r="CI119" s="2" t="s">
        <v>189</v>
      </c>
      <c r="CJ119" s="2" t="s">
        <v>189</v>
      </c>
      <c r="CK119" s="2" t="s">
        <v>190</v>
      </c>
      <c r="CL119" s="2" t="s">
        <v>190</v>
      </c>
      <c r="CM119" s="2" t="s">
        <v>193</v>
      </c>
      <c r="CN119" s="2" t="s">
        <v>193</v>
      </c>
      <c r="CO119" s="2" t="s">
        <v>193</v>
      </c>
      <c r="CP119" s="2" t="s">
        <v>193</v>
      </c>
      <c r="CQ119" s="2" t="s">
        <v>193</v>
      </c>
      <c r="CR119" s="2" t="s">
        <v>193</v>
      </c>
      <c r="CS119" s="2" t="s">
        <v>193</v>
      </c>
      <c r="CT119" s="2" t="s">
        <v>193</v>
      </c>
      <c r="CU119" s="2" t="s">
        <v>193</v>
      </c>
      <c r="CV119" s="2" t="s">
        <v>193</v>
      </c>
      <c r="CW119" s="2" t="s">
        <v>193</v>
      </c>
      <c r="CX119" s="2" t="s">
        <v>193</v>
      </c>
      <c r="CY119" s="2" t="s">
        <v>193</v>
      </c>
      <c r="CZ119" s="2" t="s">
        <v>193</v>
      </c>
      <c r="DA119" s="2" t="s">
        <v>193</v>
      </c>
      <c r="DB119" s="2" t="s">
        <v>193</v>
      </c>
      <c r="DC119" s="2" t="s">
        <v>193</v>
      </c>
      <c r="DD119" s="2" t="s">
        <v>193</v>
      </c>
      <c r="DE119" s="2" t="s">
        <v>193</v>
      </c>
      <c r="DF119" s="2" t="s">
        <v>193</v>
      </c>
      <c r="DG119" s="2" t="s">
        <v>195</v>
      </c>
      <c r="DH119" s="2" t="s">
        <v>195</v>
      </c>
      <c r="DI119" s="2" t="s">
        <v>195</v>
      </c>
      <c r="DJ119" s="2" t="s">
        <v>201</v>
      </c>
      <c r="DK119" s="2" t="s">
        <v>196</v>
      </c>
      <c r="DL119" s="2" t="s">
        <v>194</v>
      </c>
      <c r="DM119" s="2" t="s">
        <v>195</v>
      </c>
      <c r="DN119" s="2" t="s">
        <v>220</v>
      </c>
      <c r="DO119" s="2" t="s">
        <v>196</v>
      </c>
      <c r="DP119" s="2" t="s">
        <v>196</v>
      </c>
      <c r="DQ119" s="2" t="s">
        <v>195</v>
      </c>
      <c r="DR119" s="2" t="s">
        <v>194</v>
      </c>
      <c r="DS119" s="2" t="s">
        <v>199</v>
      </c>
      <c r="DT119" s="2" t="s">
        <v>199</v>
      </c>
      <c r="DU119" s="2" t="s">
        <v>199</v>
      </c>
      <c r="DV119" s="2" t="s">
        <v>199</v>
      </c>
      <c r="DW119" s="2" t="s">
        <v>199</v>
      </c>
      <c r="DX119" s="2" t="s">
        <v>199</v>
      </c>
      <c r="DY119" s="2" t="s">
        <v>199</v>
      </c>
      <c r="DZ119" s="2"/>
      <c r="EA119" s="2">
        <v>1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1</v>
      </c>
      <c r="EI119" s="2">
        <v>0</v>
      </c>
      <c r="EJ119" s="2">
        <v>0</v>
      </c>
      <c r="EK119" s="2">
        <v>1</v>
      </c>
      <c r="EL119" s="2">
        <v>0</v>
      </c>
      <c r="EM119" s="2">
        <v>1</v>
      </c>
      <c r="EN119" s="2">
        <v>1</v>
      </c>
      <c r="EO119" s="2">
        <v>0</v>
      </c>
      <c r="EP119" s="2">
        <v>0</v>
      </c>
      <c r="EQ119" s="2">
        <v>1</v>
      </c>
      <c r="ER119" s="2">
        <v>0</v>
      </c>
      <c r="ES119" s="2">
        <v>1</v>
      </c>
      <c r="ET119" s="2">
        <v>0</v>
      </c>
      <c r="EU119" s="2">
        <v>1</v>
      </c>
      <c r="EV119" s="2">
        <v>0</v>
      </c>
      <c r="EW119" s="2">
        <v>1</v>
      </c>
      <c r="EX119" s="2">
        <v>0</v>
      </c>
      <c r="EY119" s="2">
        <v>1</v>
      </c>
      <c r="EZ119" s="2">
        <v>0</v>
      </c>
      <c r="FA119" s="2">
        <v>1</v>
      </c>
      <c r="FB119" s="2">
        <v>1</v>
      </c>
      <c r="FC119" s="2">
        <v>0</v>
      </c>
      <c r="FD119" s="2">
        <v>0</v>
      </c>
      <c r="FE119" s="2">
        <v>0</v>
      </c>
      <c r="FF119" s="2">
        <v>0</v>
      </c>
      <c r="FG119" s="2">
        <v>1</v>
      </c>
      <c r="FH119" s="2">
        <v>1</v>
      </c>
      <c r="FI119" s="2">
        <v>0</v>
      </c>
      <c r="FJ119" s="2">
        <v>1</v>
      </c>
      <c r="FK119" s="2">
        <v>0</v>
      </c>
      <c r="FL119" s="2">
        <v>1</v>
      </c>
      <c r="FM119" s="2">
        <v>0</v>
      </c>
      <c r="FN119" s="2">
        <v>1</v>
      </c>
      <c r="FO119" s="2">
        <v>0</v>
      </c>
      <c r="FP119" s="2">
        <v>0</v>
      </c>
      <c r="FQ119" s="2">
        <v>1</v>
      </c>
      <c r="FR119" s="2">
        <v>0</v>
      </c>
      <c r="FS119" s="2">
        <v>1</v>
      </c>
      <c r="FT119" s="2">
        <v>0</v>
      </c>
      <c r="FU119" s="2">
        <v>1</v>
      </c>
      <c r="FV119" s="2">
        <v>1</v>
      </c>
      <c r="FW119" s="2">
        <v>0</v>
      </c>
      <c r="FX119" s="2">
        <v>0</v>
      </c>
      <c r="FY119" s="2">
        <v>1</v>
      </c>
      <c r="FZ119" s="2"/>
      <c r="GA119" s="2">
        <v>4</v>
      </c>
      <c r="GB119" s="2">
        <v>4</v>
      </c>
      <c r="GC119" s="2">
        <v>4</v>
      </c>
      <c r="GD119" s="2">
        <v>4</v>
      </c>
      <c r="GE119" s="2">
        <v>4</v>
      </c>
      <c r="GG119" s="2">
        <v>3</v>
      </c>
      <c r="GH119" s="2">
        <v>3</v>
      </c>
      <c r="GI119" s="2">
        <v>3</v>
      </c>
      <c r="GJ119" s="2">
        <v>3</v>
      </c>
      <c r="GK119" s="2">
        <v>3</v>
      </c>
      <c r="GM119" s="2">
        <f t="shared" si="0"/>
        <v>20</v>
      </c>
      <c r="GN119" s="2">
        <f t="shared" si="1"/>
        <v>15</v>
      </c>
      <c r="GO119" s="2"/>
      <c r="GP119" s="2">
        <v>2</v>
      </c>
      <c r="GQ119" s="2">
        <v>2</v>
      </c>
      <c r="GR119" s="2">
        <v>2</v>
      </c>
      <c r="GS119" s="2">
        <v>2</v>
      </c>
      <c r="GU119" s="2">
        <v>2</v>
      </c>
      <c r="GV119" s="2">
        <v>2</v>
      </c>
      <c r="GW119" s="2">
        <v>2</v>
      </c>
      <c r="GY119" s="2">
        <v>3</v>
      </c>
      <c r="GZ119" s="2">
        <v>3</v>
      </c>
      <c r="HA119" s="2">
        <v>3</v>
      </c>
      <c r="HB119" s="2">
        <v>3</v>
      </c>
      <c r="HD119" s="2">
        <v>3</v>
      </c>
      <c r="HE119" s="2">
        <v>3</v>
      </c>
      <c r="HF119" s="2">
        <v>3</v>
      </c>
      <c r="HH119" s="2">
        <f t="shared" si="2"/>
        <v>14</v>
      </c>
      <c r="HI119" s="2">
        <f t="shared" si="3"/>
        <v>21</v>
      </c>
      <c r="HJ119" s="2"/>
      <c r="HK119" s="2">
        <v>8</v>
      </c>
      <c r="HL119" s="2">
        <v>7</v>
      </c>
      <c r="HM119" s="2"/>
      <c r="HN119" s="2"/>
    </row>
    <row r="120" spans="1:222" ht="15.75" customHeight="1" x14ac:dyDescent="0.2">
      <c r="A120" s="3" t="e">
        <f>VLOOKUP(B120,#REF!,1,FALSE)</f>
        <v>#REF!</v>
      </c>
      <c r="B120" s="3">
        <v>44651.66613740741</v>
      </c>
      <c r="C120" s="2">
        <v>131</v>
      </c>
      <c r="D120" s="2" t="s">
        <v>185</v>
      </c>
      <c r="E120" s="2">
        <v>0</v>
      </c>
      <c r="F120" s="2" t="s">
        <v>347</v>
      </c>
      <c r="G120" s="2">
        <v>2</v>
      </c>
      <c r="H120" s="2">
        <v>2</v>
      </c>
      <c r="I120" s="2">
        <v>1</v>
      </c>
      <c r="J120" s="2">
        <v>4</v>
      </c>
      <c r="K120" s="2">
        <v>0</v>
      </c>
      <c r="L120" s="2">
        <v>3</v>
      </c>
      <c r="M120" s="2" t="s">
        <v>213</v>
      </c>
      <c r="N120" s="2">
        <v>2</v>
      </c>
      <c r="O120" s="2">
        <v>2</v>
      </c>
      <c r="P120" s="2">
        <v>0</v>
      </c>
      <c r="Q120" s="2">
        <v>0</v>
      </c>
      <c r="R120" s="2">
        <v>2</v>
      </c>
      <c r="S120" s="2">
        <v>-1</v>
      </c>
      <c r="T120" s="2">
        <v>0</v>
      </c>
      <c r="U120" s="2">
        <v>1</v>
      </c>
      <c r="V120" s="2">
        <v>-1</v>
      </c>
      <c r="W120" s="2">
        <v>-1</v>
      </c>
      <c r="X120" s="2"/>
      <c r="Y120" s="2">
        <v>0</v>
      </c>
      <c r="Z120" s="2">
        <v>0</v>
      </c>
      <c r="AA120" s="2">
        <v>0</v>
      </c>
      <c r="AB120" s="2">
        <v>2</v>
      </c>
      <c r="AC120" s="2">
        <v>4</v>
      </c>
      <c r="AD120" s="2">
        <v>4</v>
      </c>
      <c r="AE120" s="2">
        <v>2</v>
      </c>
      <c r="AF120" s="2">
        <v>4</v>
      </c>
      <c r="AG120" s="2">
        <v>-3</v>
      </c>
      <c r="AH120" s="2">
        <v>-1</v>
      </c>
      <c r="AI120" s="2">
        <v>3</v>
      </c>
      <c r="AJ120" s="2">
        <v>1</v>
      </c>
      <c r="AK120" s="2">
        <v>-2</v>
      </c>
      <c r="AL120" s="2">
        <v>-2</v>
      </c>
      <c r="AM120" s="2">
        <v>1</v>
      </c>
      <c r="AN120" s="2">
        <v>1</v>
      </c>
      <c r="AO120" s="2">
        <v>3</v>
      </c>
      <c r="AP120" s="2">
        <v>1</v>
      </c>
      <c r="AQ120" s="2">
        <v>1</v>
      </c>
      <c r="AR120" s="2">
        <v>3</v>
      </c>
      <c r="AS120" s="2">
        <v>3</v>
      </c>
      <c r="AT120" s="2">
        <v>2</v>
      </c>
      <c r="AU120" s="2">
        <v>2</v>
      </c>
      <c r="AV120" s="2"/>
      <c r="AW120" s="2">
        <v>3</v>
      </c>
      <c r="AX120" s="2">
        <v>1</v>
      </c>
      <c r="AY120" s="2">
        <v>0</v>
      </c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>
        <v>1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1</v>
      </c>
      <c r="EJ120" s="2">
        <v>0</v>
      </c>
      <c r="EK120" s="2">
        <v>1</v>
      </c>
      <c r="EL120" s="2">
        <v>0</v>
      </c>
      <c r="EM120" s="2">
        <v>1</v>
      </c>
      <c r="EN120" s="2">
        <v>0</v>
      </c>
      <c r="EO120" s="2">
        <v>0</v>
      </c>
      <c r="EP120" s="2">
        <v>0</v>
      </c>
      <c r="EQ120" s="2">
        <v>1</v>
      </c>
      <c r="ER120" s="2">
        <v>0</v>
      </c>
      <c r="ES120" s="2">
        <v>1</v>
      </c>
      <c r="ET120" s="2">
        <v>0</v>
      </c>
      <c r="EU120" s="2">
        <v>1</v>
      </c>
      <c r="EV120" s="2">
        <v>0</v>
      </c>
      <c r="EW120" s="2">
        <v>0</v>
      </c>
      <c r="EX120" s="2">
        <v>0</v>
      </c>
      <c r="EY120" s="2">
        <v>1</v>
      </c>
      <c r="EZ120" s="2">
        <v>0</v>
      </c>
      <c r="FA120" s="2">
        <v>0</v>
      </c>
      <c r="FB120" s="2">
        <v>0</v>
      </c>
      <c r="FC120" s="2">
        <v>1</v>
      </c>
      <c r="FD120" s="2">
        <v>0</v>
      </c>
      <c r="FE120" s="2">
        <v>0</v>
      </c>
      <c r="FF120" s="2">
        <v>0</v>
      </c>
      <c r="FG120" s="2">
        <v>1</v>
      </c>
      <c r="FH120" s="2">
        <v>1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1</v>
      </c>
      <c r="FO120" s="2">
        <v>1</v>
      </c>
      <c r="FP120" s="2">
        <v>0</v>
      </c>
      <c r="FQ120" s="2">
        <v>1</v>
      </c>
      <c r="FR120" s="2">
        <v>0</v>
      </c>
      <c r="FS120" s="2">
        <v>1</v>
      </c>
      <c r="FT120" s="2">
        <v>0</v>
      </c>
      <c r="FU120" s="2">
        <v>1</v>
      </c>
      <c r="FV120" s="2">
        <v>0</v>
      </c>
      <c r="FW120" s="2">
        <v>1</v>
      </c>
      <c r="FX120" s="2">
        <v>0</v>
      </c>
      <c r="FY120" s="2">
        <v>1</v>
      </c>
      <c r="FZ120" s="2"/>
      <c r="GA120" s="7">
        <v>1</v>
      </c>
      <c r="GB120" s="7">
        <v>1</v>
      </c>
      <c r="GC120" s="7">
        <v>3</v>
      </c>
      <c r="GD120" s="7">
        <v>1</v>
      </c>
      <c r="GE120" s="7">
        <v>1</v>
      </c>
      <c r="GF120" s="7"/>
      <c r="GG120" s="7"/>
      <c r="GH120" s="7"/>
      <c r="GI120" s="7"/>
      <c r="GJ120" s="7"/>
      <c r="GK120" s="7"/>
      <c r="GL120" s="7"/>
      <c r="GM120" s="7">
        <f t="shared" si="0"/>
        <v>7</v>
      </c>
      <c r="GN120" s="7">
        <f t="shared" si="1"/>
        <v>0</v>
      </c>
      <c r="GO120" s="7"/>
      <c r="GP120" s="7">
        <v>3</v>
      </c>
      <c r="GQ120" s="7">
        <v>3</v>
      </c>
      <c r="GR120" s="7">
        <v>2</v>
      </c>
      <c r="GS120" s="7">
        <v>2</v>
      </c>
      <c r="GT120" s="7"/>
      <c r="GU120" s="7">
        <v>3</v>
      </c>
      <c r="GV120" s="7">
        <v>1</v>
      </c>
      <c r="GW120" s="7">
        <v>0</v>
      </c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>
        <f t="shared" si="2"/>
        <v>14</v>
      </c>
      <c r="HI120" s="7">
        <f t="shared" si="3"/>
        <v>0</v>
      </c>
      <c r="HJ120" s="7"/>
    </row>
    <row r="121" spans="1:222" ht="15.75" customHeight="1" x14ac:dyDescent="0.2">
      <c r="A121" s="3" t="e">
        <f>VLOOKUP(B121,#REF!,1,FALSE)</f>
        <v>#REF!</v>
      </c>
      <c r="B121" s="3">
        <v>44653.628881736113</v>
      </c>
      <c r="C121" s="2">
        <v>132</v>
      </c>
      <c r="D121" s="2" t="s">
        <v>185</v>
      </c>
      <c r="E121" s="2">
        <v>0</v>
      </c>
      <c r="F121" s="2" t="s">
        <v>232</v>
      </c>
      <c r="G121" s="2">
        <v>8</v>
      </c>
      <c r="H121" s="2">
        <v>2</v>
      </c>
      <c r="I121" s="2">
        <v>1</v>
      </c>
      <c r="J121" s="2">
        <v>4</v>
      </c>
      <c r="K121" s="2">
        <v>0</v>
      </c>
      <c r="L121" s="2">
        <v>4</v>
      </c>
      <c r="M121" s="2" t="s">
        <v>213</v>
      </c>
      <c r="N121" s="2">
        <v>3</v>
      </c>
      <c r="O121" s="2">
        <v>3</v>
      </c>
      <c r="P121" s="2">
        <v>0</v>
      </c>
      <c r="Q121" s="2">
        <v>0</v>
      </c>
      <c r="R121" s="2">
        <v>3</v>
      </c>
      <c r="S121" s="2">
        <v>0</v>
      </c>
      <c r="T121" s="2">
        <v>0</v>
      </c>
      <c r="U121" s="2">
        <v>1</v>
      </c>
      <c r="V121" s="2">
        <v>-1</v>
      </c>
      <c r="W121" s="2">
        <v>0</v>
      </c>
      <c r="X121" s="2"/>
      <c r="Y121" s="2">
        <v>1</v>
      </c>
      <c r="Z121" s="2">
        <v>0</v>
      </c>
      <c r="AA121" s="2">
        <v>0</v>
      </c>
      <c r="AB121" s="2">
        <v>2</v>
      </c>
      <c r="AC121" s="2">
        <v>0</v>
      </c>
      <c r="AD121" s="2">
        <v>1</v>
      </c>
      <c r="AE121" s="2">
        <v>2</v>
      </c>
      <c r="AF121" s="2">
        <v>2</v>
      </c>
      <c r="AG121" s="2">
        <v>1</v>
      </c>
      <c r="AH121" s="2">
        <v>1</v>
      </c>
      <c r="AI121" s="2">
        <v>-1</v>
      </c>
      <c r="AJ121" s="2">
        <v>1</v>
      </c>
      <c r="AK121" s="2">
        <v>1</v>
      </c>
      <c r="AL121" s="2">
        <v>1</v>
      </c>
      <c r="AM121" s="2">
        <v>3</v>
      </c>
      <c r="AN121" s="2">
        <v>3</v>
      </c>
      <c r="AO121" s="2">
        <v>2</v>
      </c>
      <c r="AP121" s="2">
        <v>2</v>
      </c>
      <c r="AQ121" s="2">
        <v>2</v>
      </c>
      <c r="AR121" s="2">
        <v>2</v>
      </c>
      <c r="AS121" s="2">
        <v>0</v>
      </c>
      <c r="AT121" s="2">
        <v>2</v>
      </c>
      <c r="AU121" s="2">
        <v>1</v>
      </c>
      <c r="AV121" s="2"/>
      <c r="AW121" s="2">
        <v>1</v>
      </c>
      <c r="AX121" s="2">
        <v>0</v>
      </c>
      <c r="AY121" s="2">
        <v>1</v>
      </c>
      <c r="AZ121" s="2">
        <v>4</v>
      </c>
      <c r="BA121" s="2">
        <v>4</v>
      </c>
      <c r="BB121" s="2">
        <v>3</v>
      </c>
      <c r="BC121" s="2">
        <v>3</v>
      </c>
      <c r="BD121" s="2">
        <v>2</v>
      </c>
      <c r="BE121" s="2">
        <v>2</v>
      </c>
      <c r="BF121" s="2">
        <v>0</v>
      </c>
      <c r="BG121" s="2">
        <v>2</v>
      </c>
      <c r="BH121" s="2">
        <v>1</v>
      </c>
      <c r="BI121" s="2"/>
      <c r="BJ121" s="2">
        <v>0</v>
      </c>
      <c r="BK121" s="2">
        <v>0</v>
      </c>
      <c r="BL121" s="2">
        <v>2</v>
      </c>
      <c r="BM121" s="2">
        <v>8</v>
      </c>
      <c r="BN121" s="2">
        <v>8</v>
      </c>
      <c r="BO121" s="2">
        <v>8</v>
      </c>
      <c r="BP121" s="2"/>
      <c r="BQ121" s="2"/>
      <c r="BR121" s="2"/>
      <c r="BS121" s="2"/>
      <c r="BT121" s="2"/>
      <c r="BU121" s="2"/>
      <c r="BV121" s="2" t="s">
        <v>520</v>
      </c>
      <c r="BW121" s="2" t="s">
        <v>521</v>
      </c>
      <c r="BX121" s="2" t="s">
        <v>189</v>
      </c>
      <c r="BY121" s="2" t="s">
        <v>189</v>
      </c>
      <c r="BZ121" s="2" t="s">
        <v>190</v>
      </c>
      <c r="CA121" s="2" t="s">
        <v>190</v>
      </c>
      <c r="CB121" s="2" t="s">
        <v>191</v>
      </c>
      <c r="CC121" s="2" t="s">
        <v>190</v>
      </c>
      <c r="CD121" s="2" t="s">
        <v>189</v>
      </c>
      <c r="CE121" s="2" t="s">
        <v>189</v>
      </c>
      <c r="CF121" s="2" t="s">
        <v>191</v>
      </c>
      <c r="CG121" s="2" t="s">
        <v>190</v>
      </c>
      <c r="CH121" s="2" t="s">
        <v>191</v>
      </c>
      <c r="CI121" s="2" t="s">
        <v>189</v>
      </c>
      <c r="CJ121" s="2" t="s">
        <v>190</v>
      </c>
      <c r="CK121" s="2" t="s">
        <v>189</v>
      </c>
      <c r="CL121" s="2" t="s">
        <v>189</v>
      </c>
      <c r="CM121" s="2" t="s">
        <v>193</v>
      </c>
      <c r="CN121" s="2" t="s">
        <v>193</v>
      </c>
      <c r="CO121" s="2" t="s">
        <v>192</v>
      </c>
      <c r="CP121" s="2" t="s">
        <v>192</v>
      </c>
      <c r="CQ121" s="2" t="s">
        <v>193</v>
      </c>
      <c r="CR121" s="2" t="s">
        <v>193</v>
      </c>
      <c r="CS121" s="2" t="s">
        <v>200</v>
      </c>
      <c r="CT121" s="2" t="s">
        <v>193</v>
      </c>
      <c r="CU121" s="2" t="s">
        <v>192</v>
      </c>
      <c r="CV121" s="2" t="s">
        <v>200</v>
      </c>
      <c r="CW121" s="2" t="s">
        <v>192</v>
      </c>
      <c r="CX121" s="2" t="s">
        <v>193</v>
      </c>
      <c r="CY121" s="2" t="s">
        <v>192</v>
      </c>
      <c r="CZ121" s="2" t="s">
        <v>192</v>
      </c>
      <c r="DA121" s="2" t="s">
        <v>193</v>
      </c>
      <c r="DB121" s="2" t="s">
        <v>193</v>
      </c>
      <c r="DC121" s="2" t="s">
        <v>192</v>
      </c>
      <c r="DD121" s="2" t="s">
        <v>192</v>
      </c>
      <c r="DE121" s="2" t="s">
        <v>192</v>
      </c>
      <c r="DF121" s="2" t="s">
        <v>193</v>
      </c>
      <c r="DG121" s="2" t="s">
        <v>194</v>
      </c>
      <c r="DH121" s="2" t="s">
        <v>195</v>
      </c>
      <c r="DI121" s="2" t="s">
        <v>195</v>
      </c>
      <c r="DJ121" s="2" t="s">
        <v>201</v>
      </c>
      <c r="DK121" s="2" t="s">
        <v>194</v>
      </c>
      <c r="DL121" s="2" t="s">
        <v>201</v>
      </c>
      <c r="DM121" s="2" t="s">
        <v>201</v>
      </c>
      <c r="DN121" s="2" t="s">
        <v>196</v>
      </c>
      <c r="DO121" s="2" t="s">
        <v>196</v>
      </c>
      <c r="DP121" s="2" t="s">
        <v>194</v>
      </c>
      <c r="DQ121" s="2" t="s">
        <v>195</v>
      </c>
      <c r="DR121" s="2" t="s">
        <v>195</v>
      </c>
      <c r="DS121" s="2" t="s">
        <v>197</v>
      </c>
      <c r="DT121" s="2" t="s">
        <v>198</v>
      </c>
      <c r="DU121" s="2" t="s">
        <v>199</v>
      </c>
      <c r="DV121" s="2" t="s">
        <v>197</v>
      </c>
      <c r="DW121" s="2" t="s">
        <v>198</v>
      </c>
      <c r="DX121" s="2" t="s">
        <v>199</v>
      </c>
      <c r="DY121" s="2" t="s">
        <v>198</v>
      </c>
      <c r="DZ121" s="2"/>
      <c r="EA121" s="2">
        <v>1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1</v>
      </c>
      <c r="EJ121" s="2">
        <v>1</v>
      </c>
      <c r="EK121" s="2">
        <v>0</v>
      </c>
      <c r="EL121" s="2">
        <v>1</v>
      </c>
      <c r="EM121" s="2">
        <v>0</v>
      </c>
      <c r="EN121" s="2">
        <v>0</v>
      </c>
      <c r="EO121" s="2">
        <v>1</v>
      </c>
      <c r="EP121" s="2">
        <v>0</v>
      </c>
      <c r="EQ121" s="2">
        <v>1</v>
      </c>
      <c r="ER121" s="2">
        <v>0</v>
      </c>
      <c r="ES121" s="2">
        <v>1</v>
      </c>
      <c r="ET121" s="2">
        <v>0</v>
      </c>
      <c r="EU121" s="2">
        <v>1</v>
      </c>
      <c r="EV121" s="2">
        <v>1</v>
      </c>
      <c r="EW121" s="2">
        <v>0</v>
      </c>
      <c r="EX121" s="2">
        <v>0</v>
      </c>
      <c r="EY121" s="2">
        <v>1</v>
      </c>
      <c r="EZ121" s="2">
        <v>0</v>
      </c>
      <c r="FA121" s="2">
        <v>1</v>
      </c>
      <c r="FB121" s="2">
        <v>0</v>
      </c>
      <c r="FC121" s="2">
        <v>1</v>
      </c>
      <c r="FD121" s="2">
        <v>0</v>
      </c>
      <c r="FE121" s="2">
        <v>0</v>
      </c>
      <c r="FF121" s="2">
        <v>1</v>
      </c>
      <c r="FG121" s="2">
        <v>0</v>
      </c>
      <c r="FH121" s="2">
        <v>0</v>
      </c>
      <c r="FI121" s="2">
        <v>1</v>
      </c>
      <c r="FJ121" s="2">
        <v>1</v>
      </c>
      <c r="FK121" s="2">
        <v>0</v>
      </c>
      <c r="FL121" s="2">
        <v>1</v>
      </c>
      <c r="FM121" s="2">
        <v>0</v>
      </c>
      <c r="FN121" s="2">
        <v>1</v>
      </c>
      <c r="FO121" s="2">
        <v>0</v>
      </c>
      <c r="FP121" s="2">
        <v>0</v>
      </c>
      <c r="FQ121" s="2">
        <v>1</v>
      </c>
      <c r="FR121" s="2">
        <v>1</v>
      </c>
      <c r="FS121" s="2">
        <v>0</v>
      </c>
      <c r="FT121" s="2">
        <v>1</v>
      </c>
      <c r="FU121" s="2">
        <v>0</v>
      </c>
      <c r="FV121" s="2">
        <v>1</v>
      </c>
      <c r="FW121" s="2">
        <v>0</v>
      </c>
      <c r="FX121" s="2">
        <v>1</v>
      </c>
      <c r="FY121" s="2">
        <v>0</v>
      </c>
      <c r="FZ121" s="2"/>
      <c r="GA121" s="2">
        <v>3</v>
      </c>
      <c r="GB121" s="2">
        <v>3</v>
      </c>
      <c r="GC121" s="2">
        <v>2</v>
      </c>
      <c r="GD121" s="2">
        <v>2</v>
      </c>
      <c r="GE121" s="2">
        <v>2</v>
      </c>
      <c r="GG121" s="2">
        <v>4</v>
      </c>
      <c r="GH121" s="2">
        <v>4</v>
      </c>
      <c r="GI121" s="2">
        <v>3</v>
      </c>
      <c r="GJ121" s="2">
        <v>3</v>
      </c>
      <c r="GK121" s="2">
        <v>2</v>
      </c>
      <c r="GM121" s="2">
        <f t="shared" si="0"/>
        <v>12</v>
      </c>
      <c r="GN121" s="2">
        <f t="shared" si="1"/>
        <v>16</v>
      </c>
      <c r="GO121" s="2"/>
      <c r="GP121" s="2">
        <v>2</v>
      </c>
      <c r="GQ121" s="2">
        <v>0</v>
      </c>
      <c r="GR121" s="2">
        <v>2</v>
      </c>
      <c r="GS121" s="2">
        <v>1</v>
      </c>
      <c r="GU121" s="2">
        <v>1</v>
      </c>
      <c r="GV121" s="2">
        <v>0</v>
      </c>
      <c r="GW121" s="2">
        <v>1</v>
      </c>
      <c r="GY121" s="2">
        <v>2</v>
      </c>
      <c r="GZ121" s="2">
        <v>0</v>
      </c>
      <c r="HA121" s="2">
        <v>2</v>
      </c>
      <c r="HB121" s="2">
        <v>1</v>
      </c>
      <c r="HD121" s="2">
        <v>0</v>
      </c>
      <c r="HE121" s="2">
        <v>0</v>
      </c>
      <c r="HF121" s="2">
        <v>2</v>
      </c>
      <c r="HH121" s="2">
        <f t="shared" si="2"/>
        <v>7</v>
      </c>
      <c r="HI121" s="2">
        <f t="shared" si="3"/>
        <v>7</v>
      </c>
      <c r="HJ121" s="2"/>
      <c r="HK121" s="2">
        <v>8</v>
      </c>
      <c r="HL121" s="2">
        <v>8</v>
      </c>
      <c r="HM121" s="2"/>
      <c r="HN121" s="2"/>
    </row>
    <row r="122" spans="1:222" ht="15.75" customHeight="1" x14ac:dyDescent="0.2">
      <c r="A122" s="3" t="e">
        <f>VLOOKUP(B122,#REF!,1,FALSE)</f>
        <v>#REF!</v>
      </c>
      <c r="B122" s="3">
        <v>44462.683498877312</v>
      </c>
      <c r="C122" s="2">
        <v>173</v>
      </c>
      <c r="D122" s="2" t="s">
        <v>185</v>
      </c>
      <c r="E122" s="2">
        <v>0</v>
      </c>
      <c r="F122" s="2" t="s">
        <v>237</v>
      </c>
      <c r="G122" s="2">
        <v>2</v>
      </c>
      <c r="H122" s="2">
        <v>2</v>
      </c>
      <c r="I122" s="2">
        <v>1</v>
      </c>
      <c r="J122" s="2">
        <v>1</v>
      </c>
      <c r="K122" s="2">
        <v>0</v>
      </c>
      <c r="L122" s="2">
        <v>3</v>
      </c>
      <c r="M122" s="2" t="s">
        <v>213</v>
      </c>
      <c r="N122" s="2">
        <v>3</v>
      </c>
      <c r="O122" s="2">
        <v>3</v>
      </c>
      <c r="P122" s="2">
        <v>0</v>
      </c>
      <c r="Q122" s="2">
        <v>0</v>
      </c>
      <c r="R122" s="2">
        <v>3</v>
      </c>
      <c r="S122" s="2">
        <v>1</v>
      </c>
      <c r="T122" s="2">
        <v>0</v>
      </c>
      <c r="U122" s="2">
        <v>1</v>
      </c>
      <c r="V122" s="2">
        <v>-1</v>
      </c>
      <c r="W122" s="2">
        <v>-1</v>
      </c>
      <c r="X122" s="2"/>
      <c r="Y122" s="2">
        <v>1</v>
      </c>
      <c r="Z122" s="2">
        <v>0</v>
      </c>
      <c r="AA122" s="2">
        <v>1</v>
      </c>
      <c r="AB122" s="2">
        <v>2</v>
      </c>
      <c r="AC122" s="2">
        <v>4</v>
      </c>
      <c r="AD122" s="2">
        <v>1</v>
      </c>
      <c r="AE122" s="2">
        <v>4</v>
      </c>
      <c r="AF122" s="2">
        <v>2</v>
      </c>
      <c r="AG122" s="2">
        <v>2</v>
      </c>
      <c r="AH122" s="2">
        <v>2</v>
      </c>
      <c r="AI122" s="2">
        <v>2</v>
      </c>
      <c r="AJ122" s="2">
        <v>2</v>
      </c>
      <c r="AK122" s="2">
        <v>1</v>
      </c>
      <c r="AL122" s="2">
        <v>2</v>
      </c>
      <c r="AM122" s="2">
        <v>4</v>
      </c>
      <c r="AN122" s="2">
        <v>4</v>
      </c>
      <c r="AO122" s="2">
        <v>5</v>
      </c>
      <c r="AP122" s="2">
        <v>5</v>
      </c>
      <c r="AQ122" s="2">
        <v>4</v>
      </c>
      <c r="AR122" s="2">
        <v>2</v>
      </c>
      <c r="AS122" s="2">
        <v>1</v>
      </c>
      <c r="AT122" s="2">
        <v>1</v>
      </c>
      <c r="AU122" s="2">
        <v>1</v>
      </c>
      <c r="AV122" s="2"/>
      <c r="AW122" s="2">
        <v>1</v>
      </c>
      <c r="AX122" s="2">
        <v>2</v>
      </c>
      <c r="AY122" s="2">
        <v>1</v>
      </c>
      <c r="AZ122" s="2">
        <v>4</v>
      </c>
      <c r="BA122" s="2">
        <v>4</v>
      </c>
      <c r="BB122" s="2">
        <v>3</v>
      </c>
      <c r="BC122" s="2">
        <v>3</v>
      </c>
      <c r="BD122" s="2">
        <v>2</v>
      </c>
      <c r="BE122" s="2">
        <v>2</v>
      </c>
      <c r="BF122" s="2">
        <v>2</v>
      </c>
      <c r="BG122" s="2">
        <v>2</v>
      </c>
      <c r="BH122" s="2">
        <v>2</v>
      </c>
      <c r="BI122" s="2"/>
      <c r="BJ122" s="2">
        <v>2</v>
      </c>
      <c r="BK122" s="2">
        <v>2</v>
      </c>
      <c r="BL122" s="2">
        <v>0</v>
      </c>
      <c r="BM122" s="2">
        <v>7</v>
      </c>
      <c r="BN122" s="2">
        <v>8</v>
      </c>
      <c r="BO122" s="2">
        <v>7</v>
      </c>
      <c r="BP122" s="2"/>
      <c r="BQ122" s="2"/>
      <c r="BR122" s="2"/>
      <c r="BS122" s="2"/>
      <c r="BT122" s="2"/>
      <c r="BU122" s="2"/>
      <c r="BV122" s="2"/>
      <c r="BW122" s="2"/>
      <c r="BX122" s="2" t="s">
        <v>190</v>
      </c>
      <c r="BY122" s="2" t="s">
        <v>190</v>
      </c>
      <c r="BZ122" s="2" t="s">
        <v>190</v>
      </c>
      <c r="CA122" s="2" t="s">
        <v>190</v>
      </c>
      <c r="CB122" s="2" t="s">
        <v>188</v>
      </c>
      <c r="CC122" s="2" t="s">
        <v>188</v>
      </c>
      <c r="CD122" s="2" t="s">
        <v>190</v>
      </c>
      <c r="CE122" s="2" t="s">
        <v>190</v>
      </c>
      <c r="CF122" s="2" t="s">
        <v>190</v>
      </c>
      <c r="CG122" s="2" t="s">
        <v>190</v>
      </c>
      <c r="CH122" s="2" t="s">
        <v>188</v>
      </c>
      <c r="CI122" s="2" t="s">
        <v>188</v>
      </c>
      <c r="CJ122" s="2" t="s">
        <v>191</v>
      </c>
      <c r="CK122" s="2" t="s">
        <v>190</v>
      </c>
      <c r="CL122" s="2" t="s">
        <v>190</v>
      </c>
      <c r="CM122" s="2" t="s">
        <v>192</v>
      </c>
      <c r="CN122" s="2" t="s">
        <v>192</v>
      </c>
      <c r="CO122" s="2" t="s">
        <v>193</v>
      </c>
      <c r="CP122" s="2" t="s">
        <v>193</v>
      </c>
      <c r="CQ122" s="2" t="s">
        <v>192</v>
      </c>
      <c r="CR122" s="2" t="s">
        <v>192</v>
      </c>
      <c r="CS122" s="2" t="s">
        <v>192</v>
      </c>
      <c r="CT122" s="2" t="s">
        <v>192</v>
      </c>
      <c r="CU122" s="2" t="s">
        <v>192</v>
      </c>
      <c r="CV122" s="2" t="s">
        <v>192</v>
      </c>
      <c r="CW122" s="2" t="s">
        <v>192</v>
      </c>
      <c r="CX122" s="2" t="s">
        <v>193</v>
      </c>
      <c r="CY122" s="2" t="s">
        <v>192</v>
      </c>
      <c r="CZ122" s="2" t="s">
        <v>192</v>
      </c>
      <c r="DA122" s="2" t="s">
        <v>200</v>
      </c>
      <c r="DB122" s="2" t="s">
        <v>192</v>
      </c>
      <c r="DC122" s="2" t="s">
        <v>192</v>
      </c>
      <c r="DD122" s="2" t="s">
        <v>193</v>
      </c>
      <c r="DE122" s="2" t="s">
        <v>193</v>
      </c>
      <c r="DF122" s="2" t="s">
        <v>193</v>
      </c>
      <c r="DG122" s="2" t="s">
        <v>195</v>
      </c>
      <c r="DH122" s="2" t="s">
        <v>195</v>
      </c>
      <c r="DI122" s="2" t="s">
        <v>194</v>
      </c>
      <c r="DJ122" s="2" t="s">
        <v>195</v>
      </c>
      <c r="DK122" s="2" t="s">
        <v>194</v>
      </c>
      <c r="DL122" s="2" t="s">
        <v>195</v>
      </c>
      <c r="DM122" s="2" t="s">
        <v>195</v>
      </c>
      <c r="DN122" s="2" t="s">
        <v>194</v>
      </c>
      <c r="DO122" s="2" t="s">
        <v>195</v>
      </c>
      <c r="DP122" s="2" t="s">
        <v>195</v>
      </c>
      <c r="DQ122" s="2" t="s">
        <v>195</v>
      </c>
      <c r="DR122" s="2" t="s">
        <v>195</v>
      </c>
      <c r="DS122" s="2" t="s">
        <v>197</v>
      </c>
      <c r="DT122" s="2" t="s">
        <v>197</v>
      </c>
      <c r="DU122" s="2" t="s">
        <v>198</v>
      </c>
      <c r="DV122" s="2" t="s">
        <v>197</v>
      </c>
      <c r="DW122" s="2" t="s">
        <v>197</v>
      </c>
      <c r="DX122" s="2" t="s">
        <v>197</v>
      </c>
      <c r="DY122" s="2" t="s">
        <v>197</v>
      </c>
      <c r="DZ122" s="2" t="s">
        <v>197</v>
      </c>
      <c r="EA122" s="2">
        <v>1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1</v>
      </c>
      <c r="EJ122" s="2">
        <v>1</v>
      </c>
      <c r="EK122" s="2">
        <v>0</v>
      </c>
      <c r="EL122" s="2">
        <v>0</v>
      </c>
      <c r="EM122" s="2">
        <v>1</v>
      </c>
      <c r="EN122" s="2">
        <v>1</v>
      </c>
      <c r="EO122" s="2">
        <v>0</v>
      </c>
      <c r="EP122" s="2">
        <v>1</v>
      </c>
      <c r="EQ122" s="2">
        <v>0</v>
      </c>
      <c r="ER122" s="2">
        <v>0</v>
      </c>
      <c r="ES122" s="2">
        <v>1</v>
      </c>
      <c r="ET122" s="2">
        <v>1</v>
      </c>
      <c r="EU122" s="2">
        <v>0</v>
      </c>
      <c r="EV122" s="2">
        <v>1</v>
      </c>
      <c r="EW122" s="2">
        <v>0</v>
      </c>
      <c r="EX122" s="2">
        <v>0</v>
      </c>
      <c r="EY122" s="2">
        <v>1</v>
      </c>
      <c r="EZ122" s="2">
        <v>1</v>
      </c>
      <c r="FA122" s="2">
        <v>0</v>
      </c>
      <c r="FB122" s="2">
        <v>1</v>
      </c>
      <c r="FC122" s="2">
        <v>0</v>
      </c>
      <c r="FD122" s="2">
        <v>0</v>
      </c>
      <c r="FE122" s="2">
        <v>0</v>
      </c>
      <c r="FF122" s="2">
        <v>1</v>
      </c>
      <c r="FG122" s="2">
        <v>0</v>
      </c>
      <c r="FH122" s="2">
        <v>1</v>
      </c>
      <c r="FI122" s="2">
        <v>0</v>
      </c>
      <c r="FJ122" s="2">
        <v>1</v>
      </c>
      <c r="FK122" s="2">
        <v>0</v>
      </c>
      <c r="FL122" s="2">
        <v>1</v>
      </c>
      <c r="FM122" s="2">
        <v>0</v>
      </c>
      <c r="FN122" s="2">
        <v>1</v>
      </c>
      <c r="FO122" s="2">
        <v>0</v>
      </c>
      <c r="FP122" s="2">
        <v>0</v>
      </c>
      <c r="FQ122" s="2">
        <v>1</v>
      </c>
      <c r="FR122" s="2">
        <v>1</v>
      </c>
      <c r="FS122" s="2">
        <v>0</v>
      </c>
      <c r="FT122" s="2">
        <v>1</v>
      </c>
      <c r="FU122" s="2">
        <v>0</v>
      </c>
      <c r="FV122" s="2">
        <v>1</v>
      </c>
      <c r="FW122" s="2">
        <v>0</v>
      </c>
      <c r="FX122" s="2">
        <v>0</v>
      </c>
      <c r="FY122" s="2">
        <v>1</v>
      </c>
      <c r="FZ122" s="2"/>
      <c r="GA122" s="2">
        <v>4</v>
      </c>
      <c r="GB122" s="2">
        <v>4</v>
      </c>
      <c r="GC122" s="2">
        <v>5</v>
      </c>
      <c r="GD122" s="2">
        <v>5</v>
      </c>
      <c r="GE122" s="2">
        <v>4</v>
      </c>
      <c r="GG122" s="2">
        <v>4</v>
      </c>
      <c r="GH122" s="2">
        <v>4</v>
      </c>
      <c r="GI122" s="2">
        <v>3</v>
      </c>
      <c r="GJ122" s="2">
        <v>3</v>
      </c>
      <c r="GK122" s="2">
        <v>2</v>
      </c>
      <c r="GM122" s="2">
        <f t="shared" si="0"/>
        <v>22</v>
      </c>
      <c r="GN122" s="2">
        <f t="shared" si="1"/>
        <v>16</v>
      </c>
      <c r="GO122" s="2"/>
      <c r="GP122" s="2">
        <v>2</v>
      </c>
      <c r="GQ122" s="2">
        <v>1</v>
      </c>
      <c r="GR122" s="2">
        <v>1</v>
      </c>
      <c r="GS122" s="2">
        <v>1</v>
      </c>
      <c r="GU122" s="2">
        <v>1</v>
      </c>
      <c r="GV122" s="2">
        <v>2</v>
      </c>
      <c r="GW122" s="2">
        <v>1</v>
      </c>
      <c r="GY122" s="2">
        <v>2</v>
      </c>
      <c r="GZ122" s="2">
        <v>2</v>
      </c>
      <c r="HA122" s="2">
        <v>2</v>
      </c>
      <c r="HB122" s="2">
        <v>2</v>
      </c>
      <c r="HD122" s="2">
        <v>2</v>
      </c>
      <c r="HE122" s="2">
        <v>2</v>
      </c>
      <c r="HF122" s="2">
        <v>0</v>
      </c>
      <c r="HH122" s="2">
        <f t="shared" si="2"/>
        <v>9</v>
      </c>
      <c r="HI122" s="2">
        <f t="shared" si="3"/>
        <v>12</v>
      </c>
      <c r="HJ122" s="2"/>
      <c r="HK122" s="2">
        <v>8</v>
      </c>
      <c r="HL122" s="2">
        <v>7</v>
      </c>
      <c r="HM122" s="2"/>
      <c r="HN122" s="2"/>
    </row>
    <row r="123" spans="1:222" ht="15.75" customHeight="1" x14ac:dyDescent="0.2">
      <c r="A123" s="3" t="e">
        <f>VLOOKUP(B123,#REF!,1,FALSE)</f>
        <v>#REF!</v>
      </c>
      <c r="B123" s="3">
        <v>44462.801528229167</v>
      </c>
      <c r="C123" s="2">
        <v>174</v>
      </c>
      <c r="D123" s="2" t="s">
        <v>185</v>
      </c>
      <c r="E123" s="2">
        <v>0</v>
      </c>
      <c r="F123" s="2" t="s">
        <v>186</v>
      </c>
      <c r="G123" s="2">
        <v>2</v>
      </c>
      <c r="H123" s="2">
        <v>0.5</v>
      </c>
      <c r="I123" s="2">
        <v>1</v>
      </c>
      <c r="J123" s="2">
        <v>6</v>
      </c>
      <c r="K123" s="2">
        <v>0</v>
      </c>
      <c r="L123" s="2">
        <v>3</v>
      </c>
      <c r="M123" s="2" t="s">
        <v>213</v>
      </c>
      <c r="N123" s="2">
        <v>2</v>
      </c>
      <c r="O123" s="2">
        <v>2</v>
      </c>
      <c r="P123" s="2">
        <v>0</v>
      </c>
      <c r="Q123" s="2" t="s">
        <v>422</v>
      </c>
      <c r="R123" s="2">
        <v>3</v>
      </c>
      <c r="S123" s="2">
        <v>1</v>
      </c>
      <c r="T123" s="2">
        <v>1</v>
      </c>
      <c r="U123" s="2">
        <v>1</v>
      </c>
      <c r="V123" s="2">
        <v>1</v>
      </c>
      <c r="W123" s="2">
        <v>1</v>
      </c>
      <c r="X123" s="2"/>
      <c r="Y123" s="2">
        <v>1</v>
      </c>
      <c r="Z123" s="2">
        <v>1</v>
      </c>
      <c r="AA123" s="2">
        <v>1</v>
      </c>
      <c r="AB123" s="2">
        <v>4</v>
      </c>
      <c r="AC123" s="2">
        <v>0</v>
      </c>
      <c r="AD123" s="2">
        <v>4</v>
      </c>
      <c r="AE123" s="2">
        <v>4</v>
      </c>
      <c r="AF123" s="2">
        <v>4</v>
      </c>
      <c r="AG123" s="2">
        <v>-2</v>
      </c>
      <c r="AH123" s="2">
        <v>3</v>
      </c>
      <c r="AI123" s="2">
        <v>3</v>
      </c>
      <c r="AJ123" s="2">
        <v>3</v>
      </c>
      <c r="AK123" s="2">
        <v>3</v>
      </c>
      <c r="AL123" s="2">
        <v>3</v>
      </c>
      <c r="AM123" s="2">
        <v>5</v>
      </c>
      <c r="AN123" s="2">
        <v>3</v>
      </c>
      <c r="AO123" s="2">
        <v>5</v>
      </c>
      <c r="AP123" s="2">
        <v>1</v>
      </c>
      <c r="AQ123" s="2">
        <v>5</v>
      </c>
      <c r="AR123" s="2">
        <v>2</v>
      </c>
      <c r="AS123" s="2">
        <v>1</v>
      </c>
      <c r="AT123" s="2">
        <v>0</v>
      </c>
      <c r="AU123" s="2">
        <v>1</v>
      </c>
      <c r="AV123" s="2"/>
      <c r="AW123" s="2">
        <v>1</v>
      </c>
      <c r="AX123" s="2">
        <v>1</v>
      </c>
      <c r="AY123" s="2">
        <v>2</v>
      </c>
      <c r="AZ123" s="2">
        <v>4</v>
      </c>
      <c r="BA123" s="2">
        <v>4</v>
      </c>
      <c r="BB123" s="2">
        <v>3</v>
      </c>
      <c r="BC123" s="2">
        <v>3</v>
      </c>
      <c r="BD123" s="2">
        <v>1</v>
      </c>
      <c r="BE123" s="2">
        <v>3</v>
      </c>
      <c r="BF123" s="2">
        <v>1</v>
      </c>
      <c r="BG123" s="2">
        <v>1</v>
      </c>
      <c r="BH123" s="2">
        <v>1</v>
      </c>
      <c r="BI123" s="2"/>
      <c r="BJ123" s="2">
        <v>2</v>
      </c>
      <c r="BK123" s="2">
        <v>1</v>
      </c>
      <c r="BL123" s="2">
        <v>2</v>
      </c>
      <c r="BM123" s="2">
        <v>8</v>
      </c>
      <c r="BN123" s="2">
        <v>9</v>
      </c>
      <c r="BO123" s="2">
        <v>9</v>
      </c>
      <c r="BP123" s="2"/>
      <c r="BQ123" s="2"/>
      <c r="BR123" s="2"/>
      <c r="BS123" s="2"/>
      <c r="BT123" s="2"/>
      <c r="BU123" s="2"/>
      <c r="BV123" s="2" t="s">
        <v>522</v>
      </c>
      <c r="BW123" s="2" t="s">
        <v>523</v>
      </c>
      <c r="BX123" s="2" t="s">
        <v>190</v>
      </c>
      <c r="BY123" s="2" t="s">
        <v>190</v>
      </c>
      <c r="BZ123" s="2" t="s">
        <v>191</v>
      </c>
      <c r="CA123" s="2" t="s">
        <v>190</v>
      </c>
      <c r="CB123" s="2" t="s">
        <v>190</v>
      </c>
      <c r="CC123" s="2" t="s">
        <v>191</v>
      </c>
      <c r="CD123" s="2" t="s">
        <v>189</v>
      </c>
      <c r="CE123" s="2" t="s">
        <v>189</v>
      </c>
      <c r="CF123" s="2" t="s">
        <v>189</v>
      </c>
      <c r="CG123" s="2" t="s">
        <v>189</v>
      </c>
      <c r="CH123" s="2" t="s">
        <v>189</v>
      </c>
      <c r="CI123" s="2" t="s">
        <v>189</v>
      </c>
      <c r="CJ123" s="2" t="s">
        <v>189</v>
      </c>
      <c r="CK123" s="2" t="s">
        <v>189</v>
      </c>
      <c r="CL123" s="2" t="s">
        <v>191</v>
      </c>
      <c r="CM123" s="2" t="s">
        <v>193</v>
      </c>
      <c r="CN123" s="2" t="s">
        <v>192</v>
      </c>
      <c r="CO123" s="2" t="s">
        <v>192</v>
      </c>
      <c r="CP123" s="2" t="s">
        <v>193</v>
      </c>
      <c r="CQ123" s="2" t="s">
        <v>193</v>
      </c>
      <c r="CR123" s="2" t="s">
        <v>193</v>
      </c>
      <c r="CS123" s="2" t="s">
        <v>192</v>
      </c>
      <c r="CT123" s="2" t="s">
        <v>192</v>
      </c>
      <c r="CU123" s="2" t="s">
        <v>192</v>
      </c>
      <c r="CV123" s="2" t="s">
        <v>192</v>
      </c>
      <c r="CW123" s="2" t="s">
        <v>193</v>
      </c>
      <c r="CX123" s="2" t="s">
        <v>200</v>
      </c>
      <c r="CY123" s="2" t="s">
        <v>192</v>
      </c>
      <c r="CZ123" s="2" t="s">
        <v>192</v>
      </c>
      <c r="DA123" s="2" t="s">
        <v>192</v>
      </c>
      <c r="DB123" s="2" t="s">
        <v>192</v>
      </c>
      <c r="DC123" s="2" t="s">
        <v>192</v>
      </c>
      <c r="DD123" s="2" t="s">
        <v>192</v>
      </c>
      <c r="DE123" s="2" t="s">
        <v>192</v>
      </c>
      <c r="DF123" s="2" t="s">
        <v>192</v>
      </c>
      <c r="DG123" s="2" t="s">
        <v>195</v>
      </c>
      <c r="DH123" s="2" t="s">
        <v>194</v>
      </c>
      <c r="DI123" s="2" t="s">
        <v>195</v>
      </c>
      <c r="DJ123" s="2" t="s">
        <v>194</v>
      </c>
      <c r="DK123" s="2" t="s">
        <v>194</v>
      </c>
      <c r="DL123" s="2" t="s">
        <v>194</v>
      </c>
      <c r="DM123" s="2" t="s">
        <v>194</v>
      </c>
      <c r="DN123" s="2" t="s">
        <v>194</v>
      </c>
      <c r="DO123" s="2" t="s">
        <v>196</v>
      </c>
      <c r="DP123" s="2" t="s">
        <v>194</v>
      </c>
      <c r="DQ123" s="2" t="s">
        <v>194</v>
      </c>
      <c r="DR123" s="2" t="s">
        <v>196</v>
      </c>
      <c r="DS123" s="2" t="s">
        <v>197</v>
      </c>
      <c r="DT123" s="2" t="s">
        <v>221</v>
      </c>
      <c r="DU123" s="2" t="s">
        <v>221</v>
      </c>
      <c r="DV123" s="2" t="s">
        <v>197</v>
      </c>
      <c r="DW123" s="2" t="s">
        <v>197</v>
      </c>
      <c r="DX123" s="2" t="s">
        <v>197</v>
      </c>
      <c r="DY123" s="2" t="s">
        <v>197</v>
      </c>
      <c r="DZ123" s="2"/>
      <c r="EA123" s="2">
        <v>0</v>
      </c>
      <c r="EB123" s="2">
        <v>0</v>
      </c>
      <c r="EC123" s="2">
        <v>1</v>
      </c>
      <c r="ED123" s="2">
        <v>1</v>
      </c>
      <c r="EE123" s="2">
        <v>0</v>
      </c>
      <c r="EF123" s="2">
        <v>0</v>
      </c>
      <c r="EG123" s="2">
        <v>0</v>
      </c>
      <c r="EH123" s="2">
        <v>1</v>
      </c>
      <c r="EI123" s="2">
        <v>1</v>
      </c>
      <c r="EJ123" s="2">
        <v>1</v>
      </c>
      <c r="EK123" s="2">
        <v>1</v>
      </c>
      <c r="EL123" s="2">
        <v>1</v>
      </c>
      <c r="EM123" s="2">
        <v>1</v>
      </c>
      <c r="EN123" s="2">
        <v>1</v>
      </c>
      <c r="EO123" s="2">
        <v>0</v>
      </c>
      <c r="EP123" s="2">
        <v>1</v>
      </c>
      <c r="EQ123" s="2">
        <v>1</v>
      </c>
      <c r="ER123" s="2">
        <v>1</v>
      </c>
      <c r="ES123" s="2">
        <v>1</v>
      </c>
      <c r="ET123" s="2">
        <v>1</v>
      </c>
      <c r="EU123" s="2">
        <v>1</v>
      </c>
      <c r="EV123" s="2">
        <v>1</v>
      </c>
      <c r="EW123" s="2">
        <v>1</v>
      </c>
      <c r="EX123" s="2">
        <v>1</v>
      </c>
      <c r="EY123" s="2">
        <v>1</v>
      </c>
      <c r="EZ123" s="2">
        <v>0</v>
      </c>
      <c r="FA123" s="2">
        <v>0</v>
      </c>
      <c r="FB123" s="2">
        <v>1</v>
      </c>
      <c r="FC123" s="2">
        <v>1</v>
      </c>
      <c r="FD123" s="2">
        <v>0</v>
      </c>
      <c r="FE123" s="2">
        <v>0</v>
      </c>
      <c r="FF123" s="2">
        <v>0</v>
      </c>
      <c r="FG123" s="2">
        <v>0</v>
      </c>
      <c r="FH123" s="2">
        <v>1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1</v>
      </c>
      <c r="FO123" s="2">
        <v>1</v>
      </c>
      <c r="FP123" s="2">
        <v>1</v>
      </c>
      <c r="FQ123" s="2">
        <v>1</v>
      </c>
      <c r="FR123" s="2">
        <v>1</v>
      </c>
      <c r="FS123" s="2">
        <v>1</v>
      </c>
      <c r="FT123" s="2">
        <v>1</v>
      </c>
      <c r="FU123" s="2">
        <v>1</v>
      </c>
      <c r="FV123" s="2">
        <v>1</v>
      </c>
      <c r="FW123" s="2">
        <v>1</v>
      </c>
      <c r="FX123" s="2">
        <v>1</v>
      </c>
      <c r="FY123" s="2">
        <v>1</v>
      </c>
      <c r="FZ123" s="2"/>
      <c r="GA123" s="2">
        <v>5</v>
      </c>
      <c r="GB123" s="2">
        <v>3</v>
      </c>
      <c r="GC123" s="2">
        <v>5</v>
      </c>
      <c r="GD123" s="2">
        <v>1</v>
      </c>
      <c r="GE123" s="2">
        <v>5</v>
      </c>
      <c r="GG123" s="2">
        <v>4</v>
      </c>
      <c r="GH123" s="2">
        <v>4</v>
      </c>
      <c r="GI123" s="2">
        <v>3</v>
      </c>
      <c r="GJ123" s="2">
        <v>3</v>
      </c>
      <c r="GK123" s="2">
        <v>1</v>
      </c>
      <c r="GM123" s="2">
        <f t="shared" si="0"/>
        <v>19</v>
      </c>
      <c r="GN123" s="2">
        <f t="shared" si="1"/>
        <v>15</v>
      </c>
      <c r="GO123" s="2"/>
      <c r="GP123" s="2">
        <v>2</v>
      </c>
      <c r="GQ123" s="2">
        <v>1</v>
      </c>
      <c r="GR123" s="2">
        <v>0</v>
      </c>
      <c r="GS123" s="2">
        <v>1</v>
      </c>
      <c r="GU123" s="2">
        <v>1</v>
      </c>
      <c r="GV123" s="2">
        <v>1</v>
      </c>
      <c r="GW123" s="2">
        <v>2</v>
      </c>
      <c r="GY123" s="2">
        <v>3</v>
      </c>
      <c r="GZ123" s="2">
        <v>1</v>
      </c>
      <c r="HA123" s="2">
        <v>1</v>
      </c>
      <c r="HB123" s="2">
        <v>1</v>
      </c>
      <c r="HD123" s="2">
        <v>2</v>
      </c>
      <c r="HE123" s="2">
        <v>1</v>
      </c>
      <c r="HF123" s="2">
        <v>2</v>
      </c>
      <c r="HH123" s="2">
        <f t="shared" si="2"/>
        <v>8</v>
      </c>
      <c r="HI123" s="2">
        <f t="shared" si="3"/>
        <v>11</v>
      </c>
      <c r="HJ123" s="2"/>
      <c r="HK123" s="2">
        <v>9</v>
      </c>
      <c r="HL123" s="2">
        <v>9</v>
      </c>
      <c r="HM123" s="2"/>
      <c r="HN123" s="2"/>
    </row>
    <row r="124" spans="1:222" ht="15.75" customHeight="1" x14ac:dyDescent="0.2">
      <c r="A124" s="3" t="e">
        <f>VLOOKUP(B124,#REF!,1,FALSE)</f>
        <v>#REF!</v>
      </c>
      <c r="B124" s="3">
        <v>44462.878492962962</v>
      </c>
      <c r="C124" s="2">
        <v>175</v>
      </c>
      <c r="D124" s="2" t="s">
        <v>185</v>
      </c>
      <c r="E124" s="2">
        <v>0</v>
      </c>
      <c r="F124" s="2" t="s">
        <v>232</v>
      </c>
      <c r="G124" s="2">
        <v>15</v>
      </c>
      <c r="H124" s="2">
        <v>2</v>
      </c>
      <c r="I124" s="2">
        <v>1</v>
      </c>
      <c r="J124" s="2">
        <v>6</v>
      </c>
      <c r="K124" s="2">
        <v>1</v>
      </c>
      <c r="L124" s="2">
        <v>5</v>
      </c>
      <c r="M124" s="2" t="s">
        <v>213</v>
      </c>
      <c r="N124" s="2">
        <v>3</v>
      </c>
      <c r="O124" s="2">
        <v>4</v>
      </c>
      <c r="P124" s="2">
        <v>0</v>
      </c>
      <c r="Q124" s="2">
        <v>0</v>
      </c>
      <c r="R124" s="2">
        <v>3</v>
      </c>
      <c r="S124" s="2">
        <v>0</v>
      </c>
      <c r="T124" s="2">
        <v>-1</v>
      </c>
      <c r="U124" s="2">
        <v>-1</v>
      </c>
      <c r="V124" s="2">
        <v>-1</v>
      </c>
      <c r="W124" s="2">
        <v>-1</v>
      </c>
      <c r="X124" s="2"/>
      <c r="Y124" s="2">
        <v>-1</v>
      </c>
      <c r="Z124" s="2">
        <v>1</v>
      </c>
      <c r="AA124" s="2">
        <v>1</v>
      </c>
      <c r="AB124" s="2">
        <v>2</v>
      </c>
      <c r="AC124" s="2">
        <v>1</v>
      </c>
      <c r="AD124" s="2">
        <v>2</v>
      </c>
      <c r="AE124" s="2">
        <v>2</v>
      </c>
      <c r="AF124" s="2">
        <v>2</v>
      </c>
      <c r="AG124" s="2">
        <v>1</v>
      </c>
      <c r="AH124" s="2">
        <v>1</v>
      </c>
      <c r="AI124" s="2">
        <v>-1</v>
      </c>
      <c r="AJ124" s="2">
        <v>2</v>
      </c>
      <c r="AK124" s="2">
        <v>2</v>
      </c>
      <c r="AL124" s="2">
        <v>2</v>
      </c>
      <c r="AM124" s="2">
        <v>4</v>
      </c>
      <c r="AN124" s="2">
        <v>4</v>
      </c>
      <c r="AO124" s="2">
        <v>4</v>
      </c>
      <c r="AP124" s="2">
        <v>4</v>
      </c>
      <c r="AQ124" s="2">
        <v>4</v>
      </c>
      <c r="AR124" s="2">
        <v>3</v>
      </c>
      <c r="AS124" s="2">
        <v>1</v>
      </c>
      <c r="AT124" s="2">
        <v>2</v>
      </c>
      <c r="AU124" s="2">
        <v>2</v>
      </c>
      <c r="AV124" s="2"/>
      <c r="AW124" s="2">
        <v>2</v>
      </c>
      <c r="AX124" s="2">
        <v>0</v>
      </c>
      <c r="AY124" s="2">
        <v>2</v>
      </c>
      <c r="AZ124" s="2">
        <v>4</v>
      </c>
      <c r="BA124" s="2">
        <v>4</v>
      </c>
      <c r="BB124" s="2">
        <v>4</v>
      </c>
      <c r="BC124" s="2">
        <v>4</v>
      </c>
      <c r="BD124" s="2">
        <v>4</v>
      </c>
      <c r="BE124" s="2">
        <v>3</v>
      </c>
      <c r="BF124" s="2">
        <v>1</v>
      </c>
      <c r="BG124" s="2">
        <v>2</v>
      </c>
      <c r="BH124" s="2">
        <v>2</v>
      </c>
      <c r="BI124" s="2"/>
      <c r="BJ124" s="2">
        <v>2</v>
      </c>
      <c r="BK124" s="2">
        <v>0</v>
      </c>
      <c r="BL124" s="2">
        <v>2</v>
      </c>
      <c r="BM124" s="2">
        <v>9</v>
      </c>
      <c r="BN124" s="2">
        <v>9</v>
      </c>
      <c r="BO124" s="2">
        <v>10</v>
      </c>
      <c r="BP124" s="2"/>
      <c r="BQ124" s="2"/>
      <c r="BR124" s="2"/>
      <c r="BS124" s="2"/>
      <c r="BT124" s="2"/>
      <c r="BU124" s="2"/>
      <c r="BV124" s="2"/>
      <c r="BW124" s="2"/>
      <c r="BX124" s="2" t="s">
        <v>190</v>
      </c>
      <c r="BY124" s="2" t="s">
        <v>190</v>
      </c>
      <c r="BZ124" s="2" t="s">
        <v>190</v>
      </c>
      <c r="CA124" s="2" t="s">
        <v>190</v>
      </c>
      <c r="CB124" s="2" t="s">
        <v>190</v>
      </c>
      <c r="CC124" s="2" t="s">
        <v>190</v>
      </c>
      <c r="CD124" s="2" t="s">
        <v>190</v>
      </c>
      <c r="CE124" s="2" t="s">
        <v>190</v>
      </c>
      <c r="CF124" s="2" t="s">
        <v>190</v>
      </c>
      <c r="CG124" s="2" t="s">
        <v>190</v>
      </c>
      <c r="CH124" s="2" t="s">
        <v>190</v>
      </c>
      <c r="CI124" s="2" t="s">
        <v>190</v>
      </c>
      <c r="CJ124" s="2" t="s">
        <v>190</v>
      </c>
      <c r="CK124" s="2" t="s">
        <v>190</v>
      </c>
      <c r="CL124" s="2" t="s">
        <v>190</v>
      </c>
      <c r="CM124" s="2" t="s">
        <v>192</v>
      </c>
      <c r="CN124" s="2" t="s">
        <v>192</v>
      </c>
      <c r="CO124" s="2" t="s">
        <v>192</v>
      </c>
      <c r="CP124" s="2" t="s">
        <v>192</v>
      </c>
      <c r="CQ124" s="2" t="s">
        <v>192</v>
      </c>
      <c r="CR124" s="2" t="s">
        <v>192</v>
      </c>
      <c r="CS124" s="2" t="s">
        <v>192</v>
      </c>
      <c r="CT124" s="2" t="s">
        <v>192</v>
      </c>
      <c r="CU124" s="2" t="s">
        <v>192</v>
      </c>
      <c r="CV124" s="2" t="s">
        <v>193</v>
      </c>
      <c r="CW124" s="2" t="s">
        <v>192</v>
      </c>
      <c r="CX124" s="2" t="s">
        <v>192</v>
      </c>
      <c r="CY124" s="2" t="s">
        <v>192</v>
      </c>
      <c r="CZ124" s="2" t="s">
        <v>192</v>
      </c>
      <c r="DA124" s="2" t="s">
        <v>192</v>
      </c>
      <c r="DB124" s="2" t="s">
        <v>192</v>
      </c>
      <c r="DC124" s="2" t="s">
        <v>192</v>
      </c>
      <c r="DD124" s="2" t="s">
        <v>192</v>
      </c>
      <c r="DE124" s="2" t="s">
        <v>192</v>
      </c>
      <c r="DF124" s="2" t="s">
        <v>192</v>
      </c>
      <c r="DG124" s="2" t="s">
        <v>194</v>
      </c>
      <c r="DH124" s="2" t="s">
        <v>194</v>
      </c>
      <c r="DI124" s="2" t="s">
        <v>194</v>
      </c>
      <c r="DJ124" s="2" t="s">
        <v>194</v>
      </c>
      <c r="DK124" s="2" t="s">
        <v>194</v>
      </c>
      <c r="DL124" s="2" t="s">
        <v>194</v>
      </c>
      <c r="DM124" s="2" t="s">
        <v>194</v>
      </c>
      <c r="DN124" s="2" t="s">
        <v>194</v>
      </c>
      <c r="DO124" s="2" t="s">
        <v>194</v>
      </c>
      <c r="DP124" s="2" t="s">
        <v>194</v>
      </c>
      <c r="DQ124" s="2" t="s">
        <v>194</v>
      </c>
      <c r="DR124" s="2" t="s">
        <v>194</v>
      </c>
      <c r="DS124" s="2" t="s">
        <v>222</v>
      </c>
      <c r="DT124" s="2" t="s">
        <v>199</v>
      </c>
      <c r="DU124" s="2" t="s">
        <v>197</v>
      </c>
      <c r="DV124" s="2" t="s">
        <v>197</v>
      </c>
      <c r="DW124" s="2" t="s">
        <v>197</v>
      </c>
      <c r="DX124" s="2" t="s">
        <v>199</v>
      </c>
      <c r="DY124" s="2" t="s">
        <v>199</v>
      </c>
      <c r="DZ124" s="2" t="s">
        <v>198</v>
      </c>
      <c r="EA124" s="2">
        <v>1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1</v>
      </c>
      <c r="EJ124" s="2">
        <v>1</v>
      </c>
      <c r="EK124" s="2">
        <v>0</v>
      </c>
      <c r="EL124" s="2">
        <v>0</v>
      </c>
      <c r="EM124" s="2">
        <v>1</v>
      </c>
      <c r="EN124" s="2">
        <v>1</v>
      </c>
      <c r="EO124" s="2">
        <v>0</v>
      </c>
      <c r="EP124" s="2">
        <v>0</v>
      </c>
      <c r="EQ124" s="2">
        <v>1</v>
      </c>
      <c r="ER124" s="2">
        <v>0</v>
      </c>
      <c r="ES124" s="2">
        <v>1</v>
      </c>
      <c r="ET124" s="2">
        <v>0</v>
      </c>
      <c r="EU124" s="2">
        <v>1</v>
      </c>
      <c r="EV124" s="2">
        <v>0</v>
      </c>
      <c r="EW124" s="2">
        <v>1</v>
      </c>
      <c r="EX124" s="2">
        <v>0</v>
      </c>
      <c r="EY124" s="2">
        <v>1</v>
      </c>
      <c r="EZ124" s="2">
        <v>0</v>
      </c>
      <c r="FA124" s="2">
        <v>1</v>
      </c>
      <c r="FB124" s="2">
        <v>0</v>
      </c>
      <c r="FC124" s="2">
        <v>1</v>
      </c>
      <c r="FD124" s="2">
        <v>0</v>
      </c>
      <c r="FE124" s="2">
        <v>0</v>
      </c>
      <c r="FF124" s="2">
        <v>0</v>
      </c>
      <c r="FG124" s="2">
        <v>1</v>
      </c>
      <c r="FH124" s="2">
        <v>1</v>
      </c>
      <c r="FI124" s="2">
        <v>0</v>
      </c>
      <c r="FJ124" s="2">
        <v>1</v>
      </c>
      <c r="FK124" s="2">
        <v>0</v>
      </c>
      <c r="FL124" s="2">
        <v>1</v>
      </c>
      <c r="FM124" s="2">
        <v>0</v>
      </c>
      <c r="FN124" s="2">
        <v>0</v>
      </c>
      <c r="FO124" s="2">
        <v>1</v>
      </c>
      <c r="FP124" s="2">
        <v>0</v>
      </c>
      <c r="FQ124" s="2">
        <v>1</v>
      </c>
      <c r="FR124" s="2">
        <v>0</v>
      </c>
      <c r="FS124" s="2">
        <v>1</v>
      </c>
      <c r="FT124" s="2">
        <v>1</v>
      </c>
      <c r="FU124" s="2">
        <v>0</v>
      </c>
      <c r="FV124" s="2">
        <v>0</v>
      </c>
      <c r="FW124" s="2">
        <v>1</v>
      </c>
      <c r="FX124" s="2">
        <v>0</v>
      </c>
      <c r="FY124" s="2">
        <v>1</v>
      </c>
      <c r="FZ124" s="2"/>
      <c r="GA124" s="2">
        <v>4</v>
      </c>
      <c r="GB124" s="2">
        <v>4</v>
      </c>
      <c r="GC124" s="2">
        <v>4</v>
      </c>
      <c r="GD124" s="2">
        <v>4</v>
      </c>
      <c r="GE124" s="2">
        <v>4</v>
      </c>
      <c r="GG124" s="2">
        <v>4</v>
      </c>
      <c r="GH124" s="2">
        <v>4</v>
      </c>
      <c r="GI124" s="2">
        <v>4</v>
      </c>
      <c r="GJ124" s="2">
        <v>4</v>
      </c>
      <c r="GK124" s="2">
        <v>4</v>
      </c>
      <c r="GM124" s="2">
        <f t="shared" si="0"/>
        <v>20</v>
      </c>
      <c r="GN124" s="2">
        <f t="shared" si="1"/>
        <v>20</v>
      </c>
      <c r="GO124" s="2"/>
      <c r="GP124" s="2">
        <v>3</v>
      </c>
      <c r="GQ124" s="2">
        <v>1</v>
      </c>
      <c r="GR124" s="2">
        <v>2</v>
      </c>
      <c r="GS124" s="2">
        <v>2</v>
      </c>
      <c r="GU124" s="2">
        <v>2</v>
      </c>
      <c r="GV124" s="2">
        <v>0</v>
      </c>
      <c r="GW124" s="2">
        <v>2</v>
      </c>
      <c r="GY124" s="2">
        <v>3</v>
      </c>
      <c r="GZ124" s="2">
        <v>1</v>
      </c>
      <c r="HA124" s="2">
        <v>2</v>
      </c>
      <c r="HB124" s="2">
        <v>2</v>
      </c>
      <c r="HD124" s="2">
        <v>2</v>
      </c>
      <c r="HE124" s="2">
        <v>0</v>
      </c>
      <c r="HF124" s="2">
        <v>2</v>
      </c>
      <c r="HH124" s="2">
        <f t="shared" si="2"/>
        <v>12</v>
      </c>
      <c r="HI124" s="2">
        <f t="shared" si="3"/>
        <v>12</v>
      </c>
      <c r="HJ124" s="2"/>
      <c r="HK124" s="2">
        <v>9</v>
      </c>
      <c r="HL124" s="2">
        <v>10</v>
      </c>
      <c r="HM124" s="2"/>
      <c r="HN124" s="2"/>
    </row>
    <row r="125" spans="1:222" ht="15.75" customHeight="1" x14ac:dyDescent="0.2">
      <c r="A125" s="3" t="e">
        <f>VLOOKUP(B125,#REF!,1,FALSE)</f>
        <v>#REF!</v>
      </c>
      <c r="B125" s="3">
        <v>44462.89416679398</v>
      </c>
      <c r="C125" s="2">
        <v>176</v>
      </c>
      <c r="D125" s="2" t="s">
        <v>185</v>
      </c>
      <c r="E125" s="2">
        <v>0</v>
      </c>
      <c r="F125" s="2" t="s">
        <v>232</v>
      </c>
      <c r="G125" s="2">
        <v>15</v>
      </c>
      <c r="H125" s="2">
        <v>2</v>
      </c>
      <c r="I125" s="2">
        <v>0</v>
      </c>
      <c r="J125" s="2">
        <v>5</v>
      </c>
      <c r="K125" s="2">
        <v>0</v>
      </c>
      <c r="L125" s="2">
        <v>6</v>
      </c>
      <c r="M125" s="2" t="s">
        <v>213</v>
      </c>
      <c r="N125" s="2">
        <v>3</v>
      </c>
      <c r="O125" s="2">
        <v>3</v>
      </c>
      <c r="P125" s="2">
        <v>0</v>
      </c>
      <c r="Q125" s="2">
        <v>0</v>
      </c>
      <c r="R125" s="2">
        <v>3</v>
      </c>
      <c r="S125" s="2">
        <v>1</v>
      </c>
      <c r="T125" s="2">
        <v>-1</v>
      </c>
      <c r="U125" s="2">
        <v>-1</v>
      </c>
      <c r="V125" s="2">
        <v>-1</v>
      </c>
      <c r="W125" s="2">
        <v>1</v>
      </c>
      <c r="X125" s="2"/>
      <c r="Y125" s="2">
        <v>1</v>
      </c>
      <c r="Z125" s="2">
        <v>1</v>
      </c>
      <c r="AA125" s="2">
        <v>1</v>
      </c>
      <c r="AB125" s="2">
        <v>2</v>
      </c>
      <c r="AC125" s="2">
        <v>-99</v>
      </c>
      <c r="AD125" s="2">
        <v>2</v>
      </c>
      <c r="AE125" s="2">
        <v>4</v>
      </c>
      <c r="AF125" s="2">
        <v>4</v>
      </c>
      <c r="AG125" s="2">
        <v>3</v>
      </c>
      <c r="AH125" s="2">
        <v>3</v>
      </c>
      <c r="AI125" s="2">
        <v>3</v>
      </c>
      <c r="AJ125" s="2">
        <v>3</v>
      </c>
      <c r="AK125" s="2">
        <v>3</v>
      </c>
      <c r="AL125" s="2">
        <v>3</v>
      </c>
      <c r="AM125" s="2">
        <v>3</v>
      </c>
      <c r="AN125" s="2">
        <v>3</v>
      </c>
      <c r="AO125" s="2">
        <v>3</v>
      </c>
      <c r="AP125" s="2">
        <v>3</v>
      </c>
      <c r="AQ125" s="2">
        <v>2</v>
      </c>
      <c r="AR125" s="2">
        <v>0</v>
      </c>
      <c r="AS125" s="2">
        <v>0</v>
      </c>
      <c r="AT125" s="2">
        <v>1</v>
      </c>
      <c r="AU125" s="2">
        <v>1</v>
      </c>
      <c r="AV125" s="2"/>
      <c r="AW125" s="2">
        <v>2</v>
      </c>
      <c r="AX125" s="2">
        <v>0</v>
      </c>
      <c r="AY125" s="2">
        <v>0</v>
      </c>
      <c r="AZ125" s="2">
        <v>3</v>
      </c>
      <c r="BA125" s="2">
        <v>3</v>
      </c>
      <c r="BB125" s="2">
        <v>3</v>
      </c>
      <c r="BC125" s="2">
        <v>3</v>
      </c>
      <c r="BD125" s="2">
        <v>3</v>
      </c>
      <c r="BE125" s="2">
        <v>0</v>
      </c>
      <c r="BF125" s="2">
        <v>0</v>
      </c>
      <c r="BG125" s="2">
        <v>1</v>
      </c>
      <c r="BH125" s="2">
        <v>1</v>
      </c>
      <c r="BI125" s="2"/>
      <c r="BJ125" s="2">
        <v>2</v>
      </c>
      <c r="BK125" s="2">
        <v>0</v>
      </c>
      <c r="BL125" s="2">
        <v>0</v>
      </c>
      <c r="BM125" s="2">
        <v>8</v>
      </c>
      <c r="BN125" s="2">
        <v>9</v>
      </c>
      <c r="BO125" s="2">
        <v>9</v>
      </c>
      <c r="BP125" s="2"/>
      <c r="BQ125" s="2"/>
      <c r="BR125" s="2"/>
      <c r="BS125" s="2"/>
      <c r="BT125" s="2"/>
      <c r="BU125" s="2"/>
      <c r="BV125" s="2" t="s">
        <v>460</v>
      </c>
      <c r="BW125" s="2" t="s">
        <v>524</v>
      </c>
      <c r="BX125" s="2" t="s">
        <v>190</v>
      </c>
      <c r="BY125" s="2" t="s">
        <v>190</v>
      </c>
      <c r="BZ125" s="2" t="s">
        <v>190</v>
      </c>
      <c r="CA125" s="2" t="s">
        <v>190</v>
      </c>
      <c r="CB125" s="2" t="s">
        <v>188</v>
      </c>
      <c r="CC125" s="2" t="s">
        <v>190</v>
      </c>
      <c r="CD125" s="2" t="s">
        <v>190</v>
      </c>
      <c r="CE125" s="2" t="s">
        <v>190</v>
      </c>
      <c r="CF125" s="2" t="s">
        <v>190</v>
      </c>
      <c r="CG125" s="2" t="s">
        <v>191</v>
      </c>
      <c r="CH125" s="2" t="s">
        <v>190</v>
      </c>
      <c r="CI125" s="2" t="s">
        <v>191</v>
      </c>
      <c r="CJ125" s="2" t="s">
        <v>190</v>
      </c>
      <c r="CK125" s="2" t="s">
        <v>190</v>
      </c>
      <c r="CL125" s="2" t="s">
        <v>190</v>
      </c>
      <c r="CM125" s="2" t="s">
        <v>192</v>
      </c>
      <c r="CN125" s="2" t="s">
        <v>192</v>
      </c>
      <c r="CO125" s="2" t="s">
        <v>192</v>
      </c>
      <c r="CP125" s="2" t="s">
        <v>192</v>
      </c>
      <c r="CQ125" s="2" t="s">
        <v>192</v>
      </c>
      <c r="CR125" s="2" t="s">
        <v>193</v>
      </c>
      <c r="CS125" s="2" t="s">
        <v>192</v>
      </c>
      <c r="CT125" s="2" t="s">
        <v>192</v>
      </c>
      <c r="CU125" s="2" t="s">
        <v>192</v>
      </c>
      <c r="CV125" s="2" t="s">
        <v>193</v>
      </c>
      <c r="CW125" s="2" t="s">
        <v>192</v>
      </c>
      <c r="CX125" s="2" t="s">
        <v>193</v>
      </c>
      <c r="CY125" s="2" t="s">
        <v>192</v>
      </c>
      <c r="CZ125" s="2" t="s">
        <v>192</v>
      </c>
      <c r="DA125" s="2" t="s">
        <v>192</v>
      </c>
      <c r="DB125" s="2" t="s">
        <v>192</v>
      </c>
      <c r="DC125" s="2" t="s">
        <v>192</v>
      </c>
      <c r="DD125" s="2" t="s">
        <v>192</v>
      </c>
      <c r="DE125" s="2" t="s">
        <v>192</v>
      </c>
      <c r="DF125" s="2" t="s">
        <v>192</v>
      </c>
      <c r="DG125" s="2" t="s">
        <v>194</v>
      </c>
      <c r="DH125" s="2" t="s">
        <v>195</v>
      </c>
      <c r="DI125" s="2" t="s">
        <v>195</v>
      </c>
      <c r="DJ125" s="2" t="s">
        <v>195</v>
      </c>
      <c r="DK125" s="2" t="s">
        <v>194</v>
      </c>
      <c r="DL125" s="2" t="s">
        <v>195</v>
      </c>
      <c r="DM125" s="2" t="s">
        <v>195</v>
      </c>
      <c r="DN125" s="2" t="s">
        <v>196</v>
      </c>
      <c r="DO125" s="2" t="s">
        <v>196</v>
      </c>
      <c r="DP125" s="2" t="s">
        <v>195</v>
      </c>
      <c r="DQ125" s="2" t="s">
        <v>195</v>
      </c>
      <c r="DR125" s="2" t="s">
        <v>195</v>
      </c>
      <c r="DS125" s="2" t="s">
        <v>197</v>
      </c>
      <c r="DT125" s="2" t="s">
        <v>197</v>
      </c>
      <c r="DU125" s="2" t="s">
        <v>197</v>
      </c>
      <c r="DV125" s="2" t="s">
        <v>197</v>
      </c>
      <c r="DW125" s="2" t="s">
        <v>197</v>
      </c>
      <c r="DX125" s="2" t="s">
        <v>197</v>
      </c>
      <c r="DY125" s="2" t="s">
        <v>197</v>
      </c>
      <c r="DZ125" s="2" t="s">
        <v>197</v>
      </c>
      <c r="EA125" s="2">
        <v>1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1</v>
      </c>
      <c r="EQ125" s="2">
        <v>0</v>
      </c>
      <c r="ER125" s="2">
        <v>1</v>
      </c>
      <c r="ES125" s="2">
        <v>0</v>
      </c>
      <c r="ET125" s="2">
        <v>1</v>
      </c>
      <c r="EU125" s="2">
        <v>0</v>
      </c>
      <c r="EV125" s="2">
        <v>0</v>
      </c>
      <c r="EW125" s="2">
        <v>0</v>
      </c>
      <c r="EX125" s="2">
        <v>0</v>
      </c>
      <c r="EY125" s="2">
        <v>1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1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/>
      <c r="GA125" s="2">
        <v>3</v>
      </c>
      <c r="GB125" s="2">
        <v>3</v>
      </c>
      <c r="GC125" s="2">
        <v>3</v>
      </c>
      <c r="GD125" s="2">
        <v>3</v>
      </c>
      <c r="GE125" s="2">
        <v>2</v>
      </c>
      <c r="GG125" s="2">
        <v>3</v>
      </c>
      <c r="GH125" s="2">
        <v>3</v>
      </c>
      <c r="GI125" s="2">
        <v>3</v>
      </c>
      <c r="GJ125" s="2">
        <v>3</v>
      </c>
      <c r="GK125" s="2">
        <v>3</v>
      </c>
      <c r="GM125" s="2">
        <f t="shared" si="0"/>
        <v>14</v>
      </c>
      <c r="GN125" s="2">
        <f t="shared" si="1"/>
        <v>15</v>
      </c>
      <c r="GO125" s="2"/>
      <c r="GP125" s="2">
        <v>0</v>
      </c>
      <c r="GQ125" s="2">
        <v>0</v>
      </c>
      <c r="GR125" s="2">
        <v>1</v>
      </c>
      <c r="GS125" s="2">
        <v>1</v>
      </c>
      <c r="GU125" s="2">
        <v>2</v>
      </c>
      <c r="GV125" s="2">
        <v>0</v>
      </c>
      <c r="GW125" s="2">
        <v>0</v>
      </c>
      <c r="GY125" s="2">
        <v>0</v>
      </c>
      <c r="GZ125" s="2">
        <v>0</v>
      </c>
      <c r="HA125" s="2">
        <v>1</v>
      </c>
      <c r="HB125" s="2">
        <v>1</v>
      </c>
      <c r="HD125" s="2">
        <v>2</v>
      </c>
      <c r="HE125" s="2">
        <v>0</v>
      </c>
      <c r="HF125" s="2">
        <v>0</v>
      </c>
      <c r="HH125" s="2">
        <f t="shared" si="2"/>
        <v>4</v>
      </c>
      <c r="HI125" s="2">
        <f t="shared" si="3"/>
        <v>4</v>
      </c>
      <c r="HJ125" s="2"/>
      <c r="HK125" s="2">
        <v>9</v>
      </c>
      <c r="HL125" s="2">
        <v>9</v>
      </c>
      <c r="HM125" s="2"/>
      <c r="HN125" s="2"/>
    </row>
    <row r="126" spans="1:222" ht="15.75" customHeight="1" x14ac:dyDescent="0.2">
      <c r="A126" s="3" t="e">
        <f>VLOOKUP(B126,#REF!,1,FALSE)</f>
        <v>#REF!</v>
      </c>
      <c r="B126" s="3">
        <v>44462.90519597222</v>
      </c>
      <c r="C126" s="2">
        <v>177</v>
      </c>
      <c r="D126" s="2" t="s">
        <v>185</v>
      </c>
      <c r="E126" s="2">
        <v>0</v>
      </c>
      <c r="F126" s="2" t="s">
        <v>186</v>
      </c>
      <c r="G126" s="2">
        <v>2</v>
      </c>
      <c r="H126" s="2">
        <v>2</v>
      </c>
      <c r="I126" s="2">
        <v>1</v>
      </c>
      <c r="J126" s="2">
        <v>3</v>
      </c>
      <c r="K126" s="2">
        <v>0</v>
      </c>
      <c r="L126" s="2">
        <v>3</v>
      </c>
      <c r="M126" s="2" t="s">
        <v>187</v>
      </c>
      <c r="N126" s="2">
        <v>2</v>
      </c>
      <c r="O126" s="2">
        <v>2</v>
      </c>
      <c r="P126" s="2">
        <v>0</v>
      </c>
      <c r="Q126" s="2" t="s">
        <v>525</v>
      </c>
      <c r="R126" s="2">
        <v>3</v>
      </c>
      <c r="S126" s="2">
        <v>-1</v>
      </c>
      <c r="T126" s="2">
        <v>0</v>
      </c>
      <c r="U126" s="2">
        <v>0</v>
      </c>
      <c r="V126" s="2">
        <v>0</v>
      </c>
      <c r="W126" s="2">
        <v>0</v>
      </c>
      <c r="X126" s="2"/>
      <c r="Y126" s="2">
        <v>1</v>
      </c>
      <c r="Z126" s="2">
        <v>0</v>
      </c>
      <c r="AA126" s="2">
        <v>1</v>
      </c>
      <c r="AB126" s="2">
        <v>4</v>
      </c>
      <c r="AC126" s="2">
        <v>2</v>
      </c>
      <c r="AD126" s="2">
        <v>2</v>
      </c>
      <c r="AE126" s="2">
        <v>1</v>
      </c>
      <c r="AF126" s="2">
        <v>1</v>
      </c>
      <c r="AG126" s="2">
        <v>-2</v>
      </c>
      <c r="AH126" s="2">
        <v>-2</v>
      </c>
      <c r="AI126" s="2">
        <v>1</v>
      </c>
      <c r="AJ126" s="2">
        <v>1</v>
      </c>
      <c r="AK126" s="2">
        <v>3</v>
      </c>
      <c r="AL126" s="2">
        <v>2</v>
      </c>
      <c r="AM126" s="2">
        <v>3</v>
      </c>
      <c r="AN126" s="2">
        <v>3</v>
      </c>
      <c r="AO126" s="2">
        <v>3</v>
      </c>
      <c r="AP126" s="2">
        <v>2</v>
      </c>
      <c r="AQ126" s="2">
        <v>3</v>
      </c>
      <c r="AR126" s="2">
        <v>3</v>
      </c>
      <c r="AS126" s="2">
        <v>1</v>
      </c>
      <c r="AT126" s="2">
        <v>2</v>
      </c>
      <c r="AU126" s="2">
        <v>1</v>
      </c>
      <c r="AV126" s="2"/>
      <c r="AW126" s="2">
        <v>2</v>
      </c>
      <c r="AX126" s="2">
        <v>3</v>
      </c>
      <c r="AY126" s="2">
        <v>2</v>
      </c>
      <c r="AZ126" s="2">
        <v>3</v>
      </c>
      <c r="BA126" s="2">
        <v>3</v>
      </c>
      <c r="BB126" s="2">
        <v>2</v>
      </c>
      <c r="BC126" s="2">
        <v>3</v>
      </c>
      <c r="BD126" s="2">
        <v>2</v>
      </c>
      <c r="BE126" s="2">
        <v>1</v>
      </c>
      <c r="BF126" s="2">
        <v>1</v>
      </c>
      <c r="BG126" s="2">
        <v>1</v>
      </c>
      <c r="BH126" s="2">
        <v>1</v>
      </c>
      <c r="BI126" s="2"/>
      <c r="BJ126" s="2">
        <v>1</v>
      </c>
      <c r="BK126" s="2">
        <v>3</v>
      </c>
      <c r="BL126" s="2">
        <v>2</v>
      </c>
      <c r="BM126" s="2">
        <v>7</v>
      </c>
      <c r="BN126" s="2">
        <v>7</v>
      </c>
      <c r="BO126" s="2">
        <v>7</v>
      </c>
      <c r="BP126" s="2" t="s">
        <v>526</v>
      </c>
      <c r="BQ126" s="2"/>
      <c r="BR126" s="2" t="s">
        <v>527</v>
      </c>
      <c r="BS126" s="2"/>
      <c r="BT126" s="2" t="s">
        <v>224</v>
      </c>
      <c r="BU126" s="2" t="s">
        <v>224</v>
      </c>
      <c r="BV126" s="2" t="s">
        <v>528</v>
      </c>
      <c r="BW126" s="2" t="s">
        <v>529</v>
      </c>
      <c r="BX126" s="2" t="s">
        <v>191</v>
      </c>
      <c r="BY126" s="2" t="s">
        <v>188</v>
      </c>
      <c r="BZ126" s="2" t="s">
        <v>191</v>
      </c>
      <c r="CA126" s="2" t="s">
        <v>190</v>
      </c>
      <c r="CB126" s="2" t="s">
        <v>190</v>
      </c>
      <c r="CC126" s="2" t="s">
        <v>191</v>
      </c>
      <c r="CD126" s="2" t="s">
        <v>191</v>
      </c>
      <c r="CE126" s="2" t="s">
        <v>191</v>
      </c>
      <c r="CF126" s="2" t="s">
        <v>191</v>
      </c>
      <c r="CG126" s="2" t="s">
        <v>188</v>
      </c>
      <c r="CH126" s="2" t="s">
        <v>188</v>
      </c>
      <c r="CI126" s="2" t="s">
        <v>191</v>
      </c>
      <c r="CJ126" s="2" t="s">
        <v>190</v>
      </c>
      <c r="CK126" s="2" t="s">
        <v>190</v>
      </c>
      <c r="CL126" s="2" t="s">
        <v>189</v>
      </c>
      <c r="CM126" s="2" t="s">
        <v>200</v>
      </c>
      <c r="CN126" s="2" t="s">
        <v>193</v>
      </c>
      <c r="CO126" s="2" t="s">
        <v>200</v>
      </c>
      <c r="CP126" s="2" t="s">
        <v>200</v>
      </c>
      <c r="CQ126" s="2" t="s">
        <v>193</v>
      </c>
      <c r="CR126" s="2" t="s">
        <v>193</v>
      </c>
      <c r="CS126" s="2" t="s">
        <v>193</v>
      </c>
      <c r="CT126" s="2" t="s">
        <v>193</v>
      </c>
      <c r="CU126" s="2" t="s">
        <v>193</v>
      </c>
      <c r="CV126" s="2" t="s">
        <v>200</v>
      </c>
      <c r="CW126" s="2" t="s">
        <v>193</v>
      </c>
      <c r="CX126" s="2" t="s">
        <v>200</v>
      </c>
      <c r="CY126" s="2" t="s">
        <v>200</v>
      </c>
      <c r="CZ126" s="2" t="s">
        <v>200</v>
      </c>
      <c r="DA126" s="2" t="s">
        <v>200</v>
      </c>
      <c r="DB126" s="2" t="s">
        <v>200</v>
      </c>
      <c r="DC126" s="2"/>
      <c r="DD126" s="2" t="s">
        <v>200</v>
      </c>
      <c r="DE126" s="2" t="s">
        <v>200</v>
      </c>
      <c r="DF126" s="2" t="s">
        <v>193</v>
      </c>
      <c r="DG126" s="2" t="s">
        <v>195</v>
      </c>
      <c r="DH126" s="2" t="s">
        <v>195</v>
      </c>
      <c r="DI126" s="2" t="s">
        <v>195</v>
      </c>
      <c r="DJ126" s="2" t="s">
        <v>195</v>
      </c>
      <c r="DK126" s="2" t="s">
        <v>194</v>
      </c>
      <c r="DL126" s="2" t="s">
        <v>194</v>
      </c>
      <c r="DM126" s="2" t="s">
        <v>195</v>
      </c>
      <c r="DN126" s="2" t="s">
        <v>196</v>
      </c>
      <c r="DO126" s="2" t="s">
        <v>220</v>
      </c>
      <c r="DP126" s="2" t="s">
        <v>194</v>
      </c>
      <c r="DQ126" s="2" t="s">
        <v>194</v>
      </c>
      <c r="DR126" s="2" t="s">
        <v>194</v>
      </c>
      <c r="DS126" s="2" t="s">
        <v>197</v>
      </c>
      <c r="DT126" s="2" t="s">
        <v>197</v>
      </c>
      <c r="DU126" s="2"/>
      <c r="DV126" s="2" t="s">
        <v>199</v>
      </c>
      <c r="DW126" s="2" t="s">
        <v>199</v>
      </c>
      <c r="DX126" s="2" t="s">
        <v>199</v>
      </c>
      <c r="DY126" s="2" t="s">
        <v>199</v>
      </c>
      <c r="DZ126" s="2"/>
      <c r="EA126" s="2">
        <v>0</v>
      </c>
      <c r="EB126" s="2">
        <v>0</v>
      </c>
      <c r="EC126" s="2">
        <v>1</v>
      </c>
      <c r="ED126" s="2">
        <v>0</v>
      </c>
      <c r="EE126" s="2">
        <v>0</v>
      </c>
      <c r="EF126" s="2">
        <v>0</v>
      </c>
      <c r="EG126" s="2">
        <v>1</v>
      </c>
      <c r="EH126" s="2">
        <v>1</v>
      </c>
      <c r="EI126" s="2">
        <v>0</v>
      </c>
      <c r="EJ126" s="2">
        <v>1</v>
      </c>
      <c r="EK126" s="2">
        <v>0</v>
      </c>
      <c r="EL126" s="2">
        <v>1</v>
      </c>
      <c r="EM126" s="2">
        <v>0</v>
      </c>
      <c r="EN126" s="2">
        <v>0</v>
      </c>
      <c r="EO126" s="2">
        <v>1</v>
      </c>
      <c r="EP126" s="2">
        <v>0</v>
      </c>
      <c r="EQ126" s="2">
        <v>1</v>
      </c>
      <c r="ER126" s="2">
        <v>0</v>
      </c>
      <c r="ES126" s="2">
        <v>1</v>
      </c>
      <c r="ET126" s="2">
        <v>0</v>
      </c>
      <c r="EU126" s="2">
        <v>1</v>
      </c>
      <c r="EV126" s="2">
        <v>1</v>
      </c>
      <c r="EW126" s="2">
        <v>0</v>
      </c>
      <c r="EX126" s="2">
        <v>0</v>
      </c>
      <c r="EY126" s="2">
        <v>1</v>
      </c>
      <c r="EZ126" s="2">
        <v>1</v>
      </c>
      <c r="FA126" s="2">
        <v>0</v>
      </c>
      <c r="FB126" s="2">
        <v>0</v>
      </c>
      <c r="FC126" s="2">
        <v>1</v>
      </c>
      <c r="FD126" s="2">
        <v>0</v>
      </c>
      <c r="FE126" s="2">
        <v>0</v>
      </c>
      <c r="FF126" s="2">
        <v>0</v>
      </c>
      <c r="FG126" s="2">
        <v>1</v>
      </c>
      <c r="FH126" s="2">
        <v>0</v>
      </c>
      <c r="FI126" s="2">
        <v>1</v>
      </c>
      <c r="FJ126" s="2">
        <v>0</v>
      </c>
      <c r="FK126" s="2">
        <v>1</v>
      </c>
      <c r="FL126" s="2">
        <v>0</v>
      </c>
      <c r="FM126" s="2">
        <v>1</v>
      </c>
      <c r="FN126" s="2">
        <v>0</v>
      </c>
      <c r="FO126" s="2">
        <v>1</v>
      </c>
      <c r="FP126" s="2">
        <v>0</v>
      </c>
      <c r="FQ126" s="2">
        <v>1</v>
      </c>
      <c r="FR126" s="2">
        <v>0</v>
      </c>
      <c r="FS126" s="2">
        <v>1</v>
      </c>
      <c r="FT126" s="2">
        <v>0</v>
      </c>
      <c r="FU126" s="2">
        <v>1</v>
      </c>
      <c r="FV126" s="2">
        <v>0</v>
      </c>
      <c r="FW126" s="2">
        <v>1</v>
      </c>
      <c r="FX126" s="2">
        <v>0</v>
      </c>
      <c r="FY126" s="2">
        <v>1</v>
      </c>
      <c r="FZ126" s="2"/>
      <c r="GA126" s="2">
        <v>3</v>
      </c>
      <c r="GB126" s="2">
        <v>3</v>
      </c>
      <c r="GC126" s="2">
        <v>3</v>
      </c>
      <c r="GD126" s="2">
        <v>2</v>
      </c>
      <c r="GE126" s="2">
        <v>3</v>
      </c>
      <c r="GG126" s="2">
        <v>3</v>
      </c>
      <c r="GH126" s="2">
        <v>3</v>
      </c>
      <c r="GI126" s="2">
        <v>2</v>
      </c>
      <c r="GJ126" s="2">
        <v>3</v>
      </c>
      <c r="GK126" s="2">
        <v>2</v>
      </c>
      <c r="GM126" s="2">
        <f t="shared" si="0"/>
        <v>14</v>
      </c>
      <c r="GN126" s="2">
        <f t="shared" si="1"/>
        <v>13</v>
      </c>
      <c r="GO126" s="2"/>
      <c r="GP126" s="2">
        <v>3</v>
      </c>
      <c r="GQ126" s="2">
        <v>1</v>
      </c>
      <c r="GR126" s="2">
        <v>2</v>
      </c>
      <c r="GS126" s="2">
        <v>1</v>
      </c>
      <c r="GU126" s="2">
        <v>2</v>
      </c>
      <c r="GV126" s="2">
        <v>3</v>
      </c>
      <c r="GW126" s="2">
        <v>2</v>
      </c>
      <c r="GY126" s="2">
        <v>1</v>
      </c>
      <c r="GZ126" s="2">
        <v>1</v>
      </c>
      <c r="HA126" s="2">
        <v>1</v>
      </c>
      <c r="HB126" s="2">
        <v>1</v>
      </c>
      <c r="HD126" s="2">
        <v>1</v>
      </c>
      <c r="HE126" s="2">
        <v>3</v>
      </c>
      <c r="HF126" s="2">
        <v>2</v>
      </c>
      <c r="HH126" s="2">
        <f t="shared" si="2"/>
        <v>14</v>
      </c>
      <c r="HI126" s="2">
        <f t="shared" si="3"/>
        <v>10</v>
      </c>
      <c r="HJ126" s="2"/>
      <c r="HK126" s="2">
        <v>7</v>
      </c>
      <c r="HL126" s="2">
        <v>7</v>
      </c>
      <c r="HM126" s="2"/>
      <c r="HN126" s="2"/>
    </row>
    <row r="127" spans="1:222" ht="15.75" customHeight="1" x14ac:dyDescent="0.2">
      <c r="A127" s="5">
        <v>44462.906097210653</v>
      </c>
      <c r="B127" s="3">
        <v>44462.906097210645</v>
      </c>
      <c r="C127" s="2">
        <v>178</v>
      </c>
      <c r="D127" s="2" t="s">
        <v>185</v>
      </c>
      <c r="E127" s="2">
        <v>0</v>
      </c>
      <c r="F127" s="2" t="s">
        <v>186</v>
      </c>
      <c r="G127" s="2">
        <v>2</v>
      </c>
      <c r="H127" s="2">
        <v>2</v>
      </c>
      <c r="I127" s="2">
        <v>1</v>
      </c>
      <c r="J127" s="2">
        <v>3</v>
      </c>
      <c r="K127" s="2">
        <v>0</v>
      </c>
      <c r="L127" s="2">
        <v>3</v>
      </c>
      <c r="M127" s="2" t="s">
        <v>187</v>
      </c>
      <c r="N127" s="2">
        <v>2</v>
      </c>
      <c r="O127" s="2">
        <v>2</v>
      </c>
      <c r="P127" s="2">
        <v>0</v>
      </c>
      <c r="Q127" s="2">
        <v>0</v>
      </c>
      <c r="R127" s="2">
        <v>3</v>
      </c>
      <c r="S127" s="2">
        <v>-1</v>
      </c>
      <c r="T127" s="2">
        <v>-1</v>
      </c>
      <c r="U127" s="2">
        <v>-1</v>
      </c>
      <c r="V127" s="2">
        <v>-1</v>
      </c>
      <c r="W127" s="2">
        <v>-1</v>
      </c>
      <c r="X127" s="2"/>
      <c r="Y127" s="2">
        <v>-1</v>
      </c>
      <c r="Z127" s="2">
        <v>0</v>
      </c>
      <c r="AA127" s="2">
        <v>1</v>
      </c>
      <c r="AB127" s="2">
        <v>2</v>
      </c>
      <c r="AC127" s="2">
        <v>4</v>
      </c>
      <c r="AD127" s="2">
        <v>4</v>
      </c>
      <c r="AE127" s="2">
        <v>4</v>
      </c>
      <c r="AF127" s="2">
        <v>4</v>
      </c>
      <c r="AG127" s="2">
        <v>1</v>
      </c>
      <c r="AH127" s="2">
        <v>1</v>
      </c>
      <c r="AI127" s="2">
        <v>-1</v>
      </c>
      <c r="AJ127" s="2">
        <v>3</v>
      </c>
      <c r="AK127" s="2">
        <v>3</v>
      </c>
      <c r="AL127" s="2">
        <v>2</v>
      </c>
      <c r="AM127" s="2">
        <v>3</v>
      </c>
      <c r="AN127" s="2">
        <v>3</v>
      </c>
      <c r="AO127" s="2">
        <v>3</v>
      </c>
      <c r="AP127" s="2">
        <v>3</v>
      </c>
      <c r="AQ127" s="2">
        <v>3</v>
      </c>
      <c r="AR127" s="2">
        <v>3</v>
      </c>
      <c r="AS127" s="2">
        <v>1</v>
      </c>
      <c r="AT127" s="2">
        <v>0</v>
      </c>
      <c r="AU127" s="2">
        <v>1</v>
      </c>
      <c r="AV127" s="2"/>
      <c r="AW127" s="2">
        <v>0</v>
      </c>
      <c r="AX127" s="2">
        <v>0</v>
      </c>
      <c r="AY127" s="2">
        <v>2</v>
      </c>
      <c r="AZ127" s="2">
        <v>3</v>
      </c>
      <c r="BA127" s="2">
        <v>3</v>
      </c>
      <c r="BB127" s="2">
        <v>3</v>
      </c>
      <c r="BC127" s="2">
        <v>5</v>
      </c>
      <c r="BD127" s="2">
        <v>3</v>
      </c>
      <c r="BE127" s="2">
        <v>3</v>
      </c>
      <c r="BF127" s="2">
        <v>1</v>
      </c>
      <c r="BG127" s="2">
        <v>0</v>
      </c>
      <c r="BH127" s="2">
        <v>1</v>
      </c>
      <c r="BI127" s="2"/>
      <c r="BJ127" s="2">
        <v>1</v>
      </c>
      <c r="BK127" s="2">
        <v>0</v>
      </c>
      <c r="BL127" s="2">
        <v>2</v>
      </c>
      <c r="BM127" s="2">
        <v>6</v>
      </c>
      <c r="BN127" s="2">
        <v>9</v>
      </c>
      <c r="BO127" s="2">
        <v>9</v>
      </c>
      <c r="BP127" s="2"/>
      <c r="BQ127" s="2"/>
      <c r="BR127" s="2"/>
      <c r="BS127" s="2"/>
      <c r="BT127" s="2"/>
      <c r="BU127" s="2"/>
      <c r="BV127" s="2"/>
      <c r="BW127" s="2"/>
      <c r="BX127" s="2" t="s">
        <v>190</v>
      </c>
      <c r="BY127" s="2" t="s">
        <v>189</v>
      </c>
      <c r="BZ127" s="2" t="s">
        <v>190</v>
      </c>
      <c r="CA127" s="2" t="s">
        <v>190</v>
      </c>
      <c r="CB127" s="2" t="s">
        <v>188</v>
      </c>
      <c r="CC127" s="2"/>
      <c r="CD127" s="2" t="s">
        <v>189</v>
      </c>
      <c r="CE127" s="2" t="s">
        <v>189</v>
      </c>
      <c r="CF127" s="2" t="s">
        <v>188</v>
      </c>
      <c r="CG127" s="2" t="s">
        <v>190</v>
      </c>
      <c r="CH127" s="2" t="s">
        <v>188</v>
      </c>
      <c r="CI127" s="2" t="s">
        <v>190</v>
      </c>
      <c r="CJ127" s="2" t="s">
        <v>189</v>
      </c>
      <c r="CK127" s="2" t="s">
        <v>189</v>
      </c>
      <c r="CL127" s="2" t="s">
        <v>188</v>
      </c>
      <c r="CM127" s="2" t="s">
        <v>193</v>
      </c>
      <c r="CN127" s="2" t="s">
        <v>193</v>
      </c>
      <c r="CO127" s="2" t="s">
        <v>192</v>
      </c>
      <c r="CP127" s="2" t="s">
        <v>193</v>
      </c>
      <c r="CQ127" s="2" t="s">
        <v>192</v>
      </c>
      <c r="CR127" s="2" t="s">
        <v>192</v>
      </c>
      <c r="CS127" s="2" t="s">
        <v>192</v>
      </c>
      <c r="CT127" s="2" t="s">
        <v>192</v>
      </c>
      <c r="CU127" s="2" t="s">
        <v>192</v>
      </c>
      <c r="CV127" s="2" t="s">
        <v>193</v>
      </c>
      <c r="CW127" s="2" t="s">
        <v>192</v>
      </c>
      <c r="CX127" s="2" t="s">
        <v>192</v>
      </c>
      <c r="CY127" s="2" t="s">
        <v>192</v>
      </c>
      <c r="CZ127" s="2" t="s">
        <v>192</v>
      </c>
      <c r="DA127" s="2" t="s">
        <v>192</v>
      </c>
      <c r="DB127" s="2" t="s">
        <v>192</v>
      </c>
      <c r="DC127" s="2" t="s">
        <v>192</v>
      </c>
      <c r="DD127" s="2" t="s">
        <v>192</v>
      </c>
      <c r="DE127" s="2" t="s">
        <v>192</v>
      </c>
      <c r="DF127" s="2" t="s">
        <v>193</v>
      </c>
      <c r="DG127" s="2" t="s">
        <v>194</v>
      </c>
      <c r="DH127" s="2" t="s">
        <v>195</v>
      </c>
      <c r="DI127" s="2" t="s">
        <v>194</v>
      </c>
      <c r="DJ127" s="2" t="s">
        <v>194</v>
      </c>
      <c r="DK127" s="2" t="s">
        <v>194</v>
      </c>
      <c r="DL127" s="2" t="s">
        <v>194</v>
      </c>
      <c r="DM127" s="2" t="s">
        <v>194</v>
      </c>
      <c r="DN127" s="2" t="s">
        <v>196</v>
      </c>
      <c r="DO127" s="2" t="s">
        <v>194</v>
      </c>
      <c r="DP127" s="2" t="s">
        <v>196</v>
      </c>
      <c r="DQ127" s="2" t="s">
        <v>194</v>
      </c>
      <c r="DR127" s="2" t="s">
        <v>194</v>
      </c>
      <c r="DS127" s="2" t="s">
        <v>197</v>
      </c>
      <c r="DT127" s="2" t="s">
        <v>221</v>
      </c>
      <c r="DU127" s="2" t="s">
        <v>197</v>
      </c>
      <c r="DV127" s="2" t="s">
        <v>198</v>
      </c>
      <c r="DW127" s="2" t="s">
        <v>198</v>
      </c>
      <c r="DX127" s="2" t="s">
        <v>197</v>
      </c>
      <c r="DY127" s="2" t="s">
        <v>198</v>
      </c>
      <c r="DZ127" s="2"/>
      <c r="EA127" s="2">
        <v>1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1</v>
      </c>
      <c r="EJ127" s="2">
        <v>1</v>
      </c>
      <c r="EK127" s="2">
        <v>0</v>
      </c>
      <c r="EL127" s="2">
        <v>0</v>
      </c>
      <c r="EM127" s="2">
        <v>1</v>
      </c>
      <c r="EN127" s="2">
        <v>1</v>
      </c>
      <c r="EO127" s="2">
        <v>0</v>
      </c>
      <c r="EP127" s="2">
        <v>0</v>
      </c>
      <c r="EQ127" s="2">
        <v>1</v>
      </c>
      <c r="ER127" s="2">
        <v>0</v>
      </c>
      <c r="ES127" s="2">
        <v>1</v>
      </c>
      <c r="ET127" s="2">
        <v>0</v>
      </c>
      <c r="EU127" s="2">
        <v>1</v>
      </c>
      <c r="EV127" s="2">
        <v>0</v>
      </c>
      <c r="EW127" s="2">
        <v>1</v>
      </c>
      <c r="EX127" s="2">
        <v>0</v>
      </c>
      <c r="EY127" s="2">
        <v>1</v>
      </c>
      <c r="EZ127" s="2">
        <v>0</v>
      </c>
      <c r="FA127" s="2">
        <v>1</v>
      </c>
      <c r="FB127" s="2">
        <v>0</v>
      </c>
      <c r="FC127" s="2">
        <v>1</v>
      </c>
      <c r="FD127" s="2">
        <v>0</v>
      </c>
      <c r="FE127" s="2">
        <v>0</v>
      </c>
      <c r="FF127" s="2">
        <v>0</v>
      </c>
      <c r="FG127" s="2">
        <v>1</v>
      </c>
      <c r="FH127" s="2">
        <v>0</v>
      </c>
      <c r="FI127" s="2">
        <v>1</v>
      </c>
      <c r="FJ127" s="2">
        <v>1</v>
      </c>
      <c r="FK127" s="2">
        <v>0</v>
      </c>
      <c r="FL127" s="2">
        <v>0</v>
      </c>
      <c r="FM127" s="2">
        <v>1</v>
      </c>
      <c r="FN127" s="2">
        <v>0</v>
      </c>
      <c r="FO127" s="2">
        <v>1</v>
      </c>
      <c r="FP127" s="2">
        <v>0</v>
      </c>
      <c r="FQ127" s="2">
        <v>1</v>
      </c>
      <c r="FR127" s="2">
        <v>0</v>
      </c>
      <c r="FS127" s="2">
        <v>1</v>
      </c>
      <c r="FT127" s="2">
        <v>0</v>
      </c>
      <c r="FU127" s="2">
        <v>1</v>
      </c>
      <c r="FV127" s="2">
        <v>0</v>
      </c>
      <c r="FW127" s="2">
        <v>1</v>
      </c>
      <c r="FX127" s="2">
        <v>0</v>
      </c>
      <c r="FY127" s="2">
        <v>1</v>
      </c>
      <c r="FZ127" s="2"/>
      <c r="GA127" s="2">
        <v>3</v>
      </c>
      <c r="GB127" s="2">
        <v>3</v>
      </c>
      <c r="GC127" s="2">
        <v>3</v>
      </c>
      <c r="GD127" s="2">
        <v>3</v>
      </c>
      <c r="GE127" s="2">
        <v>3</v>
      </c>
      <c r="GG127" s="2">
        <v>3</v>
      </c>
      <c r="GH127" s="2">
        <v>3</v>
      </c>
      <c r="GI127" s="2">
        <v>3</v>
      </c>
      <c r="GJ127" s="2">
        <v>5</v>
      </c>
      <c r="GK127" s="2">
        <v>3</v>
      </c>
      <c r="GM127" s="2">
        <f t="shared" si="0"/>
        <v>15</v>
      </c>
      <c r="GN127" s="2">
        <f t="shared" si="1"/>
        <v>17</v>
      </c>
      <c r="GO127" s="2"/>
      <c r="GP127" s="2">
        <v>3</v>
      </c>
      <c r="GQ127" s="2">
        <v>1</v>
      </c>
      <c r="GR127" s="2">
        <v>0</v>
      </c>
      <c r="GS127" s="2">
        <v>1</v>
      </c>
      <c r="GU127" s="2">
        <v>0</v>
      </c>
      <c r="GV127" s="2">
        <v>0</v>
      </c>
      <c r="GW127" s="2">
        <v>2</v>
      </c>
      <c r="GY127" s="2">
        <v>3</v>
      </c>
      <c r="GZ127" s="2">
        <v>1</v>
      </c>
      <c r="HA127" s="2">
        <v>0</v>
      </c>
      <c r="HB127" s="2">
        <v>1</v>
      </c>
      <c r="HD127" s="2">
        <v>1</v>
      </c>
      <c r="HE127" s="2">
        <v>0</v>
      </c>
      <c r="HF127" s="2">
        <v>2</v>
      </c>
      <c r="HH127" s="2">
        <f t="shared" si="2"/>
        <v>7</v>
      </c>
      <c r="HI127" s="2">
        <f t="shared" si="3"/>
        <v>8</v>
      </c>
      <c r="HJ127" s="2"/>
      <c r="HK127" s="2">
        <v>9</v>
      </c>
      <c r="HL127" s="2">
        <v>9</v>
      </c>
      <c r="HM127" s="2"/>
      <c r="HN127" s="2"/>
    </row>
    <row r="128" spans="1:222" ht="15.75" customHeight="1" x14ac:dyDescent="0.2">
      <c r="A128" s="3" t="e">
        <f>VLOOKUP(B128,#REF!,1,FALSE)</f>
        <v>#REF!</v>
      </c>
      <c r="B128" s="3">
        <v>44462.92334760417</v>
      </c>
      <c r="C128" s="2">
        <v>179</v>
      </c>
      <c r="D128" s="2" t="s">
        <v>185</v>
      </c>
      <c r="E128" s="2">
        <v>0</v>
      </c>
      <c r="F128" s="2" t="s">
        <v>232</v>
      </c>
      <c r="G128" s="2">
        <v>15</v>
      </c>
      <c r="H128" s="2">
        <v>2</v>
      </c>
      <c r="I128" s="2">
        <v>1</v>
      </c>
      <c r="J128" s="2">
        <v>2</v>
      </c>
      <c r="K128" s="2">
        <v>0</v>
      </c>
      <c r="L128" s="2">
        <v>5</v>
      </c>
      <c r="M128" s="2" t="s">
        <v>187</v>
      </c>
      <c r="N128" s="2">
        <v>3</v>
      </c>
      <c r="O128" s="2">
        <v>3</v>
      </c>
      <c r="P128" s="2">
        <v>0</v>
      </c>
      <c r="Q128" s="2" t="s">
        <v>530</v>
      </c>
      <c r="R128" s="2">
        <v>3</v>
      </c>
      <c r="S128" s="2">
        <v>0</v>
      </c>
      <c r="T128" s="2">
        <v>-1</v>
      </c>
      <c r="U128" s="2">
        <v>-1</v>
      </c>
      <c r="V128" s="2">
        <v>-1</v>
      </c>
      <c r="W128" s="2">
        <v>1</v>
      </c>
      <c r="X128" s="2"/>
      <c r="Y128" s="2">
        <v>-1</v>
      </c>
      <c r="Z128" s="2">
        <v>1</v>
      </c>
      <c r="AA128" s="2">
        <v>1</v>
      </c>
      <c r="AB128" s="2">
        <v>4</v>
      </c>
      <c r="AC128" s="2">
        <v>4</v>
      </c>
      <c r="AD128" s="2">
        <v>4</v>
      </c>
      <c r="AE128" s="2">
        <v>4</v>
      </c>
      <c r="AF128" s="2">
        <v>4</v>
      </c>
      <c r="AG128" s="2">
        <v>1</v>
      </c>
      <c r="AH128" s="2">
        <v>1</v>
      </c>
      <c r="AI128" s="2">
        <v>-1</v>
      </c>
      <c r="AJ128" s="2">
        <v>-1</v>
      </c>
      <c r="AK128" s="2">
        <v>-1</v>
      </c>
      <c r="AL128" s="2">
        <v>-1</v>
      </c>
      <c r="AM128" s="2">
        <v>5</v>
      </c>
      <c r="AN128" s="2">
        <v>5</v>
      </c>
      <c r="AO128" s="2">
        <v>5</v>
      </c>
      <c r="AP128" s="2">
        <v>5</v>
      </c>
      <c r="AQ128" s="2">
        <v>5</v>
      </c>
      <c r="AR128" s="2">
        <v>4</v>
      </c>
      <c r="AS128" s="2">
        <v>0</v>
      </c>
      <c r="AT128" s="2">
        <v>0</v>
      </c>
      <c r="AU128" s="2">
        <v>2</v>
      </c>
      <c r="AV128" s="2"/>
      <c r="AW128" s="2">
        <v>1</v>
      </c>
      <c r="AX128" s="2">
        <v>1</v>
      </c>
      <c r="AY128" s="2">
        <v>3</v>
      </c>
      <c r="AZ128" s="2">
        <v>2</v>
      </c>
      <c r="BA128" s="2">
        <v>2</v>
      </c>
      <c r="BB128" s="2">
        <v>2</v>
      </c>
      <c r="BC128" s="2">
        <v>2</v>
      </c>
      <c r="BD128" s="2">
        <v>1</v>
      </c>
      <c r="BE128" s="2">
        <v>4</v>
      </c>
      <c r="BF128" s="2">
        <v>0</v>
      </c>
      <c r="BG128" s="2">
        <v>0</v>
      </c>
      <c r="BH128" s="2">
        <v>2</v>
      </c>
      <c r="BI128" s="2"/>
      <c r="BJ128" s="2">
        <v>1</v>
      </c>
      <c r="BK128" s="2">
        <v>1</v>
      </c>
      <c r="BL128" s="2">
        <v>3</v>
      </c>
      <c r="BM128" s="2">
        <v>6</v>
      </c>
      <c r="BN128" s="2">
        <v>10</v>
      </c>
      <c r="BO128" s="2">
        <v>10</v>
      </c>
      <c r="BP128" s="2" t="s">
        <v>531</v>
      </c>
      <c r="BQ128" s="2" t="s">
        <v>532</v>
      </c>
      <c r="BR128" s="2" t="s">
        <v>533</v>
      </c>
      <c r="BS128" s="2" t="s">
        <v>258</v>
      </c>
      <c r="BT128" s="2" t="s">
        <v>534</v>
      </c>
      <c r="BU128" s="2" t="s">
        <v>535</v>
      </c>
      <c r="BV128" s="2" t="s">
        <v>536</v>
      </c>
      <c r="BW128" s="2" t="s">
        <v>537</v>
      </c>
      <c r="BX128" s="2" t="s">
        <v>188</v>
      </c>
      <c r="BY128" s="2" t="s">
        <v>188</v>
      </c>
      <c r="BZ128" s="2" t="s">
        <v>188</v>
      </c>
      <c r="CA128" s="2" t="s">
        <v>188</v>
      </c>
      <c r="CB128" s="2" t="s">
        <v>188</v>
      </c>
      <c r="CC128" s="2" t="s">
        <v>190</v>
      </c>
      <c r="CD128" s="2" t="s">
        <v>190</v>
      </c>
      <c r="CE128" s="2" t="s">
        <v>188</v>
      </c>
      <c r="CF128" s="2" t="s">
        <v>188</v>
      </c>
      <c r="CG128" s="2" t="s">
        <v>188</v>
      </c>
      <c r="CH128" s="2" t="s">
        <v>188</v>
      </c>
      <c r="CI128" s="2" t="s">
        <v>190</v>
      </c>
      <c r="CJ128" s="2" t="s">
        <v>188</v>
      </c>
      <c r="CK128" s="2" t="s">
        <v>189</v>
      </c>
      <c r="CL128" s="2" t="s">
        <v>191</v>
      </c>
      <c r="CM128" s="2" t="s">
        <v>200</v>
      </c>
      <c r="CN128" s="2" t="s">
        <v>200</v>
      </c>
      <c r="CO128" s="2" t="s">
        <v>200</v>
      </c>
      <c r="CP128" s="2" t="s">
        <v>200</v>
      </c>
      <c r="CQ128" s="2" t="s">
        <v>200</v>
      </c>
      <c r="CR128" s="2" t="s">
        <v>200</v>
      </c>
      <c r="CS128" s="2" t="s">
        <v>200</v>
      </c>
      <c r="CT128" s="2" t="s">
        <v>200</v>
      </c>
      <c r="CU128" s="2" t="s">
        <v>200</v>
      </c>
      <c r="CV128" s="2" t="s">
        <v>200</v>
      </c>
      <c r="CW128" s="2" t="s">
        <v>200</v>
      </c>
      <c r="CX128" s="2" t="s">
        <v>200</v>
      </c>
      <c r="CY128" s="2" t="s">
        <v>200</v>
      </c>
      <c r="CZ128" s="2" t="s">
        <v>200</v>
      </c>
      <c r="DA128" s="2" t="s">
        <v>200</v>
      </c>
      <c r="DB128" s="2" t="s">
        <v>200</v>
      </c>
      <c r="DC128" s="2" t="s">
        <v>192</v>
      </c>
      <c r="DD128" s="2" t="s">
        <v>200</v>
      </c>
      <c r="DE128" s="2" t="s">
        <v>200</v>
      </c>
      <c r="DF128" s="2" t="s">
        <v>200</v>
      </c>
      <c r="DG128" s="2" t="s">
        <v>195</v>
      </c>
      <c r="DH128" s="2" t="s">
        <v>195</v>
      </c>
      <c r="DI128" s="2" t="s">
        <v>195</v>
      </c>
      <c r="DJ128" s="2" t="s">
        <v>195</v>
      </c>
      <c r="DK128" s="2" t="s">
        <v>194</v>
      </c>
      <c r="DL128" s="2" t="s">
        <v>195</v>
      </c>
      <c r="DM128" s="2" t="s">
        <v>195</v>
      </c>
      <c r="DN128" s="2" t="s">
        <v>220</v>
      </c>
      <c r="DO128" s="2" t="s">
        <v>220</v>
      </c>
      <c r="DP128" s="2" t="s">
        <v>195</v>
      </c>
      <c r="DQ128" s="2" t="s">
        <v>195</v>
      </c>
      <c r="DR128" s="2" t="s">
        <v>195</v>
      </c>
      <c r="DS128" s="2" t="s">
        <v>199</v>
      </c>
      <c r="DT128" s="2" t="s">
        <v>199</v>
      </c>
      <c r="DU128" s="2" t="s">
        <v>221</v>
      </c>
      <c r="DV128" s="2" t="s">
        <v>197</v>
      </c>
      <c r="DW128" s="2" t="s">
        <v>197</v>
      </c>
      <c r="DX128" s="2" t="s">
        <v>199</v>
      </c>
      <c r="DY128" s="2" t="s">
        <v>197</v>
      </c>
      <c r="DZ128" s="2" t="s">
        <v>197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1</v>
      </c>
      <c r="EH128" s="2">
        <v>1</v>
      </c>
      <c r="EI128" s="2">
        <v>0</v>
      </c>
      <c r="EJ128" s="2">
        <v>0</v>
      </c>
      <c r="EK128" s="2">
        <v>1</v>
      </c>
      <c r="EL128" s="2">
        <v>1</v>
      </c>
      <c r="EM128" s="2">
        <v>0</v>
      </c>
      <c r="EN128" s="2">
        <v>1</v>
      </c>
      <c r="EO128" s="2">
        <v>0</v>
      </c>
      <c r="EP128" s="2">
        <v>1</v>
      </c>
      <c r="EQ128" s="2">
        <v>0</v>
      </c>
      <c r="ER128" s="2">
        <v>1</v>
      </c>
      <c r="ES128" s="2">
        <v>0</v>
      </c>
      <c r="ET128" s="2">
        <v>1</v>
      </c>
      <c r="EU128" s="2">
        <v>0</v>
      </c>
      <c r="EV128" s="2">
        <v>1</v>
      </c>
      <c r="EW128" s="2">
        <v>0</v>
      </c>
      <c r="EX128" s="2">
        <v>0</v>
      </c>
      <c r="EY128" s="2">
        <v>1</v>
      </c>
      <c r="EZ128" s="2">
        <v>0</v>
      </c>
      <c r="FA128" s="2">
        <v>1</v>
      </c>
      <c r="FB128" s="2">
        <v>0</v>
      </c>
      <c r="FC128" s="2">
        <v>1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1</v>
      </c>
      <c r="FJ128" s="2">
        <v>1</v>
      </c>
      <c r="FK128" s="2">
        <v>0</v>
      </c>
      <c r="FL128" s="2">
        <v>1</v>
      </c>
      <c r="FM128" s="2">
        <v>0</v>
      </c>
      <c r="FN128" s="2">
        <v>1</v>
      </c>
      <c r="FO128" s="2">
        <v>0</v>
      </c>
      <c r="FP128" s="2">
        <v>0</v>
      </c>
      <c r="FQ128" s="2">
        <v>1</v>
      </c>
      <c r="FR128" s="2">
        <v>0</v>
      </c>
      <c r="FS128" s="2">
        <v>1</v>
      </c>
      <c r="FT128" s="2">
        <v>0</v>
      </c>
      <c r="FU128" s="2">
        <v>1</v>
      </c>
      <c r="FV128" s="2">
        <v>0</v>
      </c>
      <c r="FW128" s="2">
        <v>1</v>
      </c>
      <c r="FX128" s="2">
        <v>0</v>
      </c>
      <c r="FY128" s="2">
        <v>1</v>
      </c>
      <c r="FZ128" s="2"/>
      <c r="GA128" s="2">
        <v>5</v>
      </c>
      <c r="GB128" s="2">
        <v>5</v>
      </c>
      <c r="GC128" s="2">
        <v>5</v>
      </c>
      <c r="GD128" s="2">
        <v>5</v>
      </c>
      <c r="GE128" s="2">
        <v>5</v>
      </c>
      <c r="GG128" s="2">
        <v>2</v>
      </c>
      <c r="GH128" s="2">
        <v>2</v>
      </c>
      <c r="GI128" s="2">
        <v>2</v>
      </c>
      <c r="GJ128" s="2">
        <v>2</v>
      </c>
      <c r="GK128" s="2">
        <v>1</v>
      </c>
      <c r="GM128" s="2">
        <f t="shared" si="0"/>
        <v>25</v>
      </c>
      <c r="GN128" s="2">
        <f t="shared" si="1"/>
        <v>9</v>
      </c>
      <c r="GO128" s="2"/>
      <c r="GP128" s="2">
        <v>4</v>
      </c>
      <c r="GQ128" s="2">
        <v>0</v>
      </c>
      <c r="GR128" s="2">
        <v>0</v>
      </c>
      <c r="GS128" s="2">
        <v>2</v>
      </c>
      <c r="GU128" s="2">
        <v>1</v>
      </c>
      <c r="GV128" s="2">
        <v>1</v>
      </c>
      <c r="GW128" s="2">
        <v>3</v>
      </c>
      <c r="GY128" s="2">
        <v>4</v>
      </c>
      <c r="GZ128" s="2">
        <v>0</v>
      </c>
      <c r="HA128" s="2">
        <v>0</v>
      </c>
      <c r="HB128" s="2">
        <v>2</v>
      </c>
      <c r="HD128" s="2">
        <v>1</v>
      </c>
      <c r="HE128" s="2">
        <v>1</v>
      </c>
      <c r="HF128" s="2">
        <v>3</v>
      </c>
      <c r="HH128" s="2">
        <f t="shared" si="2"/>
        <v>11</v>
      </c>
      <c r="HI128" s="2">
        <f t="shared" si="3"/>
        <v>11</v>
      </c>
      <c r="HJ128" s="2"/>
      <c r="HK128" s="2">
        <v>10</v>
      </c>
      <c r="HL128" s="2">
        <v>10</v>
      </c>
      <c r="HM128" s="2"/>
      <c r="HN128" s="2"/>
    </row>
    <row r="129" spans="1:222" ht="15.75" customHeight="1" x14ac:dyDescent="0.2">
      <c r="A129" s="3" t="e">
        <f>VLOOKUP(B129,#REF!,1,FALSE)</f>
        <v>#REF!</v>
      </c>
      <c r="B129" s="3">
        <v>44462.935289050925</v>
      </c>
      <c r="C129" s="2">
        <v>180</v>
      </c>
      <c r="D129" s="2" t="s">
        <v>185</v>
      </c>
      <c r="E129" s="2">
        <v>0</v>
      </c>
      <c r="F129" s="2" t="s">
        <v>186</v>
      </c>
      <c r="G129" s="2">
        <v>8</v>
      </c>
      <c r="H129" s="2">
        <v>2</v>
      </c>
      <c r="I129" s="2">
        <v>1</v>
      </c>
      <c r="J129" s="2">
        <v>4</v>
      </c>
      <c r="K129" s="2">
        <v>0</v>
      </c>
      <c r="L129" s="2">
        <v>3</v>
      </c>
      <c r="M129" s="2" t="s">
        <v>187</v>
      </c>
      <c r="N129" s="2">
        <v>3</v>
      </c>
      <c r="O129" s="2">
        <v>3</v>
      </c>
      <c r="P129" s="2">
        <v>0</v>
      </c>
      <c r="Q129" s="2">
        <v>0</v>
      </c>
      <c r="R129" s="2">
        <v>3</v>
      </c>
      <c r="S129" s="2">
        <v>-1</v>
      </c>
      <c r="T129" s="2">
        <v>-1</v>
      </c>
      <c r="U129" s="2">
        <v>-1</v>
      </c>
      <c r="V129" s="2">
        <v>-1</v>
      </c>
      <c r="W129" s="2">
        <v>-1</v>
      </c>
      <c r="X129" s="2"/>
      <c r="Y129" s="2">
        <v>-1</v>
      </c>
      <c r="Z129" s="2">
        <v>1</v>
      </c>
      <c r="AA129" s="2">
        <v>0</v>
      </c>
      <c r="AB129" s="2">
        <v>-99</v>
      </c>
      <c r="AC129" s="2">
        <v>1</v>
      </c>
      <c r="AD129" s="2">
        <v>1</v>
      </c>
      <c r="AE129" s="2">
        <v>1</v>
      </c>
      <c r="AF129" s="2">
        <v>2</v>
      </c>
      <c r="AG129" s="2">
        <v>1</v>
      </c>
      <c r="AH129" s="2">
        <v>2</v>
      </c>
      <c r="AI129" s="2">
        <v>2</v>
      </c>
      <c r="AJ129" s="2">
        <v>2</v>
      </c>
      <c r="AK129" s="2">
        <v>2</v>
      </c>
      <c r="AL129" s="2">
        <v>2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1</v>
      </c>
      <c r="AU129" s="2">
        <v>0</v>
      </c>
      <c r="AV129" s="2"/>
      <c r="AW129" s="2">
        <v>3</v>
      </c>
      <c r="AX129" s="2">
        <v>0</v>
      </c>
      <c r="AY129" s="2">
        <v>1</v>
      </c>
      <c r="AZ129" s="2">
        <v>2</v>
      </c>
      <c r="BA129" s="2">
        <v>2</v>
      </c>
      <c r="BB129" s="2">
        <v>1</v>
      </c>
      <c r="BC129" s="2">
        <v>3</v>
      </c>
      <c r="BD129" s="2">
        <v>1</v>
      </c>
      <c r="BE129" s="2">
        <v>2</v>
      </c>
      <c r="BF129" s="2">
        <v>2</v>
      </c>
      <c r="BG129" s="2">
        <v>2</v>
      </c>
      <c r="BH129" s="2">
        <v>2</v>
      </c>
      <c r="BI129" s="2"/>
      <c r="BJ129" s="2">
        <v>2</v>
      </c>
      <c r="BK129" s="2">
        <v>1</v>
      </c>
      <c r="BL129" s="2">
        <v>1</v>
      </c>
      <c r="BM129" s="2">
        <v>8</v>
      </c>
      <c r="BN129" s="2">
        <v>8</v>
      </c>
      <c r="BO129" s="2">
        <v>8</v>
      </c>
      <c r="BP129" s="2"/>
      <c r="BQ129" s="2"/>
      <c r="BR129" s="2"/>
      <c r="BS129" s="2"/>
      <c r="BT129" s="2"/>
      <c r="BU129" s="2"/>
      <c r="BV129" s="2"/>
      <c r="BW129" s="2"/>
      <c r="BX129" s="2" t="s">
        <v>191</v>
      </c>
      <c r="BY129" s="2" t="s">
        <v>191</v>
      </c>
      <c r="BZ129" s="2" t="s">
        <v>191</v>
      </c>
      <c r="CA129" s="2" t="s">
        <v>191</v>
      </c>
      <c r="CB129" s="2" t="s">
        <v>191</v>
      </c>
      <c r="CC129" s="2" t="s">
        <v>191</v>
      </c>
      <c r="CD129" s="2" t="s">
        <v>190</v>
      </c>
      <c r="CE129" s="2" t="s">
        <v>190</v>
      </c>
      <c r="CF129" s="2" t="s">
        <v>190</v>
      </c>
      <c r="CG129" s="2" t="s">
        <v>190</v>
      </c>
      <c r="CH129" s="2" t="s">
        <v>190</v>
      </c>
      <c r="CI129" s="2" t="s">
        <v>190</v>
      </c>
      <c r="CJ129" s="2" t="s">
        <v>190</v>
      </c>
      <c r="CK129" s="2" t="s">
        <v>191</v>
      </c>
      <c r="CL129" s="2" t="s">
        <v>190</v>
      </c>
      <c r="CM129" s="2" t="s">
        <v>193</v>
      </c>
      <c r="CN129" s="2" t="s">
        <v>192</v>
      </c>
      <c r="CO129" s="2" t="s">
        <v>193</v>
      </c>
      <c r="CP129" s="2" t="s">
        <v>192</v>
      </c>
      <c r="CQ129" s="2" t="s">
        <v>192</v>
      </c>
      <c r="CR129" s="2" t="s">
        <v>192</v>
      </c>
      <c r="CS129" s="2" t="s">
        <v>193</v>
      </c>
      <c r="CT129" s="2" t="s">
        <v>192</v>
      </c>
      <c r="CU129" s="2" t="s">
        <v>192</v>
      </c>
      <c r="CV129" s="2" t="s">
        <v>193</v>
      </c>
      <c r="CW129" s="2" t="s">
        <v>192</v>
      </c>
      <c r="CX129" s="2" t="s">
        <v>193</v>
      </c>
      <c r="CY129" s="2" t="s">
        <v>192</v>
      </c>
      <c r="CZ129" s="2" t="s">
        <v>192</v>
      </c>
      <c r="DA129" s="2" t="s">
        <v>192</v>
      </c>
      <c r="DB129" s="2" t="s">
        <v>192</v>
      </c>
      <c r="DC129" s="2" t="s">
        <v>192</v>
      </c>
      <c r="DD129" s="2" t="s">
        <v>193</v>
      </c>
      <c r="DE129" s="2" t="s">
        <v>192</v>
      </c>
      <c r="DF129" s="2" t="s">
        <v>192</v>
      </c>
      <c r="DG129" s="2" t="s">
        <v>194</v>
      </c>
      <c r="DH129" s="2" t="s">
        <v>194</v>
      </c>
      <c r="DI129" s="2" t="s">
        <v>195</v>
      </c>
      <c r="DJ129" s="2" t="s">
        <v>195</v>
      </c>
      <c r="DK129" s="2" t="s">
        <v>196</v>
      </c>
      <c r="DL129" s="2" t="s">
        <v>195</v>
      </c>
      <c r="DM129" s="2" t="s">
        <v>195</v>
      </c>
      <c r="DN129" s="2" t="s">
        <v>194</v>
      </c>
      <c r="DO129" s="2" t="s">
        <v>196</v>
      </c>
      <c r="DP129" s="2" t="s">
        <v>195</v>
      </c>
      <c r="DQ129" s="2" t="s">
        <v>195</v>
      </c>
      <c r="DR129" s="2" t="s">
        <v>196</v>
      </c>
      <c r="DS129" s="2" t="s">
        <v>197</v>
      </c>
      <c r="DT129" s="2" t="s">
        <v>199</v>
      </c>
      <c r="DU129" s="2" t="s">
        <v>198</v>
      </c>
      <c r="DV129" s="2" t="s">
        <v>197</v>
      </c>
      <c r="DW129" s="2" t="s">
        <v>198</v>
      </c>
      <c r="DX129" s="2" t="s">
        <v>197</v>
      </c>
      <c r="DY129" s="2" t="s">
        <v>197</v>
      </c>
      <c r="DZ129" s="2" t="s">
        <v>197</v>
      </c>
      <c r="EA129" s="2">
        <v>1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1</v>
      </c>
      <c r="EI129" s="2">
        <v>0</v>
      </c>
      <c r="EJ129" s="2">
        <v>1</v>
      </c>
      <c r="EK129" s="2">
        <v>0</v>
      </c>
      <c r="EL129" s="2">
        <v>1</v>
      </c>
      <c r="EM129" s="2">
        <v>0</v>
      </c>
      <c r="EN129" s="2">
        <v>1</v>
      </c>
      <c r="EO129" s="2">
        <v>0</v>
      </c>
      <c r="EP129" s="2">
        <v>1</v>
      </c>
      <c r="EQ129" s="2">
        <v>0</v>
      </c>
      <c r="ER129" s="2">
        <v>1</v>
      </c>
      <c r="ES129" s="2">
        <v>0</v>
      </c>
      <c r="ET129" s="2">
        <v>1</v>
      </c>
      <c r="EU129" s="2">
        <v>0</v>
      </c>
      <c r="EV129" s="2">
        <v>0</v>
      </c>
      <c r="EW129" s="2">
        <v>0</v>
      </c>
      <c r="EX129" s="2">
        <v>0</v>
      </c>
      <c r="EY129" s="2">
        <v>1</v>
      </c>
      <c r="EZ129" s="2">
        <v>1</v>
      </c>
      <c r="FA129" s="2">
        <v>0</v>
      </c>
      <c r="FB129" s="2">
        <v>1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1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1</v>
      </c>
      <c r="FO129" s="2">
        <v>0</v>
      </c>
      <c r="FP129" s="2">
        <v>1</v>
      </c>
      <c r="FQ129" s="2">
        <v>0</v>
      </c>
      <c r="FR129" s="2">
        <v>1</v>
      </c>
      <c r="FS129" s="2">
        <v>0</v>
      </c>
      <c r="FT129" s="2">
        <v>1</v>
      </c>
      <c r="FU129" s="2">
        <v>0</v>
      </c>
      <c r="FV129" s="2">
        <v>1</v>
      </c>
      <c r="FW129" s="2">
        <v>0</v>
      </c>
      <c r="FX129" s="2">
        <v>1</v>
      </c>
      <c r="FY129" s="2">
        <v>0</v>
      </c>
      <c r="FZ129" s="2"/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G129" s="2">
        <v>2</v>
      </c>
      <c r="GH129" s="2">
        <v>2</v>
      </c>
      <c r="GI129" s="2">
        <v>1</v>
      </c>
      <c r="GJ129" s="2">
        <v>3</v>
      </c>
      <c r="GK129" s="2">
        <v>1</v>
      </c>
      <c r="GM129" s="2">
        <f t="shared" si="0"/>
        <v>0</v>
      </c>
      <c r="GN129" s="2">
        <f t="shared" si="1"/>
        <v>9</v>
      </c>
      <c r="GO129" s="2"/>
      <c r="GP129" s="2">
        <v>0</v>
      </c>
      <c r="GQ129" s="2">
        <v>0</v>
      </c>
      <c r="GR129" s="2">
        <v>1</v>
      </c>
      <c r="GS129" s="2">
        <v>0</v>
      </c>
      <c r="GU129" s="2">
        <v>3</v>
      </c>
      <c r="GV129" s="2">
        <v>0</v>
      </c>
      <c r="GW129" s="2">
        <v>1</v>
      </c>
      <c r="GY129" s="2">
        <v>2</v>
      </c>
      <c r="GZ129" s="2">
        <v>2</v>
      </c>
      <c r="HA129" s="2">
        <v>2</v>
      </c>
      <c r="HB129" s="2">
        <v>2</v>
      </c>
      <c r="HD129" s="2">
        <v>2</v>
      </c>
      <c r="HE129" s="2">
        <v>1</v>
      </c>
      <c r="HF129" s="2">
        <v>1</v>
      </c>
      <c r="HH129" s="2">
        <f t="shared" si="2"/>
        <v>5</v>
      </c>
      <c r="HI129" s="2">
        <f t="shared" si="3"/>
        <v>12</v>
      </c>
      <c r="HJ129" s="2"/>
      <c r="HK129" s="2">
        <v>8</v>
      </c>
      <c r="HL129" s="2">
        <v>8</v>
      </c>
      <c r="HM129" s="2"/>
      <c r="HN129" s="2"/>
    </row>
    <row r="130" spans="1:222" ht="15.75" customHeight="1" x14ac:dyDescent="0.2">
      <c r="A130" s="3" t="e">
        <f>VLOOKUP(B130,#REF!,1,FALSE)</f>
        <v>#REF!</v>
      </c>
      <c r="B130" s="3">
        <v>44462.957557256945</v>
      </c>
      <c r="C130" s="2">
        <v>181</v>
      </c>
      <c r="D130" s="2" t="s">
        <v>185</v>
      </c>
      <c r="E130" s="2">
        <v>0</v>
      </c>
      <c r="F130" s="2" t="s">
        <v>186</v>
      </c>
      <c r="G130" s="2">
        <v>8</v>
      </c>
      <c r="H130" s="2">
        <v>8</v>
      </c>
      <c r="I130" s="2">
        <v>1</v>
      </c>
      <c r="J130" s="2">
        <v>6</v>
      </c>
      <c r="K130" s="2">
        <v>0</v>
      </c>
      <c r="L130" s="2">
        <v>3</v>
      </c>
      <c r="M130" s="2" t="s">
        <v>187</v>
      </c>
      <c r="N130" s="2">
        <v>2</v>
      </c>
      <c r="O130" s="2">
        <v>3</v>
      </c>
      <c r="P130" s="2">
        <v>0</v>
      </c>
      <c r="Q130" s="2">
        <v>3</v>
      </c>
      <c r="R130" s="2">
        <v>3</v>
      </c>
      <c r="S130" s="2">
        <v>1</v>
      </c>
      <c r="T130" s="2">
        <v>-1</v>
      </c>
      <c r="U130" s="2">
        <v>-1</v>
      </c>
      <c r="V130" s="2">
        <v>-1</v>
      </c>
      <c r="W130" s="2">
        <v>-1</v>
      </c>
      <c r="X130" s="2"/>
      <c r="Y130" s="2">
        <v>-1</v>
      </c>
      <c r="Z130" s="2">
        <v>1</v>
      </c>
      <c r="AA130" s="2">
        <v>1</v>
      </c>
      <c r="AB130" s="2">
        <v>2</v>
      </c>
      <c r="AC130" s="2">
        <v>0</v>
      </c>
      <c r="AD130" s="2">
        <v>2</v>
      </c>
      <c r="AE130" s="2">
        <v>4</v>
      </c>
      <c r="AF130" s="2">
        <v>4</v>
      </c>
      <c r="AG130" s="2">
        <v>3</v>
      </c>
      <c r="AH130" s="2">
        <v>1</v>
      </c>
      <c r="AI130" s="2">
        <v>1</v>
      </c>
      <c r="AJ130" s="2">
        <v>2</v>
      </c>
      <c r="AK130" s="2">
        <v>2</v>
      </c>
      <c r="AL130" s="2">
        <v>2</v>
      </c>
      <c r="AM130" s="2">
        <v>3</v>
      </c>
      <c r="AN130" s="2">
        <v>3</v>
      </c>
      <c r="AO130" s="2">
        <v>3</v>
      </c>
      <c r="AP130" s="2">
        <v>3</v>
      </c>
      <c r="AQ130" s="2">
        <v>3</v>
      </c>
      <c r="AR130" s="2">
        <v>2</v>
      </c>
      <c r="AS130" s="2">
        <v>2</v>
      </c>
      <c r="AT130" s="2">
        <v>1</v>
      </c>
      <c r="AU130" s="2">
        <v>1</v>
      </c>
      <c r="AV130" s="2"/>
      <c r="AW130" s="2">
        <v>2</v>
      </c>
      <c r="AX130" s="2">
        <v>1</v>
      </c>
      <c r="AY130" s="2">
        <v>1</v>
      </c>
      <c r="AZ130" s="2">
        <v>2</v>
      </c>
      <c r="BA130" s="2">
        <v>2</v>
      </c>
      <c r="BB130" s="2">
        <v>2</v>
      </c>
      <c r="BC130" s="2">
        <v>3</v>
      </c>
      <c r="BD130" s="2">
        <v>0</v>
      </c>
      <c r="BE130" s="2">
        <v>2</v>
      </c>
      <c r="BF130" s="2">
        <v>1</v>
      </c>
      <c r="BG130" s="2">
        <v>1</v>
      </c>
      <c r="BH130" s="2">
        <v>2</v>
      </c>
      <c r="BI130" s="2"/>
      <c r="BJ130" s="2">
        <v>1</v>
      </c>
      <c r="BK130" s="2">
        <v>1</v>
      </c>
      <c r="BL130" s="2">
        <v>0</v>
      </c>
      <c r="BM130" s="2">
        <v>7</v>
      </c>
      <c r="BN130" s="2">
        <v>7</v>
      </c>
      <c r="BO130" s="2">
        <v>8</v>
      </c>
      <c r="BP130" s="2" t="s">
        <v>224</v>
      </c>
      <c r="BQ130" s="2"/>
      <c r="BR130" s="2" t="s">
        <v>538</v>
      </c>
      <c r="BS130" s="2" t="s">
        <v>224</v>
      </c>
      <c r="BT130" s="2" t="s">
        <v>224</v>
      </c>
      <c r="BU130" s="2" t="s">
        <v>224</v>
      </c>
      <c r="BV130" s="2" t="s">
        <v>539</v>
      </c>
      <c r="BW130" s="2" t="s">
        <v>540</v>
      </c>
      <c r="BX130" s="2" t="s">
        <v>191</v>
      </c>
      <c r="BY130" s="2" t="s">
        <v>191</v>
      </c>
      <c r="BZ130" s="2" t="s">
        <v>188</v>
      </c>
      <c r="CA130" s="2" t="s">
        <v>188</v>
      </c>
      <c r="CB130" s="2" t="s">
        <v>190</v>
      </c>
      <c r="CC130" s="2" t="s">
        <v>191</v>
      </c>
      <c r="CD130" s="2" t="s">
        <v>189</v>
      </c>
      <c r="CE130" s="2" t="s">
        <v>191</v>
      </c>
      <c r="CF130" s="2" t="s">
        <v>188</v>
      </c>
      <c r="CG130" s="2" t="s">
        <v>191</v>
      </c>
      <c r="CH130" s="2" t="s">
        <v>190</v>
      </c>
      <c r="CI130" s="2" t="s">
        <v>189</v>
      </c>
      <c r="CJ130" s="2" t="s">
        <v>190</v>
      </c>
      <c r="CK130" s="2" t="s">
        <v>189</v>
      </c>
      <c r="CL130" s="2" t="s">
        <v>189</v>
      </c>
      <c r="CM130" s="2" t="s">
        <v>192</v>
      </c>
      <c r="CN130" s="2" t="s">
        <v>192</v>
      </c>
      <c r="CO130" s="2" t="s">
        <v>200</v>
      </c>
      <c r="CP130" s="2" t="s">
        <v>192</v>
      </c>
      <c r="CQ130" s="2" t="s">
        <v>192</v>
      </c>
      <c r="CR130" s="2" t="s">
        <v>192</v>
      </c>
      <c r="CS130" s="2" t="s">
        <v>192</v>
      </c>
      <c r="CT130" s="2" t="s">
        <v>193</v>
      </c>
      <c r="CU130" s="2" t="s">
        <v>193</v>
      </c>
      <c r="CV130" s="2" t="s">
        <v>193</v>
      </c>
      <c r="CW130" s="2" t="s">
        <v>193</v>
      </c>
      <c r="CX130" s="2" t="s">
        <v>200</v>
      </c>
      <c r="CY130" s="2" t="s">
        <v>192</v>
      </c>
      <c r="CZ130" s="2" t="s">
        <v>200</v>
      </c>
      <c r="DA130" s="2" t="s">
        <v>200</v>
      </c>
      <c r="DB130" s="2" t="s">
        <v>192</v>
      </c>
      <c r="DC130" s="2" t="s">
        <v>192</v>
      </c>
      <c r="DD130" s="2" t="s">
        <v>193</v>
      </c>
      <c r="DE130" s="2" t="s">
        <v>192</v>
      </c>
      <c r="DF130" s="2" t="s">
        <v>192</v>
      </c>
      <c r="DG130" s="2" t="s">
        <v>195</v>
      </c>
      <c r="DH130" s="2" t="s">
        <v>195</v>
      </c>
      <c r="DI130" s="2" t="s">
        <v>195</v>
      </c>
      <c r="DJ130" s="2" t="s">
        <v>195</v>
      </c>
      <c r="DK130" s="2" t="s">
        <v>194</v>
      </c>
      <c r="DL130" s="2" t="s">
        <v>194</v>
      </c>
      <c r="DM130" s="2" t="s">
        <v>194</v>
      </c>
      <c r="DN130" s="2" t="s">
        <v>196</v>
      </c>
      <c r="DO130" s="2" t="s">
        <v>196</v>
      </c>
      <c r="DP130" s="2" t="s">
        <v>196</v>
      </c>
      <c r="DQ130" s="2" t="s">
        <v>195</v>
      </c>
      <c r="DR130" s="2" t="s">
        <v>195</v>
      </c>
      <c r="DS130" s="2" t="s">
        <v>197</v>
      </c>
      <c r="DT130" s="2" t="s">
        <v>198</v>
      </c>
      <c r="DU130" s="2" t="s">
        <v>197</v>
      </c>
      <c r="DV130" s="2" t="s">
        <v>197</v>
      </c>
      <c r="DW130" s="2" t="s">
        <v>198</v>
      </c>
      <c r="DX130" s="2" t="s">
        <v>198</v>
      </c>
      <c r="DY130" s="2" t="s">
        <v>197</v>
      </c>
      <c r="DZ130" s="2" t="s">
        <v>198</v>
      </c>
      <c r="EA130" s="2">
        <v>0</v>
      </c>
      <c r="EB130" s="2">
        <v>0</v>
      </c>
      <c r="EC130" s="2">
        <v>1</v>
      </c>
      <c r="ED130" s="2">
        <v>0</v>
      </c>
      <c r="EE130" s="2">
        <v>0</v>
      </c>
      <c r="EF130" s="2">
        <v>0</v>
      </c>
      <c r="EG130" s="2">
        <v>0</v>
      </c>
      <c r="EH130" s="2">
        <v>1</v>
      </c>
      <c r="EI130" s="2">
        <v>0</v>
      </c>
      <c r="EJ130" s="2">
        <v>1</v>
      </c>
      <c r="EK130" s="2">
        <v>0</v>
      </c>
      <c r="EL130" s="2">
        <v>1</v>
      </c>
      <c r="EM130" s="2">
        <v>0</v>
      </c>
      <c r="EN130" s="2">
        <v>1</v>
      </c>
      <c r="EO130" s="2">
        <v>0</v>
      </c>
      <c r="EP130" s="2">
        <v>0</v>
      </c>
      <c r="EQ130" s="2">
        <v>1</v>
      </c>
      <c r="ER130" s="2">
        <v>0</v>
      </c>
      <c r="ES130" s="2">
        <v>1</v>
      </c>
      <c r="ET130" s="2">
        <v>0</v>
      </c>
      <c r="EU130" s="2">
        <v>1</v>
      </c>
      <c r="EV130" s="2">
        <v>1</v>
      </c>
      <c r="EW130" s="2">
        <v>0</v>
      </c>
      <c r="EX130" s="2">
        <v>0</v>
      </c>
      <c r="EY130" s="2">
        <v>1</v>
      </c>
      <c r="EZ130" s="2">
        <v>0</v>
      </c>
      <c r="FA130" s="2">
        <v>1</v>
      </c>
      <c r="FB130" s="2">
        <v>1</v>
      </c>
      <c r="FC130" s="2">
        <v>0</v>
      </c>
      <c r="FD130" s="2">
        <v>0</v>
      </c>
      <c r="FE130" s="2">
        <v>0</v>
      </c>
      <c r="FF130" s="2">
        <v>1</v>
      </c>
      <c r="FG130" s="2">
        <v>0</v>
      </c>
      <c r="FH130" s="2">
        <v>1</v>
      </c>
      <c r="FI130" s="2">
        <v>0</v>
      </c>
      <c r="FJ130" s="2">
        <v>1</v>
      </c>
      <c r="FK130" s="2">
        <v>0</v>
      </c>
      <c r="FL130" s="2">
        <v>1</v>
      </c>
      <c r="FM130" s="2">
        <v>0</v>
      </c>
      <c r="FN130" s="2">
        <v>0</v>
      </c>
      <c r="FO130" s="2">
        <v>1</v>
      </c>
      <c r="FP130" s="2">
        <v>0</v>
      </c>
      <c r="FQ130" s="2">
        <v>1</v>
      </c>
      <c r="FR130" s="2">
        <v>0</v>
      </c>
      <c r="FS130" s="2">
        <v>1</v>
      </c>
      <c r="FT130" s="2">
        <v>0</v>
      </c>
      <c r="FU130" s="2">
        <v>1</v>
      </c>
      <c r="FV130" s="2">
        <v>0</v>
      </c>
      <c r="FW130" s="2">
        <v>1</v>
      </c>
      <c r="FX130" s="2">
        <v>0</v>
      </c>
      <c r="FY130" s="2">
        <v>1</v>
      </c>
      <c r="FZ130" s="2"/>
      <c r="GA130" s="2">
        <v>3</v>
      </c>
      <c r="GB130" s="2">
        <v>3</v>
      </c>
      <c r="GC130" s="2">
        <v>3</v>
      </c>
      <c r="GD130" s="2">
        <v>3</v>
      </c>
      <c r="GE130" s="2">
        <v>3</v>
      </c>
      <c r="GG130" s="2">
        <v>2</v>
      </c>
      <c r="GH130" s="2">
        <v>2</v>
      </c>
      <c r="GI130" s="2">
        <v>2</v>
      </c>
      <c r="GJ130" s="2">
        <v>3</v>
      </c>
      <c r="GK130" s="2">
        <v>0</v>
      </c>
      <c r="GM130" s="2">
        <f t="shared" si="0"/>
        <v>15</v>
      </c>
      <c r="GN130" s="2">
        <f t="shared" si="1"/>
        <v>9</v>
      </c>
      <c r="GO130" s="2"/>
      <c r="GP130" s="2">
        <v>2</v>
      </c>
      <c r="GQ130" s="2">
        <v>2</v>
      </c>
      <c r="GR130" s="2">
        <v>1</v>
      </c>
      <c r="GS130" s="2">
        <v>1</v>
      </c>
      <c r="GU130" s="2">
        <v>2</v>
      </c>
      <c r="GV130" s="2">
        <v>1</v>
      </c>
      <c r="GW130" s="2">
        <v>1</v>
      </c>
      <c r="GY130" s="2">
        <v>2</v>
      </c>
      <c r="GZ130" s="2">
        <v>1</v>
      </c>
      <c r="HA130" s="2">
        <v>1</v>
      </c>
      <c r="HB130" s="2">
        <v>2</v>
      </c>
      <c r="HD130" s="2">
        <v>1</v>
      </c>
      <c r="HE130" s="2">
        <v>1</v>
      </c>
      <c r="HF130" s="2">
        <v>0</v>
      </c>
      <c r="HH130" s="2">
        <f t="shared" si="2"/>
        <v>10</v>
      </c>
      <c r="HI130" s="2">
        <f t="shared" si="3"/>
        <v>8</v>
      </c>
      <c r="HJ130" s="2"/>
      <c r="HK130" s="2">
        <v>7</v>
      </c>
      <c r="HL130" s="2">
        <v>8</v>
      </c>
      <c r="HM130" s="2"/>
      <c r="HN130" s="2"/>
    </row>
    <row r="131" spans="1:222" ht="15.75" customHeight="1" x14ac:dyDescent="0.2">
      <c r="A131" s="3" t="e">
        <f>VLOOKUP(B131,#REF!,1,FALSE)</f>
        <v>#REF!</v>
      </c>
      <c r="B131" s="3">
        <v>44462.971064884259</v>
      </c>
      <c r="C131" s="2">
        <v>182</v>
      </c>
      <c r="D131" s="2" t="s">
        <v>185</v>
      </c>
      <c r="E131" s="2">
        <v>0</v>
      </c>
      <c r="F131" s="2" t="s">
        <v>232</v>
      </c>
      <c r="G131" s="2">
        <v>15</v>
      </c>
      <c r="H131" s="2">
        <v>2</v>
      </c>
      <c r="I131" s="2">
        <v>1</v>
      </c>
      <c r="J131" s="2">
        <v>4</v>
      </c>
      <c r="K131" s="2">
        <v>1</v>
      </c>
      <c r="L131" s="2">
        <v>6</v>
      </c>
      <c r="M131" s="2" t="s">
        <v>187</v>
      </c>
      <c r="N131" s="2">
        <v>3</v>
      </c>
      <c r="O131" s="2">
        <v>3</v>
      </c>
      <c r="P131" s="2">
        <v>0</v>
      </c>
      <c r="Q131" s="2">
        <v>0</v>
      </c>
      <c r="R131" s="2">
        <v>3</v>
      </c>
      <c r="S131" s="2">
        <v>-1</v>
      </c>
      <c r="T131" s="2">
        <v>-1</v>
      </c>
      <c r="U131" s="2">
        <v>-1</v>
      </c>
      <c r="V131" s="2">
        <v>0</v>
      </c>
      <c r="W131" s="2">
        <v>0</v>
      </c>
      <c r="X131" s="2"/>
      <c r="Y131" s="2">
        <v>-1</v>
      </c>
      <c r="Z131" s="2">
        <v>0</v>
      </c>
      <c r="AA131" s="2">
        <v>1</v>
      </c>
      <c r="AB131" s="2">
        <v>1</v>
      </c>
      <c r="AC131" s="2">
        <v>2</v>
      </c>
      <c r="AD131" s="2">
        <v>1</v>
      </c>
      <c r="AE131" s="2">
        <v>2</v>
      </c>
      <c r="AF131" s="2">
        <v>1</v>
      </c>
      <c r="AG131" s="2">
        <v>-1</v>
      </c>
      <c r="AH131" s="2">
        <v>1</v>
      </c>
      <c r="AI131" s="2">
        <v>1</v>
      </c>
      <c r="AJ131" s="2">
        <v>2</v>
      </c>
      <c r="AK131" s="2">
        <v>1</v>
      </c>
      <c r="AL131" s="2">
        <v>1</v>
      </c>
      <c r="AM131" s="2">
        <v>3</v>
      </c>
      <c r="AN131" s="2">
        <v>3</v>
      </c>
      <c r="AO131" s="2">
        <v>4</v>
      </c>
      <c r="AP131" s="2">
        <v>2</v>
      </c>
      <c r="AQ131" s="2">
        <v>3</v>
      </c>
      <c r="AR131" s="2">
        <v>2</v>
      </c>
      <c r="AS131" s="2">
        <v>1</v>
      </c>
      <c r="AT131" s="2">
        <v>0</v>
      </c>
      <c r="AU131" s="2">
        <v>1</v>
      </c>
      <c r="AV131" s="2"/>
      <c r="AW131" s="2">
        <v>0</v>
      </c>
      <c r="AX131" s="2">
        <v>3</v>
      </c>
      <c r="AY131" s="2">
        <v>0</v>
      </c>
      <c r="AZ131" s="2">
        <v>2</v>
      </c>
      <c r="BA131" s="2">
        <v>3</v>
      </c>
      <c r="BB131" s="2">
        <v>3</v>
      </c>
      <c r="BC131" s="2">
        <v>4</v>
      </c>
      <c r="BD131" s="2">
        <v>3</v>
      </c>
      <c r="BE131" s="2">
        <v>2</v>
      </c>
      <c r="BF131" s="2">
        <v>1</v>
      </c>
      <c r="BG131" s="2">
        <v>1</v>
      </c>
      <c r="BH131" s="2">
        <v>1</v>
      </c>
      <c r="BI131" s="2"/>
      <c r="BJ131" s="2">
        <v>2</v>
      </c>
      <c r="BK131" s="2">
        <v>3</v>
      </c>
      <c r="BL131" s="2">
        <v>0</v>
      </c>
      <c r="BM131" s="2">
        <v>8</v>
      </c>
      <c r="BN131" s="2">
        <v>8</v>
      </c>
      <c r="BO131" s="2">
        <v>8</v>
      </c>
      <c r="BP131" s="2"/>
      <c r="BQ131" s="2"/>
      <c r="BR131" s="2"/>
      <c r="BS131" s="2"/>
      <c r="BT131" s="2"/>
      <c r="BU131" s="2"/>
      <c r="BV131" s="2"/>
      <c r="BW131" s="2"/>
      <c r="BX131" s="2" t="s">
        <v>191</v>
      </c>
      <c r="BY131" s="2" t="s">
        <v>188</v>
      </c>
      <c r="BZ131" s="2" t="s">
        <v>191</v>
      </c>
      <c r="CA131" s="2" t="s">
        <v>191</v>
      </c>
      <c r="CB131" s="2" t="s">
        <v>188</v>
      </c>
      <c r="CC131" s="2" t="s">
        <v>188</v>
      </c>
      <c r="CD131" s="2" t="s">
        <v>190</v>
      </c>
      <c r="CE131" s="2" t="s">
        <v>190</v>
      </c>
      <c r="CF131" s="2" t="s">
        <v>191</v>
      </c>
      <c r="CG131" s="2" t="s">
        <v>191</v>
      </c>
      <c r="CH131" s="2" t="s">
        <v>190</v>
      </c>
      <c r="CI131" s="2" t="s">
        <v>189</v>
      </c>
      <c r="CJ131" s="2" t="s">
        <v>189</v>
      </c>
      <c r="CK131" s="2" t="s">
        <v>190</v>
      </c>
      <c r="CL131" s="2" t="s">
        <v>190</v>
      </c>
      <c r="CM131" s="2" t="s">
        <v>193</v>
      </c>
      <c r="CN131" s="2" t="s">
        <v>193</v>
      </c>
      <c r="CO131" s="2" t="s">
        <v>200</v>
      </c>
      <c r="CP131" s="2" t="s">
        <v>193</v>
      </c>
      <c r="CQ131" s="2" t="s">
        <v>193</v>
      </c>
      <c r="CR131" s="2" t="s">
        <v>200</v>
      </c>
      <c r="CS131" s="2" t="s">
        <v>200</v>
      </c>
      <c r="CT131" s="2" t="s">
        <v>193</v>
      </c>
      <c r="CU131" s="2" t="s">
        <v>192</v>
      </c>
      <c r="CV131" s="2" t="s">
        <v>193</v>
      </c>
      <c r="CW131" s="2" t="s">
        <v>193</v>
      </c>
      <c r="CX131" s="2" t="s">
        <v>193</v>
      </c>
      <c r="CY131" s="2" t="s">
        <v>193</v>
      </c>
      <c r="CZ131" s="2" t="s">
        <v>193</v>
      </c>
      <c r="DA131" s="2" t="s">
        <v>200</v>
      </c>
      <c r="DB131" s="2" t="s">
        <v>193</v>
      </c>
      <c r="DC131" s="2" t="s">
        <v>200</v>
      </c>
      <c r="DD131" s="2" t="s">
        <v>192</v>
      </c>
      <c r="DE131" s="2" t="s">
        <v>193</v>
      </c>
      <c r="DF131" s="2" t="s">
        <v>193</v>
      </c>
      <c r="DG131" s="2" t="s">
        <v>196</v>
      </c>
      <c r="DH131" s="2" t="s">
        <v>195</v>
      </c>
      <c r="DI131" s="2" t="s">
        <v>195</v>
      </c>
      <c r="DJ131" s="2" t="s">
        <v>195</v>
      </c>
      <c r="DK131" s="2" t="s">
        <v>194</v>
      </c>
      <c r="DL131" s="2" t="s">
        <v>195</v>
      </c>
      <c r="DM131" s="2" t="s">
        <v>195</v>
      </c>
      <c r="DN131" s="2" t="s">
        <v>196</v>
      </c>
      <c r="DO131" s="2" t="s">
        <v>220</v>
      </c>
      <c r="DP131" s="2" t="s">
        <v>195</v>
      </c>
      <c r="DQ131" s="2" t="s">
        <v>195</v>
      </c>
      <c r="DR131" s="2" t="s">
        <v>194</v>
      </c>
      <c r="DS131" s="2" t="s">
        <v>197</v>
      </c>
      <c r="DT131" s="2" t="s">
        <v>199</v>
      </c>
      <c r="DU131" s="2" t="s">
        <v>199</v>
      </c>
      <c r="DV131" s="2" t="s">
        <v>197</v>
      </c>
      <c r="DW131" s="2" t="s">
        <v>198</v>
      </c>
      <c r="DX131" s="2" t="s">
        <v>198</v>
      </c>
      <c r="DY131" s="2" t="s">
        <v>198</v>
      </c>
      <c r="DZ131" s="2"/>
      <c r="EA131" s="2">
        <v>1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1</v>
      </c>
      <c r="EL131" s="2">
        <v>0</v>
      </c>
      <c r="EM131" s="2">
        <v>1</v>
      </c>
      <c r="EN131" s="2">
        <v>1</v>
      </c>
      <c r="EO131" s="2">
        <v>0</v>
      </c>
      <c r="EP131" s="2">
        <v>1</v>
      </c>
      <c r="EQ131" s="2">
        <v>0</v>
      </c>
      <c r="ER131" s="2">
        <v>0</v>
      </c>
      <c r="ES131" s="2">
        <v>1</v>
      </c>
      <c r="ET131" s="2">
        <v>0</v>
      </c>
      <c r="EU131" s="2">
        <v>1</v>
      </c>
      <c r="EV131" s="2">
        <v>1</v>
      </c>
      <c r="EW131" s="2">
        <v>0</v>
      </c>
      <c r="EX131" s="2">
        <v>0</v>
      </c>
      <c r="EY131" s="2">
        <v>1</v>
      </c>
      <c r="EZ131" s="2">
        <v>0</v>
      </c>
      <c r="FA131" s="2">
        <v>0</v>
      </c>
      <c r="FB131" s="2">
        <v>1</v>
      </c>
      <c r="FC131" s="2">
        <v>0</v>
      </c>
      <c r="FD131" s="2">
        <v>0</v>
      </c>
      <c r="FE131" s="2">
        <v>0</v>
      </c>
      <c r="FF131" s="2">
        <v>1</v>
      </c>
      <c r="FG131" s="2">
        <v>0</v>
      </c>
      <c r="FH131" s="2">
        <v>1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1</v>
      </c>
      <c r="FR131" s="2">
        <v>0</v>
      </c>
      <c r="FS131" s="2">
        <v>1</v>
      </c>
      <c r="FT131" s="2">
        <v>1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/>
      <c r="GA131" s="2">
        <v>3</v>
      </c>
      <c r="GB131" s="2">
        <v>3</v>
      </c>
      <c r="GC131" s="2">
        <v>4</v>
      </c>
      <c r="GD131" s="2">
        <v>2</v>
      </c>
      <c r="GE131" s="2">
        <v>3</v>
      </c>
      <c r="GG131" s="2">
        <v>2</v>
      </c>
      <c r="GH131" s="2">
        <v>3</v>
      </c>
      <c r="GI131" s="2">
        <v>3</v>
      </c>
      <c r="GJ131" s="2">
        <v>4</v>
      </c>
      <c r="GK131" s="2">
        <v>3</v>
      </c>
      <c r="GM131" s="2">
        <f t="shared" si="0"/>
        <v>15</v>
      </c>
      <c r="GN131" s="2">
        <f t="shared" si="1"/>
        <v>15</v>
      </c>
      <c r="GO131" s="2"/>
      <c r="GP131" s="2">
        <v>2</v>
      </c>
      <c r="GQ131" s="2">
        <v>1</v>
      </c>
      <c r="GR131" s="2">
        <v>0</v>
      </c>
      <c r="GS131" s="2">
        <v>1</v>
      </c>
      <c r="GU131" s="2">
        <v>0</v>
      </c>
      <c r="GV131" s="2">
        <v>3</v>
      </c>
      <c r="GW131" s="2">
        <v>0</v>
      </c>
      <c r="GY131" s="2">
        <v>2</v>
      </c>
      <c r="GZ131" s="2">
        <v>1</v>
      </c>
      <c r="HA131" s="2">
        <v>1</v>
      </c>
      <c r="HB131" s="2">
        <v>1</v>
      </c>
      <c r="HD131" s="2">
        <v>2</v>
      </c>
      <c r="HE131" s="2">
        <v>3</v>
      </c>
      <c r="HF131" s="2">
        <v>0</v>
      </c>
      <c r="HH131" s="2">
        <f t="shared" si="2"/>
        <v>7</v>
      </c>
      <c r="HI131" s="2">
        <f t="shared" si="3"/>
        <v>10</v>
      </c>
      <c r="HJ131" s="2"/>
      <c r="HK131" s="2">
        <v>8</v>
      </c>
      <c r="HL131" s="2">
        <v>8</v>
      </c>
      <c r="HM131" s="2"/>
      <c r="HN131" s="2"/>
    </row>
    <row r="132" spans="1:222" ht="15.75" customHeight="1" x14ac:dyDescent="0.2">
      <c r="A132" s="3" t="e">
        <f>VLOOKUP(B132,#REF!,1,FALSE)</f>
        <v>#REF!</v>
      </c>
      <c r="B132" s="3">
        <v>44462.982980659719</v>
      </c>
      <c r="C132" s="2">
        <v>183</v>
      </c>
      <c r="D132" s="2" t="s">
        <v>185</v>
      </c>
      <c r="E132" s="2">
        <v>0</v>
      </c>
      <c r="F132" s="2" t="s">
        <v>186</v>
      </c>
      <c r="G132" s="2">
        <v>15</v>
      </c>
      <c r="H132" s="2">
        <v>2</v>
      </c>
      <c r="I132" s="2">
        <v>1</v>
      </c>
      <c r="J132" s="2">
        <v>2</v>
      </c>
      <c r="K132" s="2">
        <v>0</v>
      </c>
      <c r="L132" s="2">
        <v>4</v>
      </c>
      <c r="M132" s="2" t="s">
        <v>213</v>
      </c>
      <c r="N132" s="2">
        <v>2</v>
      </c>
      <c r="O132" s="2">
        <v>3</v>
      </c>
      <c r="P132" s="2">
        <v>0</v>
      </c>
      <c r="Q132" s="2">
        <v>0</v>
      </c>
      <c r="R132" s="2">
        <v>3</v>
      </c>
      <c r="S132" s="2">
        <v>-1</v>
      </c>
      <c r="T132" s="2">
        <v>-1</v>
      </c>
      <c r="U132" s="2">
        <v>-1</v>
      </c>
      <c r="V132" s="2">
        <v>-1</v>
      </c>
      <c r="W132" s="2">
        <v>-1</v>
      </c>
      <c r="X132" s="2"/>
      <c r="Y132" s="2">
        <v>-1</v>
      </c>
      <c r="Z132" s="2">
        <v>1</v>
      </c>
      <c r="AA132" s="2">
        <v>1</v>
      </c>
      <c r="AB132" s="2">
        <v>4</v>
      </c>
      <c r="AC132" s="2">
        <v>0</v>
      </c>
      <c r="AD132" s="2">
        <v>2</v>
      </c>
      <c r="AE132" s="2">
        <v>4</v>
      </c>
      <c r="AF132" s="2">
        <v>4</v>
      </c>
      <c r="AG132" s="2">
        <v>-1</v>
      </c>
      <c r="AH132" s="2">
        <v>1</v>
      </c>
      <c r="AI132" s="2">
        <v>-1</v>
      </c>
      <c r="AJ132" s="2">
        <v>1</v>
      </c>
      <c r="AK132" s="2">
        <v>-3</v>
      </c>
      <c r="AL132" s="2">
        <v>-2</v>
      </c>
      <c r="AM132" s="2">
        <v>3</v>
      </c>
      <c r="AN132" s="2">
        <v>3</v>
      </c>
      <c r="AO132" s="2">
        <v>4</v>
      </c>
      <c r="AP132" s="2">
        <v>3</v>
      </c>
      <c r="AQ132" s="2">
        <v>3</v>
      </c>
      <c r="AR132" s="2">
        <v>3</v>
      </c>
      <c r="AS132" s="2">
        <v>1</v>
      </c>
      <c r="AT132" s="2">
        <v>1</v>
      </c>
      <c r="AU132" s="2">
        <v>1</v>
      </c>
      <c r="AV132" s="2"/>
      <c r="AW132" s="2">
        <v>1</v>
      </c>
      <c r="AX132" s="2">
        <v>1</v>
      </c>
      <c r="AY132" s="2">
        <v>0</v>
      </c>
      <c r="AZ132" s="2">
        <v>2</v>
      </c>
      <c r="BA132" s="2">
        <v>2</v>
      </c>
      <c r="BB132" s="2">
        <v>2</v>
      </c>
      <c r="BC132" s="2">
        <v>1</v>
      </c>
      <c r="BD132" s="2">
        <v>1</v>
      </c>
      <c r="BE132" s="2">
        <v>2</v>
      </c>
      <c r="BF132" s="2">
        <v>2</v>
      </c>
      <c r="BG132" s="2">
        <v>2</v>
      </c>
      <c r="BH132" s="2">
        <v>2</v>
      </c>
      <c r="BI132" s="2"/>
      <c r="BJ132" s="2">
        <v>1</v>
      </c>
      <c r="BK132" s="2">
        <v>1</v>
      </c>
      <c r="BL132" s="2">
        <v>0</v>
      </c>
      <c r="BM132" s="2">
        <v>8</v>
      </c>
      <c r="BN132" s="2">
        <v>8</v>
      </c>
      <c r="BO132" s="2">
        <v>9</v>
      </c>
      <c r="BP132" s="2"/>
      <c r="BQ132" s="2"/>
      <c r="BR132" s="2"/>
      <c r="BS132" s="2"/>
      <c r="BT132" s="2"/>
      <c r="BU132" s="2"/>
      <c r="BV132" s="2" t="s">
        <v>541</v>
      </c>
      <c r="BW132" s="2" t="s">
        <v>542</v>
      </c>
      <c r="BX132" s="2" t="s">
        <v>188</v>
      </c>
      <c r="BY132" s="2" t="s">
        <v>188</v>
      </c>
      <c r="BZ132" s="2" t="s">
        <v>188</v>
      </c>
      <c r="CA132" s="2" t="s">
        <v>188</v>
      </c>
      <c r="CB132" s="2" t="s">
        <v>190</v>
      </c>
      <c r="CC132" s="2" t="s">
        <v>188</v>
      </c>
      <c r="CD132" s="2" t="s">
        <v>190</v>
      </c>
      <c r="CE132" s="2" t="s">
        <v>190</v>
      </c>
      <c r="CF132" s="2" t="s">
        <v>188</v>
      </c>
      <c r="CG132" s="2" t="s">
        <v>190</v>
      </c>
      <c r="CH132" s="2" t="s">
        <v>188</v>
      </c>
      <c r="CI132" s="2" t="s">
        <v>189</v>
      </c>
      <c r="CJ132" s="2" t="s">
        <v>190</v>
      </c>
      <c r="CK132" s="2" t="s">
        <v>189</v>
      </c>
      <c r="CL132" s="2" t="s">
        <v>188</v>
      </c>
      <c r="CM132" s="2" t="s">
        <v>193</v>
      </c>
      <c r="CN132" s="2" t="s">
        <v>192</v>
      </c>
      <c r="CO132" s="2" t="s">
        <v>200</v>
      </c>
      <c r="CP132" s="2" t="s">
        <v>193</v>
      </c>
      <c r="CQ132" s="2" t="s">
        <v>193</v>
      </c>
      <c r="CR132" s="2" t="s">
        <v>200</v>
      </c>
      <c r="CS132" s="2" t="s">
        <v>193</v>
      </c>
      <c r="CT132" s="2" t="s">
        <v>200</v>
      </c>
      <c r="CU132" s="2" t="s">
        <v>192</v>
      </c>
      <c r="CV132" s="2" t="s">
        <v>200</v>
      </c>
      <c r="CW132" s="2" t="s">
        <v>200</v>
      </c>
      <c r="CX132" s="2" t="s">
        <v>200</v>
      </c>
      <c r="CY132" s="2" t="s">
        <v>200</v>
      </c>
      <c r="CZ132" s="2" t="s">
        <v>200</v>
      </c>
      <c r="DA132" s="2" t="s">
        <v>200</v>
      </c>
      <c r="DB132" s="2" t="s">
        <v>200</v>
      </c>
      <c r="DC132" s="2" t="s">
        <v>192</v>
      </c>
      <c r="DD132" s="2" t="s">
        <v>200</v>
      </c>
      <c r="DE132" s="2" t="s">
        <v>200</v>
      </c>
      <c r="DF132" s="2" t="s">
        <v>200</v>
      </c>
      <c r="DG132" s="2" t="s">
        <v>195</v>
      </c>
      <c r="DH132" s="2" t="s">
        <v>195</v>
      </c>
      <c r="DI132" s="2" t="s">
        <v>194</v>
      </c>
      <c r="DJ132" s="2" t="s">
        <v>195</v>
      </c>
      <c r="DK132" s="2" t="s">
        <v>196</v>
      </c>
      <c r="DL132" s="2" t="s">
        <v>195</v>
      </c>
      <c r="DM132" s="2" t="s">
        <v>195</v>
      </c>
      <c r="DN132" s="2" t="s">
        <v>196</v>
      </c>
      <c r="DO132" s="2" t="s">
        <v>196</v>
      </c>
      <c r="DP132" s="2" t="s">
        <v>194</v>
      </c>
      <c r="DQ132" s="2" t="s">
        <v>195</v>
      </c>
      <c r="DR132" s="2" t="s">
        <v>195</v>
      </c>
      <c r="DS132" s="2" t="s">
        <v>197</v>
      </c>
      <c r="DT132" s="2" t="s">
        <v>198</v>
      </c>
      <c r="DU132" s="2" t="s">
        <v>197</v>
      </c>
      <c r="DV132" s="2" t="s">
        <v>197</v>
      </c>
      <c r="DW132" s="2" t="s">
        <v>197</v>
      </c>
      <c r="DX132" s="2" t="s">
        <v>198</v>
      </c>
      <c r="DY132" s="2" t="s">
        <v>197</v>
      </c>
      <c r="DZ132" s="2" t="s">
        <v>198</v>
      </c>
      <c r="EA132" s="2">
        <v>1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1</v>
      </c>
      <c r="EI132" s="2">
        <v>0</v>
      </c>
      <c r="EJ132" s="2">
        <v>1</v>
      </c>
      <c r="EK132" s="2">
        <v>0</v>
      </c>
      <c r="EL132" s="2">
        <v>0</v>
      </c>
      <c r="EM132" s="2">
        <v>1</v>
      </c>
      <c r="EN132" s="2">
        <v>1</v>
      </c>
      <c r="EO132" s="2">
        <v>0</v>
      </c>
      <c r="EP132" s="2">
        <v>1</v>
      </c>
      <c r="EQ132" s="2">
        <v>0</v>
      </c>
      <c r="ER132" s="2">
        <v>0</v>
      </c>
      <c r="ES132" s="2">
        <v>1</v>
      </c>
      <c r="ET132" s="2">
        <v>0</v>
      </c>
      <c r="EU132" s="2">
        <v>1</v>
      </c>
      <c r="EV132" s="2">
        <v>1</v>
      </c>
      <c r="EW132" s="2">
        <v>0</v>
      </c>
      <c r="EX132" s="2">
        <v>0</v>
      </c>
      <c r="EY132" s="2">
        <v>1</v>
      </c>
      <c r="EZ132" s="2">
        <v>1</v>
      </c>
      <c r="FA132" s="2">
        <v>0</v>
      </c>
      <c r="FB132" s="2">
        <v>0</v>
      </c>
      <c r="FC132" s="2">
        <v>1</v>
      </c>
      <c r="FD132" s="2">
        <v>0</v>
      </c>
      <c r="FE132" s="2">
        <v>0</v>
      </c>
      <c r="FF132" s="2">
        <v>1</v>
      </c>
      <c r="FG132" s="2">
        <v>0</v>
      </c>
      <c r="FH132" s="2">
        <v>0</v>
      </c>
      <c r="FI132" s="2">
        <v>1</v>
      </c>
      <c r="FJ132" s="2">
        <v>1</v>
      </c>
      <c r="FK132" s="2">
        <v>0</v>
      </c>
      <c r="FL132" s="2">
        <v>1</v>
      </c>
      <c r="FM132" s="2">
        <v>0</v>
      </c>
      <c r="FN132" s="2">
        <v>0</v>
      </c>
      <c r="FO132" s="2">
        <v>1</v>
      </c>
      <c r="FP132" s="2">
        <v>0</v>
      </c>
      <c r="FQ132" s="2">
        <v>1</v>
      </c>
      <c r="FR132" s="2">
        <v>0</v>
      </c>
      <c r="FS132" s="2">
        <v>1</v>
      </c>
      <c r="FT132" s="2">
        <v>0</v>
      </c>
      <c r="FU132" s="2">
        <v>1</v>
      </c>
      <c r="FV132" s="2">
        <v>0</v>
      </c>
      <c r="FW132" s="2">
        <v>1</v>
      </c>
      <c r="FX132" s="2">
        <v>0</v>
      </c>
      <c r="FY132" s="2">
        <v>1</v>
      </c>
      <c r="FZ132" s="2"/>
      <c r="GA132" s="2">
        <v>3</v>
      </c>
      <c r="GB132" s="2">
        <v>3</v>
      </c>
      <c r="GC132" s="2">
        <v>4</v>
      </c>
      <c r="GD132" s="2">
        <v>3</v>
      </c>
      <c r="GE132" s="2">
        <v>3</v>
      </c>
      <c r="GG132" s="2">
        <v>2</v>
      </c>
      <c r="GH132" s="2">
        <v>2</v>
      </c>
      <c r="GI132" s="2">
        <v>2</v>
      </c>
      <c r="GJ132" s="2">
        <v>1</v>
      </c>
      <c r="GK132" s="2">
        <v>1</v>
      </c>
      <c r="GM132" s="2">
        <f t="shared" si="0"/>
        <v>16</v>
      </c>
      <c r="GN132" s="2">
        <f t="shared" si="1"/>
        <v>8</v>
      </c>
      <c r="GO132" s="2"/>
      <c r="GP132" s="2">
        <v>3</v>
      </c>
      <c r="GQ132" s="2">
        <v>1</v>
      </c>
      <c r="GR132" s="2">
        <v>1</v>
      </c>
      <c r="GS132" s="2">
        <v>1</v>
      </c>
      <c r="GU132" s="2">
        <v>1</v>
      </c>
      <c r="GV132" s="2">
        <v>1</v>
      </c>
      <c r="GW132" s="2">
        <v>0</v>
      </c>
      <c r="GY132" s="2">
        <v>2</v>
      </c>
      <c r="GZ132" s="2">
        <v>2</v>
      </c>
      <c r="HA132" s="2">
        <v>2</v>
      </c>
      <c r="HB132" s="2">
        <v>2</v>
      </c>
      <c r="HD132" s="2">
        <v>1</v>
      </c>
      <c r="HE132" s="2">
        <v>1</v>
      </c>
      <c r="HF132" s="2">
        <v>0</v>
      </c>
      <c r="HH132" s="2">
        <f t="shared" si="2"/>
        <v>8</v>
      </c>
      <c r="HI132" s="2">
        <f t="shared" si="3"/>
        <v>10</v>
      </c>
      <c r="HJ132" s="2"/>
      <c r="HK132" s="2">
        <v>8</v>
      </c>
      <c r="HL132" s="2">
        <v>9</v>
      </c>
      <c r="HM132" s="2"/>
      <c r="HN132" s="2"/>
    </row>
    <row r="133" spans="1:222" ht="15.75" customHeight="1" x14ac:dyDescent="0.2">
      <c r="A133" s="3" t="e">
        <f>VLOOKUP(B133,#REF!,1,FALSE)</f>
        <v>#REF!</v>
      </c>
      <c r="B133" s="3">
        <v>44463.385758738426</v>
      </c>
      <c r="C133" s="2">
        <v>185</v>
      </c>
      <c r="D133" s="2" t="s">
        <v>185</v>
      </c>
      <c r="E133" s="2">
        <v>0</v>
      </c>
      <c r="F133" s="2" t="s">
        <v>543</v>
      </c>
      <c r="G133" s="2">
        <v>15</v>
      </c>
      <c r="H133" s="2">
        <v>2</v>
      </c>
      <c r="I133" s="2">
        <v>1</v>
      </c>
      <c r="J133" s="2">
        <v>6</v>
      </c>
      <c r="K133" s="2">
        <v>2</v>
      </c>
      <c r="L133" s="2">
        <v>5</v>
      </c>
      <c r="M133" s="2" t="s">
        <v>187</v>
      </c>
      <c r="N133" s="2">
        <v>2</v>
      </c>
      <c r="O133" s="2">
        <v>2</v>
      </c>
      <c r="P133" s="2">
        <v>0</v>
      </c>
      <c r="Q133" s="2">
        <v>0</v>
      </c>
      <c r="R133" s="2">
        <v>2</v>
      </c>
      <c r="S133" s="2">
        <v>-1</v>
      </c>
      <c r="T133" s="2">
        <v>-1</v>
      </c>
      <c r="U133" s="2">
        <v>-1</v>
      </c>
      <c r="V133" s="2">
        <v>-1</v>
      </c>
      <c r="W133" s="2">
        <v>-1</v>
      </c>
      <c r="X133" s="2"/>
      <c r="Y133" s="2">
        <v>1</v>
      </c>
      <c r="Z133" s="2">
        <v>1</v>
      </c>
      <c r="AA133" s="2">
        <v>1</v>
      </c>
      <c r="AB133" s="2">
        <v>4</v>
      </c>
      <c r="AC133" s="2">
        <v>4</v>
      </c>
      <c r="AD133" s="2">
        <v>4</v>
      </c>
      <c r="AE133" s="2">
        <v>2</v>
      </c>
      <c r="AF133" s="2">
        <v>4</v>
      </c>
      <c r="AG133" s="2">
        <v>-2</v>
      </c>
      <c r="AH133" s="2">
        <v>-1</v>
      </c>
      <c r="AI133" s="2">
        <v>2</v>
      </c>
      <c r="AJ133" s="2">
        <v>2</v>
      </c>
      <c r="AK133" s="2">
        <v>1</v>
      </c>
      <c r="AL133" s="2">
        <v>1</v>
      </c>
      <c r="AM133" s="2">
        <v>4</v>
      </c>
      <c r="AN133" s="2">
        <v>3</v>
      </c>
      <c r="AO133" s="2">
        <v>4</v>
      </c>
      <c r="AP133" s="2">
        <v>4</v>
      </c>
      <c r="AQ133" s="2">
        <v>4</v>
      </c>
      <c r="AR133" s="2">
        <v>4</v>
      </c>
      <c r="AS133" s="2">
        <v>3</v>
      </c>
      <c r="AT133" s="2">
        <v>3</v>
      </c>
      <c r="AU133" s="2">
        <v>3</v>
      </c>
      <c r="AV133" s="2"/>
      <c r="AW133" s="2">
        <v>3</v>
      </c>
      <c r="AX133" s="2">
        <v>1</v>
      </c>
      <c r="AY133" s="2">
        <v>1</v>
      </c>
      <c r="AZ133" s="2">
        <v>1</v>
      </c>
      <c r="BA133" s="2">
        <v>2</v>
      </c>
      <c r="BB133" s="2">
        <v>1</v>
      </c>
      <c r="BC133" s="2">
        <v>1</v>
      </c>
      <c r="BD133" s="2">
        <v>1</v>
      </c>
      <c r="BE133" s="2">
        <v>1</v>
      </c>
      <c r="BF133" s="2">
        <v>3</v>
      </c>
      <c r="BG133" s="2">
        <v>3</v>
      </c>
      <c r="BH133" s="2">
        <v>3</v>
      </c>
      <c r="BI133" s="2"/>
      <c r="BJ133" s="2">
        <v>3</v>
      </c>
      <c r="BK133" s="2">
        <v>2</v>
      </c>
      <c r="BL133" s="2">
        <v>-1</v>
      </c>
      <c r="BM133" s="2">
        <v>9</v>
      </c>
      <c r="BN133" s="2">
        <v>8</v>
      </c>
      <c r="BO133" s="2">
        <v>4</v>
      </c>
      <c r="BP133" s="2"/>
      <c r="BQ133" s="2"/>
      <c r="BR133" s="2"/>
      <c r="BS133" s="2"/>
      <c r="BT133" s="2"/>
      <c r="BU133" s="2"/>
      <c r="BV133" s="2"/>
      <c r="BW133" s="2"/>
      <c r="BX133" s="2" t="s">
        <v>191</v>
      </c>
      <c r="BY133" s="2" t="s">
        <v>190</v>
      </c>
      <c r="BZ133" s="2" t="s">
        <v>191</v>
      </c>
      <c r="CA133" s="2" t="s">
        <v>188</v>
      </c>
      <c r="CB133" s="2" t="s">
        <v>188</v>
      </c>
      <c r="CC133" s="2" t="s">
        <v>188</v>
      </c>
      <c r="CD133" s="2" t="s">
        <v>191</v>
      </c>
      <c r="CE133" s="2" t="s">
        <v>188</v>
      </c>
      <c r="CF133" s="2" t="s">
        <v>188</v>
      </c>
      <c r="CG133" s="2" t="s">
        <v>188</v>
      </c>
      <c r="CH133" s="2" t="s">
        <v>188</v>
      </c>
      <c r="CI133" s="2" t="s">
        <v>191</v>
      </c>
      <c r="CJ133" s="2" t="s">
        <v>191</v>
      </c>
      <c r="CK133" s="2" t="s">
        <v>188</v>
      </c>
      <c r="CL133" s="2" t="s">
        <v>188</v>
      </c>
      <c r="CM133" s="2" t="s">
        <v>200</v>
      </c>
      <c r="CN133" s="2" t="s">
        <v>192</v>
      </c>
      <c r="CO133" s="2" t="s">
        <v>200</v>
      </c>
      <c r="CP133" s="2" t="s">
        <v>200</v>
      </c>
      <c r="CQ133" s="2" t="s">
        <v>192</v>
      </c>
      <c r="CR133" s="2" t="s">
        <v>200</v>
      </c>
      <c r="CS133" s="2" t="s">
        <v>200</v>
      </c>
      <c r="CT133" s="2" t="s">
        <v>192</v>
      </c>
      <c r="CU133" s="2" t="s">
        <v>193</v>
      </c>
      <c r="CV133" s="2" t="s">
        <v>200</v>
      </c>
      <c r="CW133" s="2" t="s">
        <v>200</v>
      </c>
      <c r="CX133" s="2" t="s">
        <v>200</v>
      </c>
      <c r="CY133" s="2" t="s">
        <v>200</v>
      </c>
      <c r="CZ133" s="2" t="s">
        <v>200</v>
      </c>
      <c r="DA133" s="2" t="s">
        <v>193</v>
      </c>
      <c r="DB133" s="2" t="s">
        <v>200</v>
      </c>
      <c r="DC133" s="2" t="s">
        <v>192</v>
      </c>
      <c r="DD133" s="2" t="s">
        <v>200</v>
      </c>
      <c r="DE133" s="2" t="s">
        <v>193</v>
      </c>
      <c r="DF133" s="2" t="s">
        <v>192</v>
      </c>
      <c r="DG133" s="2" t="s">
        <v>195</v>
      </c>
      <c r="DH133" s="2" t="s">
        <v>195</v>
      </c>
      <c r="DI133" s="2" t="s">
        <v>195</v>
      </c>
      <c r="DJ133" s="2" t="s">
        <v>195</v>
      </c>
      <c r="DK133" s="2" t="s">
        <v>195</v>
      </c>
      <c r="DL133" s="2" t="s">
        <v>195</v>
      </c>
      <c r="DM133" s="2" t="s">
        <v>195</v>
      </c>
      <c r="DN133" s="2" t="s">
        <v>220</v>
      </c>
      <c r="DO133" s="2" t="s">
        <v>220</v>
      </c>
      <c r="DP133" s="2" t="s">
        <v>196</v>
      </c>
      <c r="DQ133" s="2" t="s">
        <v>195</v>
      </c>
      <c r="DR133" s="2" t="s">
        <v>195</v>
      </c>
      <c r="DS133" s="2" t="s">
        <v>197</v>
      </c>
      <c r="DT133" s="2" t="s">
        <v>197</v>
      </c>
      <c r="DU133" s="2" t="s">
        <v>197</v>
      </c>
      <c r="DV133" s="2" t="s">
        <v>222</v>
      </c>
      <c r="DW133" s="2" t="s">
        <v>197</v>
      </c>
      <c r="DX133" s="2" t="s">
        <v>197</v>
      </c>
      <c r="DY133" s="2" t="s">
        <v>198</v>
      </c>
      <c r="DZ133" s="2" t="s">
        <v>197</v>
      </c>
      <c r="EA133" s="2">
        <v>1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1</v>
      </c>
      <c r="EI133" s="2">
        <v>0</v>
      </c>
      <c r="EJ133" s="2">
        <v>1</v>
      </c>
      <c r="EK133" s="2">
        <v>0</v>
      </c>
      <c r="EL133" s="2">
        <v>0</v>
      </c>
      <c r="EM133" s="2">
        <v>1</v>
      </c>
      <c r="EN133" s="2">
        <v>1</v>
      </c>
      <c r="EO133" s="2">
        <v>0</v>
      </c>
      <c r="EP133" s="2">
        <v>1</v>
      </c>
      <c r="EQ133" s="2">
        <v>0</v>
      </c>
      <c r="ER133" s="2">
        <v>1</v>
      </c>
      <c r="ES133" s="2">
        <v>0</v>
      </c>
      <c r="ET133" s="2">
        <v>0</v>
      </c>
      <c r="EU133" s="2">
        <v>1</v>
      </c>
      <c r="EV133" s="2">
        <v>1</v>
      </c>
      <c r="EW133" s="2">
        <v>0</v>
      </c>
      <c r="EX133" s="2">
        <v>0</v>
      </c>
      <c r="EY133" s="2">
        <v>1</v>
      </c>
      <c r="EZ133" s="2">
        <v>0</v>
      </c>
      <c r="FA133" s="2">
        <v>1</v>
      </c>
      <c r="FB133" s="2">
        <v>0</v>
      </c>
      <c r="FC133" s="2">
        <v>1</v>
      </c>
      <c r="FD133" s="2">
        <v>0</v>
      </c>
      <c r="FE133" s="2">
        <v>0</v>
      </c>
      <c r="FF133" s="2">
        <v>1</v>
      </c>
      <c r="FG133" s="2">
        <v>0</v>
      </c>
      <c r="FH133" s="2">
        <v>0</v>
      </c>
      <c r="FI133" s="2">
        <v>1</v>
      </c>
      <c r="FJ133" s="2">
        <v>1</v>
      </c>
      <c r="FK133" s="2">
        <v>0</v>
      </c>
      <c r="FL133" s="2">
        <v>1</v>
      </c>
      <c r="FM133" s="2">
        <v>0</v>
      </c>
      <c r="FN133" s="2">
        <v>1</v>
      </c>
      <c r="FO133" s="2">
        <v>0</v>
      </c>
      <c r="FP133" s="2">
        <v>1</v>
      </c>
      <c r="FQ133" s="2">
        <v>0</v>
      </c>
      <c r="FR133" s="2">
        <v>0</v>
      </c>
      <c r="FS133" s="2">
        <v>1</v>
      </c>
      <c r="FT133" s="2">
        <v>0</v>
      </c>
      <c r="FU133" s="2">
        <v>1</v>
      </c>
      <c r="FV133" s="2">
        <v>0</v>
      </c>
      <c r="FW133" s="2">
        <v>1</v>
      </c>
      <c r="FX133" s="2">
        <v>0</v>
      </c>
      <c r="FY133" s="2">
        <v>1</v>
      </c>
      <c r="FZ133" s="2"/>
      <c r="GA133" s="2">
        <v>4</v>
      </c>
      <c r="GB133" s="2">
        <v>3</v>
      </c>
      <c r="GC133" s="2">
        <v>4</v>
      </c>
      <c r="GD133" s="2">
        <v>4</v>
      </c>
      <c r="GE133" s="2">
        <v>4</v>
      </c>
      <c r="GG133" s="2">
        <v>1</v>
      </c>
      <c r="GH133" s="2">
        <v>2</v>
      </c>
      <c r="GI133" s="2">
        <v>1</v>
      </c>
      <c r="GJ133" s="2">
        <v>1</v>
      </c>
      <c r="GK133" s="2">
        <v>1</v>
      </c>
      <c r="GM133" s="2">
        <f t="shared" si="0"/>
        <v>19</v>
      </c>
      <c r="GN133" s="2">
        <f t="shared" si="1"/>
        <v>6</v>
      </c>
      <c r="GO133" s="2"/>
      <c r="GP133" s="2">
        <v>4</v>
      </c>
      <c r="GQ133" s="2">
        <v>3</v>
      </c>
      <c r="GR133" s="2">
        <v>3</v>
      </c>
      <c r="GS133" s="2">
        <v>3</v>
      </c>
      <c r="GU133" s="2">
        <v>3</v>
      </c>
      <c r="GV133" s="2">
        <v>1</v>
      </c>
      <c r="GW133" s="2">
        <v>1</v>
      </c>
      <c r="GY133" s="2">
        <v>1</v>
      </c>
      <c r="GZ133" s="2">
        <v>3</v>
      </c>
      <c r="HA133" s="2">
        <v>3</v>
      </c>
      <c r="HB133" s="2">
        <v>3</v>
      </c>
      <c r="HD133" s="2">
        <v>3</v>
      </c>
      <c r="HE133" s="2">
        <v>2</v>
      </c>
      <c r="HF133" s="2">
        <v>-1</v>
      </c>
      <c r="HH133" s="2">
        <f t="shared" si="2"/>
        <v>18</v>
      </c>
      <c r="HI133" s="2">
        <f t="shared" si="3"/>
        <v>14</v>
      </c>
      <c r="HJ133" s="2"/>
      <c r="HK133" s="2">
        <v>8</v>
      </c>
      <c r="HL133" s="2">
        <v>4</v>
      </c>
      <c r="HM133" s="2"/>
      <c r="HN133" s="2"/>
    </row>
    <row r="134" spans="1:222" ht="15.75" customHeight="1" x14ac:dyDescent="0.2">
      <c r="A134" s="3" t="e">
        <f>VLOOKUP(B134,#REF!,1,FALSE)</f>
        <v>#REF!</v>
      </c>
      <c r="B134" s="3">
        <v>44463.450269247682</v>
      </c>
      <c r="C134" s="2">
        <v>186</v>
      </c>
      <c r="D134" s="2" t="s">
        <v>185</v>
      </c>
      <c r="E134" s="2">
        <v>0</v>
      </c>
      <c r="F134" s="2" t="s">
        <v>232</v>
      </c>
      <c r="G134" s="2">
        <v>15</v>
      </c>
      <c r="H134" s="2">
        <v>0.5</v>
      </c>
      <c r="I134" s="2">
        <v>1</v>
      </c>
      <c r="J134" s="2">
        <v>3</v>
      </c>
      <c r="K134" s="2">
        <v>0</v>
      </c>
      <c r="L134" s="2">
        <v>5</v>
      </c>
      <c r="M134" s="2" t="s">
        <v>213</v>
      </c>
      <c r="N134" s="2">
        <v>3</v>
      </c>
      <c r="O134" s="2">
        <v>2</v>
      </c>
      <c r="P134" s="2">
        <v>0</v>
      </c>
      <c r="Q134" s="2">
        <v>0</v>
      </c>
      <c r="R134" s="2">
        <v>3</v>
      </c>
      <c r="S134" s="2">
        <v>-1</v>
      </c>
      <c r="T134" s="2">
        <v>-1</v>
      </c>
      <c r="U134" s="2">
        <v>-1</v>
      </c>
      <c r="V134" s="2">
        <v>-1</v>
      </c>
      <c r="W134" s="2">
        <v>-1</v>
      </c>
      <c r="X134" s="2"/>
      <c r="Y134" s="2">
        <v>-1</v>
      </c>
      <c r="Z134" s="2">
        <v>1</v>
      </c>
      <c r="AA134" s="2">
        <v>1</v>
      </c>
      <c r="AB134" s="2">
        <v>2</v>
      </c>
      <c r="AC134" s="2">
        <v>2</v>
      </c>
      <c r="AD134" s="2">
        <v>2</v>
      </c>
      <c r="AE134" s="2">
        <v>2</v>
      </c>
      <c r="AF134" s="2">
        <v>2</v>
      </c>
      <c r="AG134" s="2">
        <v>2</v>
      </c>
      <c r="AH134" s="2">
        <v>2</v>
      </c>
      <c r="AI134" s="2">
        <v>2</v>
      </c>
      <c r="AJ134" s="2">
        <v>2</v>
      </c>
      <c r="AK134" s="2">
        <v>2</v>
      </c>
      <c r="AL134" s="2">
        <v>2</v>
      </c>
      <c r="AM134" s="2">
        <v>5</v>
      </c>
      <c r="AN134" s="2">
        <v>4</v>
      </c>
      <c r="AO134" s="2">
        <v>4</v>
      </c>
      <c r="AP134" s="2">
        <v>4</v>
      </c>
      <c r="AQ134" s="2">
        <v>4</v>
      </c>
      <c r="AR134" s="2">
        <v>2</v>
      </c>
      <c r="AS134" s="2">
        <v>1</v>
      </c>
      <c r="AT134" s="2">
        <v>0</v>
      </c>
      <c r="AU134" s="2">
        <v>1</v>
      </c>
      <c r="AV134" s="2"/>
      <c r="AW134" s="2">
        <v>1</v>
      </c>
      <c r="AX134" s="2">
        <v>0</v>
      </c>
      <c r="AY134" s="2">
        <v>0</v>
      </c>
      <c r="AZ134" s="2">
        <v>5</v>
      </c>
      <c r="BA134" s="2">
        <v>4</v>
      </c>
      <c r="BB134" s="2">
        <v>4</v>
      </c>
      <c r="BC134" s="2">
        <v>4</v>
      </c>
      <c r="BD134" s="2">
        <v>4</v>
      </c>
      <c r="BE134" s="2">
        <v>2</v>
      </c>
      <c r="BF134" s="2">
        <v>1</v>
      </c>
      <c r="BG134" s="2">
        <v>0</v>
      </c>
      <c r="BH134" s="2">
        <v>1</v>
      </c>
      <c r="BI134" s="2"/>
      <c r="BJ134" s="2">
        <v>1</v>
      </c>
      <c r="BK134" s="2">
        <v>1</v>
      </c>
      <c r="BL134" s="2">
        <v>0</v>
      </c>
      <c r="BM134" s="2">
        <v>8</v>
      </c>
      <c r="BN134" s="2">
        <v>8</v>
      </c>
      <c r="BO134" s="2">
        <v>8</v>
      </c>
      <c r="BP134" s="2" t="s">
        <v>224</v>
      </c>
      <c r="BQ134" s="2" t="s">
        <v>224</v>
      </c>
      <c r="BR134" s="2" t="s">
        <v>224</v>
      </c>
      <c r="BS134" s="2" t="s">
        <v>544</v>
      </c>
      <c r="BT134" s="2" t="s">
        <v>224</v>
      </c>
      <c r="BU134" s="2" t="s">
        <v>224</v>
      </c>
      <c r="BV134" s="2" t="s">
        <v>545</v>
      </c>
      <c r="BW134" s="2" t="s">
        <v>224</v>
      </c>
      <c r="BX134" s="2" t="s">
        <v>190</v>
      </c>
      <c r="BY134" s="2" t="s">
        <v>190</v>
      </c>
      <c r="BZ134" s="2" t="s">
        <v>190</v>
      </c>
      <c r="CA134" s="2" t="s">
        <v>190</v>
      </c>
      <c r="CB134" s="2" t="s">
        <v>190</v>
      </c>
      <c r="CC134" s="2" t="s">
        <v>190</v>
      </c>
      <c r="CD134" s="2" t="s">
        <v>190</v>
      </c>
      <c r="CE134" s="2" t="s">
        <v>190</v>
      </c>
      <c r="CF134" s="2" t="s">
        <v>190</v>
      </c>
      <c r="CG134" s="2" t="s">
        <v>191</v>
      </c>
      <c r="CH134" s="2" t="s">
        <v>191</v>
      </c>
      <c r="CI134" s="2" t="s">
        <v>189</v>
      </c>
      <c r="CJ134" s="2" t="s">
        <v>190</v>
      </c>
      <c r="CK134" s="2" t="s">
        <v>190</v>
      </c>
      <c r="CL134" s="2" t="s">
        <v>190</v>
      </c>
      <c r="CM134" s="2" t="s">
        <v>192</v>
      </c>
      <c r="CN134" s="2" t="s">
        <v>192</v>
      </c>
      <c r="CO134" s="2" t="s">
        <v>192</v>
      </c>
      <c r="CP134" s="2" t="s">
        <v>192</v>
      </c>
      <c r="CQ134" s="2" t="s">
        <v>192</v>
      </c>
      <c r="CR134" s="2" t="s">
        <v>193</v>
      </c>
      <c r="CS134" s="2" t="s">
        <v>192</v>
      </c>
      <c r="CT134" s="2" t="s">
        <v>193</v>
      </c>
      <c r="CU134" s="2" t="s">
        <v>192</v>
      </c>
      <c r="CV134" s="2" t="s">
        <v>192</v>
      </c>
      <c r="CW134" s="2" t="s">
        <v>192</v>
      </c>
      <c r="CX134" s="2" t="s">
        <v>192</v>
      </c>
      <c r="CY134" s="2" t="s">
        <v>192</v>
      </c>
      <c r="CZ134" s="2" t="s">
        <v>192</v>
      </c>
      <c r="DA134" s="2" t="s">
        <v>193</v>
      </c>
      <c r="DB134" s="2" t="s">
        <v>192</v>
      </c>
      <c r="DC134" s="2" t="s">
        <v>192</v>
      </c>
      <c r="DD134" s="2" t="s">
        <v>192</v>
      </c>
      <c r="DE134" s="2" t="s">
        <v>192</v>
      </c>
      <c r="DF134" s="2" t="s">
        <v>192</v>
      </c>
      <c r="DG134" s="2" t="s">
        <v>196</v>
      </c>
      <c r="DH134" s="2" t="s">
        <v>196</v>
      </c>
      <c r="DI134" s="2" t="s">
        <v>196</v>
      </c>
      <c r="DJ134" s="2" t="s">
        <v>196</v>
      </c>
      <c r="DK134" s="2" t="s">
        <v>196</v>
      </c>
      <c r="DL134" s="2" t="s">
        <v>196</v>
      </c>
      <c r="DM134" s="2" t="s">
        <v>196</v>
      </c>
      <c r="DN134" s="2" t="s">
        <v>196</v>
      </c>
      <c r="DO134" s="2" t="s">
        <v>196</v>
      </c>
      <c r="DP134" s="2" t="s">
        <v>196</v>
      </c>
      <c r="DQ134" s="2" t="s">
        <v>196</v>
      </c>
      <c r="DR134" s="2" t="s">
        <v>196</v>
      </c>
      <c r="DS134" s="2" t="s">
        <v>197</v>
      </c>
      <c r="DT134" s="2" t="s">
        <v>197</v>
      </c>
      <c r="DU134" s="2" t="s">
        <v>198</v>
      </c>
      <c r="DV134" s="2" t="s">
        <v>198</v>
      </c>
      <c r="DW134" s="2" t="s">
        <v>197</v>
      </c>
      <c r="DX134" s="2" t="s">
        <v>198</v>
      </c>
      <c r="DY134" s="2" t="s">
        <v>197</v>
      </c>
      <c r="DZ134" s="2" t="s">
        <v>197</v>
      </c>
      <c r="EA134" s="2">
        <v>1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1</v>
      </c>
      <c r="ER134" s="2">
        <v>0</v>
      </c>
      <c r="ES134" s="2">
        <v>1</v>
      </c>
      <c r="ET134" s="2">
        <v>0</v>
      </c>
      <c r="EU134" s="2">
        <v>1</v>
      </c>
      <c r="EV134" s="2">
        <v>0</v>
      </c>
      <c r="EW134" s="2">
        <v>0</v>
      </c>
      <c r="EX134" s="2">
        <v>0</v>
      </c>
      <c r="EY134" s="2">
        <v>1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1</v>
      </c>
      <c r="FP134" s="2">
        <v>0</v>
      </c>
      <c r="FQ134" s="2">
        <v>1</v>
      </c>
      <c r="FR134" s="2">
        <v>0</v>
      </c>
      <c r="FS134" s="2">
        <v>1</v>
      </c>
      <c r="FT134" s="2">
        <v>0</v>
      </c>
      <c r="FU134" s="2">
        <v>1</v>
      </c>
      <c r="FV134" s="2">
        <v>0</v>
      </c>
      <c r="FW134" s="2">
        <v>1</v>
      </c>
      <c r="FX134" s="2">
        <v>0</v>
      </c>
      <c r="FY134" s="2">
        <v>1</v>
      </c>
      <c r="FZ134" s="2"/>
      <c r="GA134" s="2">
        <v>5</v>
      </c>
      <c r="GB134" s="2">
        <v>4</v>
      </c>
      <c r="GC134" s="2">
        <v>4</v>
      </c>
      <c r="GD134" s="2">
        <v>4</v>
      </c>
      <c r="GE134" s="2">
        <v>4</v>
      </c>
      <c r="GG134" s="2">
        <v>5</v>
      </c>
      <c r="GH134" s="2">
        <v>4</v>
      </c>
      <c r="GI134" s="2">
        <v>4</v>
      </c>
      <c r="GJ134" s="2">
        <v>4</v>
      </c>
      <c r="GK134" s="2">
        <v>4</v>
      </c>
      <c r="GM134" s="2">
        <f t="shared" si="0"/>
        <v>21</v>
      </c>
      <c r="GN134" s="2">
        <f t="shared" si="1"/>
        <v>21</v>
      </c>
      <c r="GO134" s="2"/>
      <c r="GP134" s="2">
        <v>2</v>
      </c>
      <c r="GQ134" s="2">
        <v>1</v>
      </c>
      <c r="GR134" s="2">
        <v>0</v>
      </c>
      <c r="GS134" s="2">
        <v>1</v>
      </c>
      <c r="GU134" s="2">
        <v>1</v>
      </c>
      <c r="GV134" s="2">
        <v>0</v>
      </c>
      <c r="GW134" s="2">
        <v>0</v>
      </c>
      <c r="GY134" s="2">
        <v>2</v>
      </c>
      <c r="GZ134" s="2">
        <v>1</v>
      </c>
      <c r="HA134" s="2">
        <v>0</v>
      </c>
      <c r="HB134" s="2">
        <v>1</v>
      </c>
      <c r="HD134" s="2">
        <v>1</v>
      </c>
      <c r="HE134" s="2">
        <v>1</v>
      </c>
      <c r="HF134" s="2">
        <v>0</v>
      </c>
      <c r="HH134" s="2">
        <f t="shared" si="2"/>
        <v>5</v>
      </c>
      <c r="HI134" s="2">
        <f t="shared" si="3"/>
        <v>6</v>
      </c>
      <c r="HJ134" s="2"/>
      <c r="HK134" s="2">
        <v>8</v>
      </c>
      <c r="HL134" s="2">
        <v>8</v>
      </c>
      <c r="HM134" s="2"/>
      <c r="HN134" s="2"/>
    </row>
    <row r="135" spans="1:222" ht="15.75" customHeight="1" x14ac:dyDescent="0.2">
      <c r="A135" s="3" t="e">
        <f>VLOOKUP(B135,#REF!,1,FALSE)</f>
        <v>#REF!</v>
      </c>
      <c r="B135" s="3">
        <v>44463.459860162038</v>
      </c>
      <c r="C135" s="2">
        <v>188</v>
      </c>
      <c r="D135" s="2" t="s">
        <v>185</v>
      </c>
      <c r="E135" s="2">
        <v>0</v>
      </c>
      <c r="F135" s="2" t="s">
        <v>546</v>
      </c>
      <c r="G135" s="2">
        <v>15</v>
      </c>
      <c r="H135" s="2">
        <v>2</v>
      </c>
      <c r="I135" s="2">
        <v>1</v>
      </c>
      <c r="J135" s="2">
        <v>2</v>
      </c>
      <c r="K135" s="2">
        <v>0</v>
      </c>
      <c r="L135" s="2">
        <v>5</v>
      </c>
      <c r="M135" s="2" t="s">
        <v>187</v>
      </c>
      <c r="N135" s="2">
        <v>2</v>
      </c>
      <c r="O135" s="2">
        <v>2</v>
      </c>
      <c r="P135" s="2">
        <v>0</v>
      </c>
      <c r="Q135" s="2" t="s">
        <v>525</v>
      </c>
      <c r="R135" s="2">
        <v>2</v>
      </c>
      <c r="S135" s="2">
        <v>0</v>
      </c>
      <c r="T135" s="2">
        <v>-1</v>
      </c>
      <c r="U135" s="2">
        <v>0</v>
      </c>
      <c r="V135" s="2">
        <v>0</v>
      </c>
      <c r="W135" s="2">
        <v>0</v>
      </c>
      <c r="X135" s="2"/>
      <c r="Y135" s="2">
        <v>0</v>
      </c>
      <c r="Z135" s="2">
        <v>1</v>
      </c>
      <c r="AA135" s="2">
        <v>1</v>
      </c>
      <c r="AB135" s="2">
        <v>4</v>
      </c>
      <c r="AC135" s="2">
        <v>2</v>
      </c>
      <c r="AD135" s="2">
        <v>1</v>
      </c>
      <c r="AE135" s="2">
        <v>4</v>
      </c>
      <c r="AF135" s="2">
        <v>2</v>
      </c>
      <c r="AG135" s="2">
        <v>3</v>
      </c>
      <c r="AH135" s="2">
        <v>3</v>
      </c>
      <c r="AI135" s="2">
        <v>1</v>
      </c>
      <c r="AJ135" s="2">
        <v>3</v>
      </c>
      <c r="AK135" s="2">
        <v>3</v>
      </c>
      <c r="AL135" s="2">
        <v>3</v>
      </c>
      <c r="AM135" s="2">
        <v>3</v>
      </c>
      <c r="AN135" s="2">
        <v>3</v>
      </c>
      <c r="AO135" s="2">
        <v>3</v>
      </c>
      <c r="AP135" s="2">
        <v>3</v>
      </c>
      <c r="AQ135" s="2">
        <v>4</v>
      </c>
      <c r="AR135" s="2">
        <v>3</v>
      </c>
      <c r="AS135" s="2">
        <v>0</v>
      </c>
      <c r="AT135" s="2">
        <v>1</v>
      </c>
      <c r="AU135" s="2">
        <v>1</v>
      </c>
      <c r="AV135" s="2"/>
      <c r="AW135" s="2">
        <v>1</v>
      </c>
      <c r="AX135" s="2">
        <v>2</v>
      </c>
      <c r="AY135" s="2">
        <v>2</v>
      </c>
      <c r="AZ135" s="2">
        <v>3</v>
      </c>
      <c r="BA135" s="2">
        <v>3</v>
      </c>
      <c r="BB135" s="2">
        <v>3</v>
      </c>
      <c r="BC135" s="2">
        <v>4</v>
      </c>
      <c r="BD135" s="2">
        <v>3</v>
      </c>
      <c r="BE135" s="2">
        <v>3</v>
      </c>
      <c r="BF135" s="2">
        <v>1</v>
      </c>
      <c r="BG135" s="2">
        <v>1</v>
      </c>
      <c r="BH135" s="2">
        <v>1</v>
      </c>
      <c r="BI135" s="2"/>
      <c r="BJ135" s="2">
        <v>1</v>
      </c>
      <c r="BK135" s="2">
        <v>2</v>
      </c>
      <c r="BL135" s="2">
        <v>2</v>
      </c>
      <c r="BM135" s="2">
        <v>7</v>
      </c>
      <c r="BN135" s="2">
        <v>9</v>
      </c>
      <c r="BO135" s="2">
        <v>8</v>
      </c>
      <c r="BP135" s="2"/>
      <c r="BQ135" s="2"/>
      <c r="BR135" s="2"/>
      <c r="BS135" s="2" t="s">
        <v>547</v>
      </c>
      <c r="BT135" s="2"/>
      <c r="BU135" s="2"/>
      <c r="BV135" s="2" t="s">
        <v>548</v>
      </c>
      <c r="BW135" s="2" t="s">
        <v>549</v>
      </c>
      <c r="BX135" s="2" t="s">
        <v>190</v>
      </c>
      <c r="BY135" s="2" t="s">
        <v>189</v>
      </c>
      <c r="BZ135" s="2" t="s">
        <v>190</v>
      </c>
      <c r="CA135" s="2" t="s">
        <v>190</v>
      </c>
      <c r="CB135" s="2" t="s">
        <v>191</v>
      </c>
      <c r="CC135" s="2" t="s">
        <v>190</v>
      </c>
      <c r="CD135" s="2" t="s">
        <v>189</v>
      </c>
      <c r="CE135" s="2" t="s">
        <v>189</v>
      </c>
      <c r="CF135" s="2" t="s">
        <v>188</v>
      </c>
      <c r="CG135" s="2" t="s">
        <v>190</v>
      </c>
      <c r="CH135" s="2" t="s">
        <v>191</v>
      </c>
      <c r="CI135" s="2" t="s">
        <v>189</v>
      </c>
      <c r="CJ135" s="2" t="s">
        <v>190</v>
      </c>
      <c r="CK135" s="2" t="s">
        <v>189</v>
      </c>
      <c r="CL135" s="2" t="s">
        <v>190</v>
      </c>
      <c r="CM135" s="2" t="s">
        <v>192</v>
      </c>
      <c r="CN135" s="2" t="s">
        <v>192</v>
      </c>
      <c r="CO135" s="2" t="s">
        <v>192</v>
      </c>
      <c r="CP135" s="2" t="s">
        <v>192</v>
      </c>
      <c r="CQ135" s="2" t="s">
        <v>192</v>
      </c>
      <c r="CR135" s="2" t="s">
        <v>193</v>
      </c>
      <c r="CS135" s="2" t="s">
        <v>193</v>
      </c>
      <c r="CT135" s="2" t="s">
        <v>192</v>
      </c>
      <c r="CU135" s="2" t="s">
        <v>192</v>
      </c>
      <c r="CV135" s="2" t="s">
        <v>193</v>
      </c>
      <c r="CW135" s="2" t="s">
        <v>200</v>
      </c>
      <c r="CX135" s="2" t="s">
        <v>193</v>
      </c>
      <c r="CY135" s="2" t="s">
        <v>193</v>
      </c>
      <c r="CZ135" s="2" t="s">
        <v>200</v>
      </c>
      <c r="DA135" s="2" t="s">
        <v>193</v>
      </c>
      <c r="DB135" s="2" t="s">
        <v>193</v>
      </c>
      <c r="DC135" s="2" t="s">
        <v>192</v>
      </c>
      <c r="DD135" s="2" t="s">
        <v>193</v>
      </c>
      <c r="DE135" s="2" t="s">
        <v>193</v>
      </c>
      <c r="DF135" s="2" t="s">
        <v>192</v>
      </c>
      <c r="DG135" s="2" t="s">
        <v>196</v>
      </c>
      <c r="DH135" s="2" t="s">
        <v>194</v>
      </c>
      <c r="DI135" s="2" t="s">
        <v>196</v>
      </c>
      <c r="DJ135" s="2" t="s">
        <v>196</v>
      </c>
      <c r="DK135" s="2" t="s">
        <v>194</v>
      </c>
      <c r="DL135" s="2" t="s">
        <v>195</v>
      </c>
      <c r="DM135" s="2" t="s">
        <v>195</v>
      </c>
      <c r="DN135" s="2" t="s">
        <v>220</v>
      </c>
      <c r="DO135" s="2" t="s">
        <v>196</v>
      </c>
      <c r="DP135" s="2" t="s">
        <v>194</v>
      </c>
      <c r="DQ135" s="2" t="s">
        <v>195</v>
      </c>
      <c r="DR135" s="2" t="s">
        <v>195</v>
      </c>
      <c r="DS135" s="2" t="s">
        <v>197</v>
      </c>
      <c r="DT135" s="2" t="s">
        <v>198</v>
      </c>
      <c r="DU135" s="2" t="s">
        <v>198</v>
      </c>
      <c r="DV135" s="2" t="s">
        <v>198</v>
      </c>
      <c r="DW135" s="2" t="s">
        <v>199</v>
      </c>
      <c r="DX135" s="2" t="s">
        <v>222</v>
      </c>
      <c r="DY135" s="2" t="s">
        <v>199</v>
      </c>
      <c r="DZ135" s="2"/>
      <c r="EA135" s="2">
        <v>0</v>
      </c>
      <c r="EB135" s="2">
        <v>0</v>
      </c>
      <c r="EC135" s="2">
        <v>1</v>
      </c>
      <c r="ED135" s="2">
        <v>0</v>
      </c>
      <c r="EE135" s="2">
        <v>0</v>
      </c>
      <c r="EF135" s="2">
        <v>0</v>
      </c>
      <c r="EG135" s="2">
        <v>1</v>
      </c>
      <c r="EH135" s="2">
        <v>1</v>
      </c>
      <c r="EI135" s="2">
        <v>1</v>
      </c>
      <c r="EJ135" s="2">
        <v>1</v>
      </c>
      <c r="EK135" s="2">
        <v>0</v>
      </c>
      <c r="EL135" s="2">
        <v>1</v>
      </c>
      <c r="EM135" s="2">
        <v>0</v>
      </c>
      <c r="EN135" s="2">
        <v>1</v>
      </c>
      <c r="EO135" s="2">
        <v>0</v>
      </c>
      <c r="EP135" s="2">
        <v>1</v>
      </c>
      <c r="EQ135" s="2">
        <v>0</v>
      </c>
      <c r="ER135" s="2">
        <v>1</v>
      </c>
      <c r="ES135" s="2">
        <v>0</v>
      </c>
      <c r="ET135" s="2">
        <v>1</v>
      </c>
      <c r="EU135" s="2">
        <v>1</v>
      </c>
      <c r="EV135" s="2">
        <v>0</v>
      </c>
      <c r="EW135" s="2">
        <v>0</v>
      </c>
      <c r="EX135" s="2">
        <v>1</v>
      </c>
      <c r="EY135" s="2">
        <v>1</v>
      </c>
      <c r="EZ135" s="2">
        <v>0</v>
      </c>
      <c r="FA135" s="2">
        <v>0</v>
      </c>
      <c r="FB135" s="2">
        <v>1</v>
      </c>
      <c r="FC135" s="2">
        <v>1</v>
      </c>
      <c r="FD135" s="2">
        <v>0</v>
      </c>
      <c r="FE135" s="2">
        <v>0</v>
      </c>
      <c r="FF135" s="2">
        <v>0</v>
      </c>
      <c r="FG135" s="2">
        <v>0</v>
      </c>
      <c r="FH135" s="2">
        <v>1</v>
      </c>
      <c r="FI135" s="2">
        <v>1</v>
      </c>
      <c r="FJ135" s="2">
        <v>1</v>
      </c>
      <c r="FK135" s="2">
        <v>0</v>
      </c>
      <c r="FL135" s="2">
        <v>1</v>
      </c>
      <c r="FM135" s="2">
        <v>1</v>
      </c>
      <c r="FN135" s="2">
        <v>1</v>
      </c>
      <c r="FO135" s="2">
        <v>0</v>
      </c>
      <c r="FP135" s="2">
        <v>1</v>
      </c>
      <c r="FQ135" s="2">
        <v>1</v>
      </c>
      <c r="FR135" s="2">
        <v>1</v>
      </c>
      <c r="FS135" s="2">
        <v>1</v>
      </c>
      <c r="FT135" s="2">
        <v>1</v>
      </c>
      <c r="FU135" s="2">
        <v>1</v>
      </c>
      <c r="FV135" s="2">
        <v>1</v>
      </c>
      <c r="FW135" s="2">
        <v>1</v>
      </c>
      <c r="FX135" s="2">
        <v>1</v>
      </c>
      <c r="FY135" s="2">
        <v>1</v>
      </c>
      <c r="FZ135" s="2"/>
      <c r="GA135" s="2">
        <v>3</v>
      </c>
      <c r="GB135" s="2">
        <v>3</v>
      </c>
      <c r="GC135" s="2">
        <v>3</v>
      </c>
      <c r="GD135" s="2">
        <v>3</v>
      </c>
      <c r="GE135" s="2">
        <v>4</v>
      </c>
      <c r="GG135" s="2">
        <v>3</v>
      </c>
      <c r="GH135" s="2">
        <v>3</v>
      </c>
      <c r="GI135" s="2">
        <v>3</v>
      </c>
      <c r="GJ135" s="2">
        <v>4</v>
      </c>
      <c r="GK135" s="2">
        <v>3</v>
      </c>
      <c r="GM135" s="2">
        <f t="shared" si="0"/>
        <v>16</v>
      </c>
      <c r="GN135" s="2">
        <f t="shared" si="1"/>
        <v>16</v>
      </c>
      <c r="GO135" s="2"/>
      <c r="GP135" s="2">
        <v>3</v>
      </c>
      <c r="GQ135" s="2">
        <v>0</v>
      </c>
      <c r="GR135" s="2">
        <v>1</v>
      </c>
      <c r="GS135" s="2">
        <v>1</v>
      </c>
      <c r="GU135" s="2">
        <v>1</v>
      </c>
      <c r="GV135" s="2">
        <v>2</v>
      </c>
      <c r="GW135" s="2">
        <v>2</v>
      </c>
      <c r="GY135" s="2">
        <v>3</v>
      </c>
      <c r="GZ135" s="2">
        <v>1</v>
      </c>
      <c r="HA135" s="2">
        <v>1</v>
      </c>
      <c r="HB135" s="2">
        <v>1</v>
      </c>
      <c r="HD135" s="2">
        <v>1</v>
      </c>
      <c r="HE135" s="2">
        <v>2</v>
      </c>
      <c r="HF135" s="2">
        <v>2</v>
      </c>
      <c r="HH135" s="2">
        <f t="shared" si="2"/>
        <v>10</v>
      </c>
      <c r="HI135" s="2">
        <f t="shared" si="3"/>
        <v>11</v>
      </c>
      <c r="HJ135" s="2"/>
      <c r="HK135" s="2">
        <v>9</v>
      </c>
      <c r="HL135" s="2">
        <v>8</v>
      </c>
      <c r="HM135" s="2"/>
      <c r="HN135" s="2"/>
    </row>
    <row r="136" spans="1:222" ht="15.75" customHeight="1" x14ac:dyDescent="0.2">
      <c r="A136" s="3" t="e">
        <f>VLOOKUP(B136,#REF!,1,FALSE)</f>
        <v>#REF!</v>
      </c>
      <c r="B136" s="3">
        <v>44463.470059675928</v>
      </c>
      <c r="C136" s="2">
        <v>189</v>
      </c>
      <c r="D136" s="2" t="s">
        <v>185</v>
      </c>
      <c r="E136" s="2">
        <v>0</v>
      </c>
      <c r="F136" s="2" t="s">
        <v>550</v>
      </c>
      <c r="G136" s="2">
        <v>2</v>
      </c>
      <c r="H136" s="2">
        <v>2</v>
      </c>
      <c r="I136" s="2">
        <v>1</v>
      </c>
      <c r="J136" s="2">
        <v>3</v>
      </c>
      <c r="K136" s="2">
        <v>0</v>
      </c>
      <c r="L136" s="2">
        <v>3</v>
      </c>
      <c r="M136" s="2" t="s">
        <v>187</v>
      </c>
      <c r="N136" s="2">
        <v>2</v>
      </c>
      <c r="O136" s="2">
        <v>2</v>
      </c>
      <c r="P136" s="2">
        <v>0</v>
      </c>
      <c r="Q136" s="2">
        <v>0</v>
      </c>
      <c r="R136" s="2">
        <v>3</v>
      </c>
      <c r="S136" s="2">
        <v>1</v>
      </c>
      <c r="T136" s="2">
        <v>0</v>
      </c>
      <c r="U136" s="2">
        <v>1</v>
      </c>
      <c r="V136" s="2">
        <v>-1</v>
      </c>
      <c r="W136" s="2">
        <v>0</v>
      </c>
      <c r="X136" s="2"/>
      <c r="Y136" s="2">
        <v>1</v>
      </c>
      <c r="Z136" s="2">
        <v>1</v>
      </c>
      <c r="AA136" s="2">
        <v>0</v>
      </c>
      <c r="AB136" s="2">
        <v>1</v>
      </c>
      <c r="AC136" s="2">
        <v>2</v>
      </c>
      <c r="AD136" s="2">
        <v>1</v>
      </c>
      <c r="AE136" s="2">
        <v>2</v>
      </c>
      <c r="AF136" s="2">
        <v>4</v>
      </c>
      <c r="AG136" s="2">
        <v>1</v>
      </c>
      <c r="AH136" s="2">
        <v>1</v>
      </c>
      <c r="AI136" s="2">
        <v>-2</v>
      </c>
      <c r="AJ136" s="2">
        <v>3</v>
      </c>
      <c r="AK136" s="2">
        <v>-1</v>
      </c>
      <c r="AL136" s="2">
        <v>-1</v>
      </c>
      <c r="AM136" s="2">
        <v>3</v>
      </c>
      <c r="AN136" s="2">
        <v>4</v>
      </c>
      <c r="AO136" s="2">
        <v>5</v>
      </c>
      <c r="AP136" s="2">
        <v>3</v>
      </c>
      <c r="AQ136" s="2">
        <v>5</v>
      </c>
      <c r="AR136" s="2">
        <v>2</v>
      </c>
      <c r="AS136" s="2">
        <v>2</v>
      </c>
      <c r="AT136" s="2">
        <v>1</v>
      </c>
      <c r="AU136" s="2">
        <v>1</v>
      </c>
      <c r="AV136" s="2"/>
      <c r="AW136" s="2">
        <v>1</v>
      </c>
      <c r="AX136" s="2">
        <v>3</v>
      </c>
      <c r="AY136" s="2">
        <v>0</v>
      </c>
      <c r="AZ136" s="2">
        <v>3</v>
      </c>
      <c r="BA136" s="2">
        <v>3</v>
      </c>
      <c r="BB136" s="2">
        <v>2</v>
      </c>
      <c r="BC136" s="2">
        <v>4</v>
      </c>
      <c r="BD136" s="2">
        <v>3</v>
      </c>
      <c r="BE136" s="2">
        <v>2</v>
      </c>
      <c r="BF136" s="2">
        <v>1</v>
      </c>
      <c r="BG136" s="2">
        <v>2</v>
      </c>
      <c r="BH136" s="2">
        <v>1</v>
      </c>
      <c r="BI136" s="2"/>
      <c r="BJ136" s="2">
        <v>3</v>
      </c>
      <c r="BK136" s="2">
        <v>2</v>
      </c>
      <c r="BL136" s="2">
        <v>0</v>
      </c>
      <c r="BM136" s="2">
        <v>9</v>
      </c>
      <c r="BN136" s="2">
        <v>9</v>
      </c>
      <c r="BO136" s="2">
        <v>7</v>
      </c>
      <c r="BP136" s="2" t="s">
        <v>258</v>
      </c>
      <c r="BQ136" s="2" t="s">
        <v>258</v>
      </c>
      <c r="BR136" s="2" t="s">
        <v>551</v>
      </c>
      <c r="BS136" s="6" t="s">
        <v>552</v>
      </c>
      <c r="BT136" s="2" t="s">
        <v>258</v>
      </c>
      <c r="BU136" s="2" t="s">
        <v>258</v>
      </c>
      <c r="BV136" s="2" t="s">
        <v>553</v>
      </c>
      <c r="BW136" s="2" t="s">
        <v>554</v>
      </c>
      <c r="BX136" s="2" t="s">
        <v>191</v>
      </c>
      <c r="BY136" s="2" t="s">
        <v>190</v>
      </c>
      <c r="BZ136" s="2" t="s">
        <v>190</v>
      </c>
      <c r="CA136" s="2" t="s">
        <v>188</v>
      </c>
      <c r="CB136" s="2" t="s">
        <v>191</v>
      </c>
      <c r="CC136" s="2" t="s">
        <v>188</v>
      </c>
      <c r="CD136" s="2" t="s">
        <v>189</v>
      </c>
      <c r="CE136" s="2" t="s">
        <v>189</v>
      </c>
      <c r="CF136" s="2" t="s">
        <v>190</v>
      </c>
      <c r="CG136" s="2" t="s">
        <v>191</v>
      </c>
      <c r="CH136" s="2" t="s">
        <v>190</v>
      </c>
      <c r="CI136" s="2" t="s">
        <v>189</v>
      </c>
      <c r="CJ136" s="2" t="s">
        <v>190</v>
      </c>
      <c r="CK136" s="2" t="s">
        <v>189</v>
      </c>
      <c r="CL136" s="2" t="s">
        <v>190</v>
      </c>
      <c r="CM136" s="2" t="s">
        <v>193</v>
      </c>
      <c r="CN136" s="2" t="s">
        <v>192</v>
      </c>
      <c r="CO136" s="2" t="s">
        <v>192</v>
      </c>
      <c r="CP136" s="2" t="s">
        <v>193</v>
      </c>
      <c r="CQ136" s="2" t="s">
        <v>192</v>
      </c>
      <c r="CR136" s="2" t="s">
        <v>193</v>
      </c>
      <c r="CS136" s="2" t="s">
        <v>192</v>
      </c>
      <c r="CT136" s="2" t="s">
        <v>192</v>
      </c>
      <c r="CU136" s="2" t="s">
        <v>192</v>
      </c>
      <c r="CV136" s="2" t="s">
        <v>192</v>
      </c>
      <c r="CW136" s="2" t="s">
        <v>192</v>
      </c>
      <c r="CX136" s="2" t="s">
        <v>193</v>
      </c>
      <c r="CY136" s="2" t="s">
        <v>192</v>
      </c>
      <c r="CZ136" s="2" t="s">
        <v>192</v>
      </c>
      <c r="DA136" s="2" t="s">
        <v>193</v>
      </c>
      <c r="DB136" s="2" t="s">
        <v>192</v>
      </c>
      <c r="DC136" s="2" t="s">
        <v>192</v>
      </c>
      <c r="DD136" s="2" t="s">
        <v>193</v>
      </c>
      <c r="DE136" s="2" t="s">
        <v>193</v>
      </c>
      <c r="DF136" s="2" t="s">
        <v>200</v>
      </c>
      <c r="DG136" s="2" t="s">
        <v>194</v>
      </c>
      <c r="DH136" s="2" t="s">
        <v>194</v>
      </c>
      <c r="DI136" s="2" t="s">
        <v>195</v>
      </c>
      <c r="DJ136" s="2" t="s">
        <v>194</v>
      </c>
      <c r="DK136" s="2" t="s">
        <v>194</v>
      </c>
      <c r="DL136" s="2" t="s">
        <v>196</v>
      </c>
      <c r="DM136" s="2" t="s">
        <v>194</v>
      </c>
      <c r="DN136" s="2" t="s">
        <v>195</v>
      </c>
      <c r="DO136" s="2" t="s">
        <v>195</v>
      </c>
      <c r="DP136" s="2" t="s">
        <v>195</v>
      </c>
      <c r="DQ136" s="2" t="s">
        <v>195</v>
      </c>
      <c r="DR136" s="2" t="s">
        <v>196</v>
      </c>
      <c r="DS136" s="2" t="s">
        <v>197</v>
      </c>
      <c r="DT136" s="2" t="s">
        <v>199</v>
      </c>
      <c r="DU136" s="2" t="s">
        <v>198</v>
      </c>
      <c r="DV136" s="2" t="s">
        <v>197</v>
      </c>
      <c r="DW136" s="2" t="s">
        <v>197</v>
      </c>
      <c r="DX136" s="2" t="s">
        <v>197</v>
      </c>
      <c r="DY136" s="2" t="s">
        <v>197</v>
      </c>
      <c r="DZ136" s="2" t="s">
        <v>197</v>
      </c>
      <c r="EA136" s="2">
        <v>1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1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1</v>
      </c>
      <c r="EQ136" s="2">
        <v>0</v>
      </c>
      <c r="ER136" s="2">
        <v>0</v>
      </c>
      <c r="ES136" s="2">
        <v>1</v>
      </c>
      <c r="ET136" s="2">
        <v>1</v>
      </c>
      <c r="EU136" s="2">
        <v>0</v>
      </c>
      <c r="EV136" s="2">
        <v>1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1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1</v>
      </c>
      <c r="FM136" s="2">
        <v>0</v>
      </c>
      <c r="FN136" s="2">
        <v>1</v>
      </c>
      <c r="FO136" s="2">
        <v>0</v>
      </c>
      <c r="FP136" s="2">
        <v>0</v>
      </c>
      <c r="FQ136" s="2">
        <v>1</v>
      </c>
      <c r="FR136" s="2">
        <v>0</v>
      </c>
      <c r="FS136" s="2">
        <v>1</v>
      </c>
      <c r="FT136" s="2">
        <v>0</v>
      </c>
      <c r="FU136" s="2">
        <v>1</v>
      </c>
      <c r="FV136" s="2">
        <v>1</v>
      </c>
      <c r="FW136" s="2">
        <v>0</v>
      </c>
      <c r="FX136" s="2">
        <v>1</v>
      </c>
      <c r="FY136" s="2">
        <v>0</v>
      </c>
      <c r="FZ136" s="2"/>
      <c r="GA136" s="2">
        <v>3</v>
      </c>
      <c r="GB136" s="2">
        <v>4</v>
      </c>
      <c r="GC136" s="2">
        <v>5</v>
      </c>
      <c r="GD136" s="2">
        <v>3</v>
      </c>
      <c r="GE136" s="2">
        <v>5</v>
      </c>
      <c r="GG136" s="2">
        <v>3</v>
      </c>
      <c r="GH136" s="2">
        <v>3</v>
      </c>
      <c r="GI136" s="2">
        <v>2</v>
      </c>
      <c r="GJ136" s="2">
        <v>4</v>
      </c>
      <c r="GK136" s="2">
        <v>3</v>
      </c>
      <c r="GM136" s="2">
        <f t="shared" si="0"/>
        <v>20</v>
      </c>
      <c r="GN136" s="2">
        <f t="shared" si="1"/>
        <v>15</v>
      </c>
      <c r="GO136" s="2"/>
      <c r="GP136" s="2">
        <v>2</v>
      </c>
      <c r="GQ136" s="2">
        <v>2</v>
      </c>
      <c r="GR136" s="2">
        <v>1</v>
      </c>
      <c r="GS136" s="2">
        <v>1</v>
      </c>
      <c r="GU136" s="2">
        <v>1</v>
      </c>
      <c r="GV136" s="2">
        <v>3</v>
      </c>
      <c r="GW136" s="2">
        <v>0</v>
      </c>
      <c r="GY136" s="2">
        <v>2</v>
      </c>
      <c r="GZ136" s="2">
        <v>1</v>
      </c>
      <c r="HA136" s="2">
        <v>2</v>
      </c>
      <c r="HB136" s="2">
        <v>1</v>
      </c>
      <c r="HD136" s="2">
        <v>3</v>
      </c>
      <c r="HE136" s="2">
        <v>2</v>
      </c>
      <c r="HF136" s="2">
        <v>0</v>
      </c>
      <c r="HH136" s="2">
        <f t="shared" si="2"/>
        <v>10</v>
      </c>
      <c r="HI136" s="2">
        <f t="shared" si="3"/>
        <v>11</v>
      </c>
      <c r="HJ136" s="2"/>
      <c r="HK136" s="2">
        <v>9</v>
      </c>
      <c r="HL136" s="2">
        <v>7</v>
      </c>
      <c r="HM136" s="2"/>
      <c r="HN136" s="2"/>
    </row>
    <row r="137" spans="1:222" ht="15.75" customHeight="1" x14ac:dyDescent="0.2">
      <c r="A137" s="3" t="e">
        <f>VLOOKUP(B137,#REF!,1,FALSE)</f>
        <v>#REF!</v>
      </c>
      <c r="B137" s="3">
        <v>44463.474017337961</v>
      </c>
      <c r="C137" s="2">
        <v>190</v>
      </c>
      <c r="D137" s="2" t="s">
        <v>185</v>
      </c>
      <c r="E137" s="2">
        <v>0</v>
      </c>
      <c r="F137" s="2" t="s">
        <v>347</v>
      </c>
      <c r="G137" s="2">
        <v>2</v>
      </c>
      <c r="H137" s="2">
        <v>2</v>
      </c>
      <c r="I137" s="2">
        <v>1</v>
      </c>
      <c r="J137" s="2">
        <v>3</v>
      </c>
      <c r="K137" s="2"/>
      <c r="L137" s="2">
        <v>3</v>
      </c>
      <c r="M137" s="2" t="s">
        <v>213</v>
      </c>
      <c r="N137" s="2">
        <v>2</v>
      </c>
      <c r="O137" s="2">
        <v>2</v>
      </c>
      <c r="P137" s="2">
        <v>0</v>
      </c>
      <c r="Q137" s="2">
        <v>0</v>
      </c>
      <c r="R137" s="2">
        <v>3</v>
      </c>
      <c r="S137" s="2">
        <v>-1</v>
      </c>
      <c r="T137" s="2">
        <v>-1</v>
      </c>
      <c r="U137" s="2">
        <v>-1</v>
      </c>
      <c r="V137" s="2">
        <v>0</v>
      </c>
      <c r="W137" s="2">
        <v>0</v>
      </c>
      <c r="X137" s="2"/>
      <c r="Y137" s="2">
        <v>0</v>
      </c>
      <c r="Z137" s="2">
        <v>1</v>
      </c>
      <c r="AA137" s="2">
        <v>1</v>
      </c>
      <c r="AB137" s="2">
        <v>2</v>
      </c>
      <c r="AC137" s="2">
        <v>1</v>
      </c>
      <c r="AD137" s="2">
        <v>2</v>
      </c>
      <c r="AE137" s="2">
        <v>1</v>
      </c>
      <c r="AF137" s="2">
        <v>2</v>
      </c>
      <c r="AG137" s="2">
        <v>2</v>
      </c>
      <c r="AH137" s="2">
        <v>2</v>
      </c>
      <c r="AI137" s="2">
        <v>1</v>
      </c>
      <c r="AJ137" s="2">
        <v>2</v>
      </c>
      <c r="AK137" s="2">
        <v>-1</v>
      </c>
      <c r="AL137" s="2">
        <v>2</v>
      </c>
      <c r="AM137" s="2">
        <v>3</v>
      </c>
      <c r="AN137" s="2">
        <v>4</v>
      </c>
      <c r="AO137" s="2">
        <v>3</v>
      </c>
      <c r="AP137" s="2">
        <v>4</v>
      </c>
      <c r="AQ137" s="2">
        <v>2</v>
      </c>
      <c r="AR137" s="2">
        <v>3</v>
      </c>
      <c r="AS137" s="2">
        <v>3</v>
      </c>
      <c r="AT137" s="2">
        <v>2</v>
      </c>
      <c r="AU137" s="2">
        <v>2</v>
      </c>
      <c r="AV137" s="2"/>
      <c r="AW137" s="2">
        <v>3</v>
      </c>
      <c r="AX137" s="2">
        <v>4</v>
      </c>
      <c r="AY137" s="2">
        <v>0</v>
      </c>
      <c r="AZ137" s="2">
        <v>4</v>
      </c>
      <c r="BA137" s="2">
        <v>4</v>
      </c>
      <c r="BB137" s="2">
        <v>3</v>
      </c>
      <c r="BC137" s="2">
        <v>4</v>
      </c>
      <c r="BD137" s="2">
        <v>2</v>
      </c>
      <c r="BE137" s="2">
        <v>3</v>
      </c>
      <c r="BF137" s="2">
        <v>2</v>
      </c>
      <c r="BG137" s="2">
        <v>2</v>
      </c>
      <c r="BH137" s="2">
        <v>2</v>
      </c>
      <c r="BI137" s="2"/>
      <c r="BJ137" s="2">
        <v>2</v>
      </c>
      <c r="BK137" s="2">
        <v>3</v>
      </c>
      <c r="BL137" s="2">
        <v>0</v>
      </c>
      <c r="BM137" s="2">
        <v>7</v>
      </c>
      <c r="BN137" s="2">
        <v>5</v>
      </c>
      <c r="BO137" s="2">
        <v>5</v>
      </c>
      <c r="BP137" s="2"/>
      <c r="BQ137" s="2" t="s">
        <v>555</v>
      </c>
      <c r="BR137" s="2" t="s">
        <v>556</v>
      </c>
      <c r="BS137" s="2"/>
      <c r="BT137" s="2"/>
      <c r="BU137" s="2" t="s">
        <v>557</v>
      </c>
      <c r="BV137" s="2" t="s">
        <v>558</v>
      </c>
      <c r="BW137" s="2" t="s">
        <v>559</v>
      </c>
      <c r="BX137" s="2" t="s">
        <v>191</v>
      </c>
      <c r="BY137" s="2" t="s">
        <v>190</v>
      </c>
      <c r="BZ137" s="2" t="s">
        <v>188</v>
      </c>
      <c r="CA137" s="2" t="s">
        <v>188</v>
      </c>
      <c r="CB137" s="2" t="s">
        <v>191</v>
      </c>
      <c r="CC137" s="2" t="s">
        <v>188</v>
      </c>
      <c r="CD137" s="2" t="s">
        <v>190</v>
      </c>
      <c r="CE137" s="2" t="s">
        <v>190</v>
      </c>
      <c r="CF137" s="2" t="s">
        <v>190</v>
      </c>
      <c r="CG137" s="2" t="s">
        <v>190</v>
      </c>
      <c r="CH137" s="2" t="s">
        <v>190</v>
      </c>
      <c r="CI137" s="2" t="s">
        <v>190</v>
      </c>
      <c r="CJ137" s="2" t="s">
        <v>190</v>
      </c>
      <c r="CK137" s="2" t="s">
        <v>190</v>
      </c>
      <c r="CL137" s="2" t="s">
        <v>190</v>
      </c>
      <c r="CM137" s="2" t="s">
        <v>192</v>
      </c>
      <c r="CN137" s="2" t="s">
        <v>193</v>
      </c>
      <c r="CO137" s="2" t="s">
        <v>200</v>
      </c>
      <c r="CP137" s="2" t="s">
        <v>193</v>
      </c>
      <c r="CQ137" s="2" t="s">
        <v>192</v>
      </c>
      <c r="CR137" s="2" t="s">
        <v>200</v>
      </c>
      <c r="CS137" s="2" t="s">
        <v>200</v>
      </c>
      <c r="CT137" s="2" t="s">
        <v>193</v>
      </c>
      <c r="CU137" s="2" t="s">
        <v>200</v>
      </c>
      <c r="CV137" s="2" t="s">
        <v>192</v>
      </c>
      <c r="CW137" s="2" t="s">
        <v>192</v>
      </c>
      <c r="CX137" s="2" t="s">
        <v>200</v>
      </c>
      <c r="CY137" s="2" t="s">
        <v>200</v>
      </c>
      <c r="CZ137" s="2" t="s">
        <v>193</v>
      </c>
      <c r="DA137" s="2" t="s">
        <v>200</v>
      </c>
      <c r="DB137" s="2" t="s">
        <v>200</v>
      </c>
      <c r="DC137" s="2" t="s">
        <v>192</v>
      </c>
      <c r="DD137" s="2" t="s">
        <v>200</v>
      </c>
      <c r="DE137" s="2" t="s">
        <v>193</v>
      </c>
      <c r="DF137" s="2" t="s">
        <v>193</v>
      </c>
      <c r="DG137" s="2" t="s">
        <v>195</v>
      </c>
      <c r="DH137" s="2" t="s">
        <v>195</v>
      </c>
      <c r="DI137" s="2" t="s">
        <v>195</v>
      </c>
      <c r="DJ137" s="2" t="s">
        <v>195</v>
      </c>
      <c r="DK137" s="2" t="s">
        <v>195</v>
      </c>
      <c r="DL137" s="2" t="s">
        <v>194</v>
      </c>
      <c r="DM137" s="2" t="s">
        <v>195</v>
      </c>
      <c r="DN137" s="2" t="s">
        <v>194</v>
      </c>
      <c r="DO137" s="2" t="s">
        <v>194</v>
      </c>
      <c r="DP137" s="2" t="s">
        <v>195</v>
      </c>
      <c r="DQ137" s="2" t="s">
        <v>195</v>
      </c>
      <c r="DR137" s="2" t="s">
        <v>195</v>
      </c>
      <c r="DS137" s="2" t="s">
        <v>197</v>
      </c>
      <c r="DT137" s="2" t="s">
        <v>197</v>
      </c>
      <c r="DU137" s="2" t="s">
        <v>198</v>
      </c>
      <c r="DV137" s="2" t="s">
        <v>197</v>
      </c>
      <c r="DW137" s="2" t="s">
        <v>197</v>
      </c>
      <c r="DX137" s="2" t="s">
        <v>199</v>
      </c>
      <c r="DY137" s="2" t="s">
        <v>198</v>
      </c>
      <c r="DZ137" s="2" t="s">
        <v>197</v>
      </c>
      <c r="EA137" s="2">
        <v>1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1</v>
      </c>
      <c r="EI137" s="2">
        <v>0</v>
      </c>
      <c r="EJ137" s="2">
        <v>1</v>
      </c>
      <c r="EK137" s="2">
        <v>0</v>
      </c>
      <c r="EL137" s="2">
        <v>1</v>
      </c>
      <c r="EM137" s="2">
        <v>0</v>
      </c>
      <c r="EN137" s="2">
        <v>1</v>
      </c>
      <c r="EO137" s="2">
        <v>0</v>
      </c>
      <c r="EP137" s="2">
        <v>1</v>
      </c>
      <c r="EQ137" s="2">
        <v>0</v>
      </c>
      <c r="ER137" s="2">
        <v>0</v>
      </c>
      <c r="ES137" s="2">
        <v>1</v>
      </c>
      <c r="ET137" s="2">
        <v>0</v>
      </c>
      <c r="EU137" s="2">
        <v>1</v>
      </c>
      <c r="EV137" s="2">
        <v>0</v>
      </c>
      <c r="EW137" s="2">
        <v>1</v>
      </c>
      <c r="EX137" s="2">
        <v>0</v>
      </c>
      <c r="EY137" s="2">
        <v>1</v>
      </c>
      <c r="EZ137" s="2">
        <v>1</v>
      </c>
      <c r="FA137" s="2">
        <v>0</v>
      </c>
      <c r="FB137" s="2">
        <v>0</v>
      </c>
      <c r="FC137" s="2">
        <v>1</v>
      </c>
      <c r="FD137" s="2">
        <v>0</v>
      </c>
      <c r="FE137" s="2">
        <v>0</v>
      </c>
      <c r="FF137" s="2">
        <v>1</v>
      </c>
      <c r="FG137" s="2">
        <v>0</v>
      </c>
      <c r="FH137" s="2">
        <v>1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1</v>
      </c>
      <c r="FR137" s="2">
        <v>0</v>
      </c>
      <c r="FS137" s="2">
        <v>1</v>
      </c>
      <c r="FT137" s="2">
        <v>0</v>
      </c>
      <c r="FU137" s="2">
        <v>1</v>
      </c>
      <c r="FV137" s="2">
        <v>1</v>
      </c>
      <c r="FW137" s="2">
        <v>1</v>
      </c>
      <c r="FX137" s="2">
        <v>1</v>
      </c>
      <c r="FY137" s="2">
        <v>1</v>
      </c>
      <c r="FZ137" s="2"/>
      <c r="GA137" s="2">
        <v>3</v>
      </c>
      <c r="GB137" s="2">
        <v>4</v>
      </c>
      <c r="GC137" s="2">
        <v>3</v>
      </c>
      <c r="GD137" s="2">
        <v>4</v>
      </c>
      <c r="GE137" s="2">
        <v>2</v>
      </c>
      <c r="GG137" s="2">
        <v>4</v>
      </c>
      <c r="GH137" s="2">
        <v>4</v>
      </c>
      <c r="GI137" s="2">
        <v>3</v>
      </c>
      <c r="GJ137" s="2">
        <v>4</v>
      </c>
      <c r="GK137" s="2">
        <v>2</v>
      </c>
      <c r="GM137" s="2">
        <f t="shared" si="0"/>
        <v>16</v>
      </c>
      <c r="GN137" s="2">
        <f t="shared" si="1"/>
        <v>17</v>
      </c>
      <c r="GO137" s="2"/>
      <c r="GP137" s="2">
        <v>3</v>
      </c>
      <c r="GQ137" s="2">
        <v>3</v>
      </c>
      <c r="GR137" s="2">
        <v>2</v>
      </c>
      <c r="GS137" s="2">
        <v>2</v>
      </c>
      <c r="GU137" s="2">
        <v>3</v>
      </c>
      <c r="GV137" s="2">
        <v>4</v>
      </c>
      <c r="GW137" s="2">
        <v>0</v>
      </c>
      <c r="GY137" s="2">
        <v>3</v>
      </c>
      <c r="GZ137" s="2">
        <v>2</v>
      </c>
      <c r="HA137" s="2">
        <v>2</v>
      </c>
      <c r="HB137" s="2">
        <v>2</v>
      </c>
      <c r="HD137" s="2">
        <v>2</v>
      </c>
      <c r="HE137" s="2">
        <v>3</v>
      </c>
      <c r="HF137" s="2">
        <v>0</v>
      </c>
      <c r="HH137" s="2">
        <f t="shared" si="2"/>
        <v>17</v>
      </c>
      <c r="HI137" s="2">
        <f t="shared" si="3"/>
        <v>14</v>
      </c>
      <c r="HJ137" s="2"/>
      <c r="HK137" s="2">
        <v>5</v>
      </c>
      <c r="HL137" s="2">
        <v>5</v>
      </c>
      <c r="HM137" s="2"/>
      <c r="HN137" s="2"/>
    </row>
    <row r="138" spans="1:222" ht="15.75" customHeight="1" x14ac:dyDescent="0.2">
      <c r="A138" s="3" t="e">
        <f>VLOOKUP(B138,#REF!,1,FALSE)</f>
        <v>#REF!</v>
      </c>
      <c r="B138" s="3">
        <v>44463.474772974536</v>
      </c>
      <c r="C138" s="2">
        <v>191</v>
      </c>
      <c r="D138" s="2" t="s">
        <v>185</v>
      </c>
      <c r="E138" s="2">
        <v>0</v>
      </c>
      <c r="F138" s="2" t="s">
        <v>186</v>
      </c>
      <c r="G138" s="2">
        <v>2</v>
      </c>
      <c r="H138" s="2">
        <v>2</v>
      </c>
      <c r="I138" s="2">
        <v>1</v>
      </c>
      <c r="J138" s="2">
        <v>4</v>
      </c>
      <c r="K138" s="2">
        <v>0</v>
      </c>
      <c r="L138" s="2">
        <v>3</v>
      </c>
      <c r="M138" s="2" t="s">
        <v>213</v>
      </c>
      <c r="N138" s="2">
        <v>2</v>
      </c>
      <c r="O138" s="2">
        <v>3</v>
      </c>
      <c r="P138" s="2">
        <v>0</v>
      </c>
      <c r="Q138" s="2">
        <v>0</v>
      </c>
      <c r="R138" s="2">
        <v>3</v>
      </c>
      <c r="S138" s="2">
        <v>1</v>
      </c>
      <c r="T138" s="2">
        <v>1</v>
      </c>
      <c r="U138" s="2">
        <v>1</v>
      </c>
      <c r="V138" s="2">
        <v>0</v>
      </c>
      <c r="W138" s="2">
        <v>1</v>
      </c>
      <c r="X138" s="2"/>
      <c r="Y138" s="2">
        <v>1</v>
      </c>
      <c r="Z138" s="2">
        <v>0</v>
      </c>
      <c r="AA138" s="2">
        <v>1</v>
      </c>
      <c r="AB138" s="2">
        <v>4</v>
      </c>
      <c r="AC138" s="2">
        <v>1</v>
      </c>
      <c r="AD138" s="2">
        <v>4</v>
      </c>
      <c r="AE138" s="2">
        <v>4</v>
      </c>
      <c r="AF138" s="2">
        <v>0</v>
      </c>
      <c r="AG138" s="2">
        <v>1</v>
      </c>
      <c r="AH138" s="2">
        <v>2</v>
      </c>
      <c r="AI138" s="2">
        <v>1</v>
      </c>
      <c r="AJ138" s="2">
        <v>1</v>
      </c>
      <c r="AK138" s="2">
        <v>3</v>
      </c>
      <c r="AL138" s="2">
        <v>1</v>
      </c>
      <c r="AM138" s="2">
        <v>4</v>
      </c>
      <c r="AN138" s="2">
        <v>4</v>
      </c>
      <c r="AO138" s="2">
        <v>4</v>
      </c>
      <c r="AP138" s="2">
        <v>3</v>
      </c>
      <c r="AQ138" s="2">
        <v>4</v>
      </c>
      <c r="AR138" s="2">
        <v>3</v>
      </c>
      <c r="AS138" s="2">
        <v>0</v>
      </c>
      <c r="AT138" s="2">
        <v>1</v>
      </c>
      <c r="AU138" s="2">
        <v>1</v>
      </c>
      <c r="AV138" s="2"/>
      <c r="AW138" s="2">
        <v>2</v>
      </c>
      <c r="AX138" s="2">
        <v>1</v>
      </c>
      <c r="AY138" s="2">
        <v>0</v>
      </c>
      <c r="AZ138" s="2">
        <v>1</v>
      </c>
      <c r="BA138" s="2">
        <v>1</v>
      </c>
      <c r="BB138" s="2">
        <v>1</v>
      </c>
      <c r="BC138" s="2">
        <v>1</v>
      </c>
      <c r="BD138" s="2">
        <v>1</v>
      </c>
      <c r="BE138" s="2">
        <v>1</v>
      </c>
      <c r="BF138" s="2">
        <v>0</v>
      </c>
      <c r="BG138" s="2">
        <v>2</v>
      </c>
      <c r="BH138" s="2">
        <v>1</v>
      </c>
      <c r="BI138" s="2"/>
      <c r="BJ138" s="2">
        <v>3</v>
      </c>
      <c r="BK138" s="2">
        <v>3</v>
      </c>
      <c r="BL138" s="2">
        <v>0</v>
      </c>
      <c r="BM138" s="2">
        <v>7</v>
      </c>
      <c r="BN138" s="2">
        <v>7</v>
      </c>
      <c r="BO138" s="2">
        <v>7</v>
      </c>
      <c r="BP138" s="2"/>
      <c r="BQ138" s="2"/>
      <c r="BR138" s="2"/>
      <c r="BS138" s="2"/>
      <c r="BT138" s="2"/>
      <c r="BU138" s="2"/>
      <c r="BV138" s="2" t="s">
        <v>560</v>
      </c>
      <c r="BW138" s="2" t="s">
        <v>561</v>
      </c>
      <c r="BX138" s="2" t="s">
        <v>191</v>
      </c>
      <c r="BY138" s="2" t="s">
        <v>191</v>
      </c>
      <c r="BZ138" s="2" t="s">
        <v>190</v>
      </c>
      <c r="CA138" s="2" t="s">
        <v>190</v>
      </c>
      <c r="CB138" s="2" t="s">
        <v>191</v>
      </c>
      <c r="CC138" s="2" t="s">
        <v>188</v>
      </c>
      <c r="CD138" s="2" t="s">
        <v>189</v>
      </c>
      <c r="CE138" s="2" t="s">
        <v>188</v>
      </c>
      <c r="CF138" s="2" t="s">
        <v>188</v>
      </c>
      <c r="CG138" s="2" t="s">
        <v>188</v>
      </c>
      <c r="CH138" s="2" t="s">
        <v>190</v>
      </c>
      <c r="CI138" s="2" t="s">
        <v>189</v>
      </c>
      <c r="CJ138" s="2" t="s">
        <v>189</v>
      </c>
      <c r="CK138" s="2" t="s">
        <v>189</v>
      </c>
      <c r="CL138" s="2" t="s">
        <v>190</v>
      </c>
      <c r="CM138" s="2" t="s">
        <v>193</v>
      </c>
      <c r="CN138" s="2" t="s">
        <v>193</v>
      </c>
      <c r="CO138" s="2" t="s">
        <v>193</v>
      </c>
      <c r="CP138" s="2" t="s">
        <v>193</v>
      </c>
      <c r="CQ138" s="2" t="s">
        <v>192</v>
      </c>
      <c r="CR138" s="2"/>
      <c r="CS138" s="2" t="s">
        <v>193</v>
      </c>
      <c r="CT138" s="2" t="s">
        <v>193</v>
      </c>
      <c r="CU138" s="2" t="s">
        <v>193</v>
      </c>
      <c r="CV138" s="2" t="s">
        <v>200</v>
      </c>
      <c r="CW138" s="2" t="s">
        <v>200</v>
      </c>
      <c r="CX138" s="2" t="s">
        <v>200</v>
      </c>
      <c r="CY138" s="2" t="s">
        <v>200</v>
      </c>
      <c r="CZ138" s="2" t="s">
        <v>200</v>
      </c>
      <c r="DA138" s="2" t="s">
        <v>200</v>
      </c>
      <c r="DB138" s="2" t="s">
        <v>193</v>
      </c>
      <c r="DC138" s="2" t="s">
        <v>193</v>
      </c>
      <c r="DD138" s="2" t="s">
        <v>193</v>
      </c>
      <c r="DE138" s="2" t="s">
        <v>192</v>
      </c>
      <c r="DF138" s="2" t="s">
        <v>200</v>
      </c>
      <c r="DG138" s="2" t="s">
        <v>195</v>
      </c>
      <c r="DH138" s="2" t="s">
        <v>195</v>
      </c>
      <c r="DI138" s="2" t="s">
        <v>195</v>
      </c>
      <c r="DJ138" s="2" t="s">
        <v>195</v>
      </c>
      <c r="DK138" s="2" t="s">
        <v>194</v>
      </c>
      <c r="DL138" s="2" t="s">
        <v>195</v>
      </c>
      <c r="DM138" s="2" t="s">
        <v>195</v>
      </c>
      <c r="DN138" s="2" t="s">
        <v>196</v>
      </c>
      <c r="DO138" s="2" t="s">
        <v>196</v>
      </c>
      <c r="DP138" s="2" t="s">
        <v>196</v>
      </c>
      <c r="DQ138" s="2" t="s">
        <v>195</v>
      </c>
      <c r="DR138" s="2" t="s">
        <v>195</v>
      </c>
      <c r="DS138" s="2" t="s">
        <v>197</v>
      </c>
      <c r="DT138" s="2" t="s">
        <v>197</v>
      </c>
      <c r="DU138" s="2" t="s">
        <v>197</v>
      </c>
      <c r="DV138" s="2" t="s">
        <v>198</v>
      </c>
      <c r="DW138" s="2" t="s">
        <v>198</v>
      </c>
      <c r="DX138" s="2" t="s">
        <v>198</v>
      </c>
      <c r="DY138" s="2" t="s">
        <v>198</v>
      </c>
      <c r="DZ138" s="2"/>
      <c r="EA138" s="2">
        <v>1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1</v>
      </c>
      <c r="EJ138" s="2">
        <v>1</v>
      </c>
      <c r="EK138" s="2">
        <v>0</v>
      </c>
      <c r="EL138" s="2">
        <v>0</v>
      </c>
      <c r="EM138" s="2">
        <v>0</v>
      </c>
      <c r="EN138" s="2">
        <v>1</v>
      </c>
      <c r="EO138" s="2">
        <v>0</v>
      </c>
      <c r="EP138" s="2">
        <v>0</v>
      </c>
      <c r="EQ138" s="2">
        <v>1</v>
      </c>
      <c r="ER138" s="2">
        <v>0</v>
      </c>
      <c r="ES138" s="2">
        <v>1</v>
      </c>
      <c r="ET138" s="2">
        <v>1</v>
      </c>
      <c r="EU138" s="2">
        <v>0</v>
      </c>
      <c r="EV138" s="2">
        <v>1</v>
      </c>
      <c r="EW138" s="2">
        <v>0</v>
      </c>
      <c r="EX138" s="2">
        <v>0</v>
      </c>
      <c r="EY138" s="2">
        <v>1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1</v>
      </c>
      <c r="FH138" s="2">
        <v>1</v>
      </c>
      <c r="FI138" s="2">
        <v>0</v>
      </c>
      <c r="FJ138" s="2">
        <v>0</v>
      </c>
      <c r="FK138" s="2">
        <v>0</v>
      </c>
      <c r="FL138" s="2">
        <v>0</v>
      </c>
      <c r="FM138" s="2">
        <v>1</v>
      </c>
      <c r="FN138" s="2">
        <v>0</v>
      </c>
      <c r="FO138" s="2">
        <v>0</v>
      </c>
      <c r="FP138" s="2">
        <v>0</v>
      </c>
      <c r="FQ138" s="2">
        <v>1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/>
      <c r="GA138" s="2">
        <v>4</v>
      </c>
      <c r="GB138" s="2">
        <v>4</v>
      </c>
      <c r="GC138" s="2">
        <v>4</v>
      </c>
      <c r="GD138" s="2">
        <v>3</v>
      </c>
      <c r="GE138" s="2">
        <v>4</v>
      </c>
      <c r="GG138" s="2">
        <v>1</v>
      </c>
      <c r="GH138" s="2">
        <v>1</v>
      </c>
      <c r="GI138" s="2">
        <v>1</v>
      </c>
      <c r="GJ138" s="2">
        <v>1</v>
      </c>
      <c r="GK138" s="2">
        <v>1</v>
      </c>
      <c r="GM138" s="2">
        <f t="shared" si="0"/>
        <v>19</v>
      </c>
      <c r="GN138" s="2">
        <f t="shared" si="1"/>
        <v>5</v>
      </c>
      <c r="GO138" s="2"/>
      <c r="GP138" s="2">
        <v>3</v>
      </c>
      <c r="GQ138" s="2">
        <v>0</v>
      </c>
      <c r="GR138" s="2">
        <v>1</v>
      </c>
      <c r="GS138" s="2">
        <v>1</v>
      </c>
      <c r="GU138" s="2">
        <v>2</v>
      </c>
      <c r="GV138" s="2">
        <v>1</v>
      </c>
      <c r="GW138" s="2">
        <v>0</v>
      </c>
      <c r="GY138" s="2">
        <v>1</v>
      </c>
      <c r="GZ138" s="2">
        <v>0</v>
      </c>
      <c r="HA138" s="2">
        <v>2</v>
      </c>
      <c r="HB138" s="2">
        <v>1</v>
      </c>
      <c r="HD138" s="2">
        <v>3</v>
      </c>
      <c r="HE138" s="2">
        <v>3</v>
      </c>
      <c r="HF138" s="2">
        <v>0</v>
      </c>
      <c r="HH138" s="2">
        <f t="shared" si="2"/>
        <v>8</v>
      </c>
      <c r="HI138" s="2">
        <f t="shared" si="3"/>
        <v>10</v>
      </c>
      <c r="HJ138" s="2"/>
      <c r="HK138" s="2">
        <v>7</v>
      </c>
      <c r="HL138" s="2">
        <v>7</v>
      </c>
      <c r="HM138" s="2"/>
      <c r="HN138" s="2"/>
    </row>
    <row r="139" spans="1:222" ht="15.75" customHeight="1" x14ac:dyDescent="0.2">
      <c r="A139" s="3" t="e">
        <f>VLOOKUP(B139,#REF!,1,FALSE)</f>
        <v>#REF!</v>
      </c>
      <c r="B139" s="3">
        <v>44463.498311354168</v>
      </c>
      <c r="C139" s="2">
        <v>192</v>
      </c>
      <c r="D139" s="2" t="s">
        <v>185</v>
      </c>
      <c r="E139" s="2">
        <v>0</v>
      </c>
      <c r="F139" s="2" t="s">
        <v>347</v>
      </c>
      <c r="G139" s="2">
        <v>2</v>
      </c>
      <c r="H139" s="2">
        <v>0.5</v>
      </c>
      <c r="I139" s="2">
        <v>1</v>
      </c>
      <c r="J139" s="2">
        <v>5</v>
      </c>
      <c r="K139" s="2">
        <v>2</v>
      </c>
      <c r="L139" s="2">
        <v>2</v>
      </c>
      <c r="M139" s="2" t="s">
        <v>213</v>
      </c>
      <c r="N139" s="2">
        <v>2</v>
      </c>
      <c r="O139" s="2">
        <v>3</v>
      </c>
      <c r="P139" s="2">
        <v>0</v>
      </c>
      <c r="Q139" s="2">
        <v>0</v>
      </c>
      <c r="R139" s="2">
        <v>3</v>
      </c>
      <c r="S139" s="2">
        <v>1</v>
      </c>
      <c r="T139" s="2">
        <v>1</v>
      </c>
      <c r="U139" s="2">
        <v>1</v>
      </c>
      <c r="V139" s="2">
        <v>0</v>
      </c>
      <c r="W139" s="2">
        <v>1</v>
      </c>
      <c r="X139" s="2"/>
      <c r="Y139" s="2">
        <v>1</v>
      </c>
      <c r="Z139" s="2">
        <v>1</v>
      </c>
      <c r="AA139" s="2">
        <v>1</v>
      </c>
      <c r="AB139" s="2">
        <v>2</v>
      </c>
      <c r="AC139" s="2">
        <v>2</v>
      </c>
      <c r="AD139" s="2">
        <v>1</v>
      </c>
      <c r="AE139" s="2">
        <v>4</v>
      </c>
      <c r="AF139" s="2">
        <v>1</v>
      </c>
      <c r="AG139" s="2">
        <v>-2</v>
      </c>
      <c r="AH139" s="2">
        <v>1</v>
      </c>
      <c r="AI139" s="2">
        <v>1</v>
      </c>
      <c r="AJ139" s="2">
        <v>1</v>
      </c>
      <c r="AK139" s="2">
        <v>-1</v>
      </c>
      <c r="AL139" s="2">
        <v>1</v>
      </c>
      <c r="AM139" s="2">
        <v>5</v>
      </c>
      <c r="AN139" s="2">
        <v>5</v>
      </c>
      <c r="AO139" s="2">
        <v>5</v>
      </c>
      <c r="AP139" s="2">
        <v>5</v>
      </c>
      <c r="AQ139" s="2">
        <v>5</v>
      </c>
      <c r="AR139" s="2">
        <v>3</v>
      </c>
      <c r="AS139" s="2">
        <v>0</v>
      </c>
      <c r="AT139" s="2">
        <v>0</v>
      </c>
      <c r="AU139" s="2">
        <v>2</v>
      </c>
      <c r="AV139" s="2"/>
      <c r="AW139" s="2">
        <v>2</v>
      </c>
      <c r="AX139" s="2">
        <v>2</v>
      </c>
      <c r="AY139" s="2">
        <v>0</v>
      </c>
      <c r="AZ139" s="2">
        <v>1</v>
      </c>
      <c r="BA139" s="2">
        <v>2</v>
      </c>
      <c r="BB139" s="2">
        <v>1</v>
      </c>
      <c r="BC139" s="2">
        <v>1</v>
      </c>
      <c r="BD139" s="2">
        <v>1</v>
      </c>
      <c r="BE139" s="2">
        <v>2</v>
      </c>
      <c r="BF139" s="2">
        <v>0</v>
      </c>
      <c r="BG139" s="2">
        <v>0</v>
      </c>
      <c r="BH139" s="2">
        <v>2</v>
      </c>
      <c r="BI139" s="2"/>
      <c r="BJ139" s="2">
        <v>3</v>
      </c>
      <c r="BK139" s="2">
        <v>3</v>
      </c>
      <c r="BL139" s="2">
        <v>0</v>
      </c>
      <c r="BM139" s="2">
        <v>9</v>
      </c>
      <c r="BN139" s="2">
        <v>8</v>
      </c>
      <c r="BO139" s="2">
        <v>8</v>
      </c>
      <c r="BP139" s="2"/>
      <c r="BQ139" s="2"/>
      <c r="BR139" s="2" t="s">
        <v>562</v>
      </c>
      <c r="BS139" s="2"/>
      <c r="BT139" s="2"/>
      <c r="BU139" s="2"/>
      <c r="BV139" s="2" t="s">
        <v>563</v>
      </c>
      <c r="BW139" s="2" t="s">
        <v>564</v>
      </c>
      <c r="BX139" s="2" t="s">
        <v>188</v>
      </c>
      <c r="BY139" s="2" t="s">
        <v>188</v>
      </c>
      <c r="BZ139" s="2" t="s">
        <v>188</v>
      </c>
      <c r="CA139" s="2" t="s">
        <v>188</v>
      </c>
      <c r="CB139" s="2" t="s">
        <v>188</v>
      </c>
      <c r="CC139" s="2" t="s">
        <v>188</v>
      </c>
      <c r="CD139" s="2" t="s">
        <v>190</v>
      </c>
      <c r="CE139" s="2" t="s">
        <v>190</v>
      </c>
      <c r="CF139" s="2" t="s">
        <v>188</v>
      </c>
      <c r="CG139" s="2" t="s">
        <v>190</v>
      </c>
      <c r="CH139" s="2" t="s">
        <v>188</v>
      </c>
      <c r="CI139" s="2" t="s">
        <v>190</v>
      </c>
      <c r="CJ139" s="2" t="s">
        <v>191</v>
      </c>
      <c r="CK139" s="2" t="s">
        <v>190</v>
      </c>
      <c r="CL139" s="2" t="s">
        <v>188</v>
      </c>
      <c r="CM139" s="2" t="s">
        <v>193</v>
      </c>
      <c r="CN139" s="2" t="s">
        <v>192</v>
      </c>
      <c r="CO139" s="2" t="s">
        <v>192</v>
      </c>
      <c r="CP139" s="2" t="s">
        <v>193</v>
      </c>
      <c r="CQ139" s="2" t="s">
        <v>193</v>
      </c>
      <c r="CR139" s="2" t="s">
        <v>192</v>
      </c>
      <c r="CS139" s="2" t="s">
        <v>192</v>
      </c>
      <c r="CT139" s="2" t="s">
        <v>192</v>
      </c>
      <c r="CU139" s="2" t="s">
        <v>192</v>
      </c>
      <c r="CV139" s="2" t="s">
        <v>192</v>
      </c>
      <c r="CW139" s="2" t="s">
        <v>192</v>
      </c>
      <c r="CX139" s="2" t="s">
        <v>192</v>
      </c>
      <c r="CY139" s="2" t="s">
        <v>192</v>
      </c>
      <c r="CZ139" s="2" t="s">
        <v>192</v>
      </c>
      <c r="DA139" s="2" t="s">
        <v>192</v>
      </c>
      <c r="DB139" s="2" t="s">
        <v>192</v>
      </c>
      <c r="DC139" s="2" t="s">
        <v>192</v>
      </c>
      <c r="DD139" s="2" t="s">
        <v>193</v>
      </c>
      <c r="DE139" s="2" t="s">
        <v>192</v>
      </c>
      <c r="DF139" s="2" t="s">
        <v>193</v>
      </c>
      <c r="DG139" s="2" t="s">
        <v>196</v>
      </c>
      <c r="DH139" s="2" t="s">
        <v>195</v>
      </c>
      <c r="DI139" s="2" t="s">
        <v>194</v>
      </c>
      <c r="DJ139" s="2" t="s">
        <v>194</v>
      </c>
      <c r="DK139" s="2" t="s">
        <v>194</v>
      </c>
      <c r="DL139" s="2" t="s">
        <v>196</v>
      </c>
      <c r="DM139" s="2" t="s">
        <v>194</v>
      </c>
      <c r="DN139" s="2" t="s">
        <v>194</v>
      </c>
      <c r="DO139" s="2" t="s">
        <v>196</v>
      </c>
      <c r="DP139" s="2" t="s">
        <v>194</v>
      </c>
      <c r="DQ139" s="2" t="s">
        <v>194</v>
      </c>
      <c r="DR139" s="2" t="s">
        <v>196</v>
      </c>
      <c r="DS139" s="2" t="s">
        <v>197</v>
      </c>
      <c r="DT139" s="2" t="s">
        <v>198</v>
      </c>
      <c r="DU139" s="2" t="s">
        <v>221</v>
      </c>
      <c r="DV139" s="2" t="s">
        <v>197</v>
      </c>
      <c r="DW139" s="2" t="s">
        <v>197</v>
      </c>
      <c r="DX139" s="2" t="s">
        <v>221</v>
      </c>
      <c r="DY139" s="2" t="s">
        <v>197</v>
      </c>
      <c r="DZ139" s="2" t="s">
        <v>197</v>
      </c>
      <c r="EA139" s="2">
        <v>1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1</v>
      </c>
      <c r="EJ139" s="2">
        <v>1</v>
      </c>
      <c r="EK139" s="2">
        <v>0</v>
      </c>
      <c r="EL139" s="2">
        <v>0</v>
      </c>
      <c r="EM139" s="2">
        <v>1</v>
      </c>
      <c r="EN139" s="2">
        <v>1</v>
      </c>
      <c r="EO139" s="2">
        <v>0</v>
      </c>
      <c r="EP139" s="2">
        <v>0</v>
      </c>
      <c r="EQ139" s="2">
        <v>1</v>
      </c>
      <c r="ER139" s="2">
        <v>0</v>
      </c>
      <c r="ES139" s="2">
        <v>1</v>
      </c>
      <c r="ET139" s="2">
        <v>0</v>
      </c>
      <c r="EU139" s="2">
        <v>1</v>
      </c>
      <c r="EV139" s="2">
        <v>1</v>
      </c>
      <c r="EW139" s="2">
        <v>0</v>
      </c>
      <c r="EX139" s="2">
        <v>0</v>
      </c>
      <c r="EY139" s="2">
        <v>1</v>
      </c>
      <c r="EZ139" s="2">
        <v>0</v>
      </c>
      <c r="FA139" s="2">
        <v>0</v>
      </c>
      <c r="FB139" s="2">
        <v>0</v>
      </c>
      <c r="FC139" s="2">
        <v>1</v>
      </c>
      <c r="FD139" s="2">
        <v>0</v>
      </c>
      <c r="FE139" s="2">
        <v>0</v>
      </c>
      <c r="FF139" s="2">
        <v>0</v>
      </c>
      <c r="FG139" s="2">
        <v>0</v>
      </c>
      <c r="FH139" s="2">
        <v>1</v>
      </c>
      <c r="FI139" s="2">
        <v>0</v>
      </c>
      <c r="FJ139" s="2">
        <v>0</v>
      </c>
      <c r="FK139" s="2">
        <v>0</v>
      </c>
      <c r="FL139" s="2">
        <v>0</v>
      </c>
      <c r="FM139" s="2">
        <v>1</v>
      </c>
      <c r="FN139" s="2">
        <v>0</v>
      </c>
      <c r="FO139" s="2">
        <v>1</v>
      </c>
      <c r="FP139" s="2">
        <v>0</v>
      </c>
      <c r="FQ139" s="2">
        <v>1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/>
      <c r="GA139" s="2">
        <v>5</v>
      </c>
      <c r="GB139" s="2">
        <v>5</v>
      </c>
      <c r="GC139" s="2">
        <v>5</v>
      </c>
      <c r="GD139" s="2">
        <v>5</v>
      </c>
      <c r="GE139" s="2">
        <v>5</v>
      </c>
      <c r="GG139" s="2">
        <v>1</v>
      </c>
      <c r="GH139" s="2">
        <v>2</v>
      </c>
      <c r="GI139" s="2">
        <v>1</v>
      </c>
      <c r="GJ139" s="2">
        <v>1</v>
      </c>
      <c r="GK139" s="2">
        <v>1</v>
      </c>
      <c r="GM139" s="2">
        <f t="shared" si="0"/>
        <v>25</v>
      </c>
      <c r="GN139" s="2">
        <f t="shared" si="1"/>
        <v>6</v>
      </c>
      <c r="GO139" s="2"/>
      <c r="GP139" s="2">
        <v>3</v>
      </c>
      <c r="GQ139" s="2">
        <v>0</v>
      </c>
      <c r="GR139" s="2">
        <v>0</v>
      </c>
      <c r="GS139" s="2">
        <v>2</v>
      </c>
      <c r="GU139" s="2">
        <v>2</v>
      </c>
      <c r="GV139" s="2">
        <v>2</v>
      </c>
      <c r="GW139" s="2">
        <v>0</v>
      </c>
      <c r="GY139" s="2">
        <v>2</v>
      </c>
      <c r="GZ139" s="2">
        <v>0</v>
      </c>
      <c r="HA139" s="2">
        <v>0</v>
      </c>
      <c r="HB139" s="2">
        <v>2</v>
      </c>
      <c r="HD139" s="2">
        <v>3</v>
      </c>
      <c r="HE139" s="2">
        <v>3</v>
      </c>
      <c r="HF139" s="2">
        <v>0</v>
      </c>
      <c r="HH139" s="2">
        <f t="shared" si="2"/>
        <v>9</v>
      </c>
      <c r="HI139" s="2">
        <f t="shared" si="3"/>
        <v>10</v>
      </c>
      <c r="HJ139" s="2"/>
      <c r="HK139" s="2">
        <v>8</v>
      </c>
      <c r="HL139" s="2">
        <v>8</v>
      </c>
      <c r="HM139" s="2"/>
      <c r="HN139" s="2"/>
    </row>
    <row r="140" spans="1:222" ht="15.75" customHeight="1" x14ac:dyDescent="0.2">
      <c r="A140" s="3" t="e">
        <f>VLOOKUP(B140,#REF!,1,FALSE)</f>
        <v>#REF!</v>
      </c>
      <c r="B140" s="3">
        <v>44463.557165787039</v>
      </c>
      <c r="C140" s="2">
        <v>193</v>
      </c>
      <c r="D140" s="2" t="s">
        <v>185</v>
      </c>
      <c r="E140" s="2">
        <v>0</v>
      </c>
      <c r="F140" s="2" t="s">
        <v>347</v>
      </c>
      <c r="G140" s="2">
        <v>8</v>
      </c>
      <c r="H140" s="2">
        <v>0.5</v>
      </c>
      <c r="I140" s="2">
        <v>1</v>
      </c>
      <c r="J140" s="2">
        <v>4</v>
      </c>
      <c r="K140" s="2">
        <v>0</v>
      </c>
      <c r="L140" s="2">
        <v>4</v>
      </c>
      <c r="M140" s="2" t="s">
        <v>213</v>
      </c>
      <c r="N140" s="2">
        <v>2</v>
      </c>
      <c r="O140" s="2">
        <v>2</v>
      </c>
      <c r="P140" s="2">
        <v>0</v>
      </c>
      <c r="Q140" s="2">
        <v>0</v>
      </c>
      <c r="R140" s="2">
        <v>3</v>
      </c>
      <c r="S140" s="2">
        <v>1</v>
      </c>
      <c r="T140" s="2">
        <v>1</v>
      </c>
      <c r="U140" s="2">
        <v>1</v>
      </c>
      <c r="V140" s="2">
        <v>0</v>
      </c>
      <c r="W140" s="2">
        <v>0</v>
      </c>
      <c r="X140" s="2"/>
      <c r="Y140" s="2">
        <v>1</v>
      </c>
      <c r="Z140" s="2">
        <v>0</v>
      </c>
      <c r="AA140" s="2">
        <v>1</v>
      </c>
      <c r="AB140" s="2">
        <v>2</v>
      </c>
      <c r="AC140" s="2">
        <v>1</v>
      </c>
      <c r="AD140" s="2">
        <v>2</v>
      </c>
      <c r="AE140" s="2">
        <v>2</v>
      </c>
      <c r="AF140" s="2">
        <v>2</v>
      </c>
      <c r="AG140" s="2">
        <v>1</v>
      </c>
      <c r="AH140" s="2">
        <v>2</v>
      </c>
      <c r="AI140" s="2">
        <v>1</v>
      </c>
      <c r="AJ140" s="2">
        <v>2</v>
      </c>
      <c r="AK140" s="2">
        <v>-1</v>
      </c>
      <c r="AL140" s="2">
        <v>1</v>
      </c>
      <c r="AM140" s="2">
        <v>3</v>
      </c>
      <c r="AN140" s="2">
        <v>2</v>
      </c>
      <c r="AO140" s="2">
        <v>3</v>
      </c>
      <c r="AP140" s="2">
        <v>2</v>
      </c>
      <c r="AQ140" s="2">
        <v>4</v>
      </c>
      <c r="AR140" s="2">
        <v>2</v>
      </c>
      <c r="AS140" s="2">
        <v>2</v>
      </c>
      <c r="AT140" s="2">
        <v>2</v>
      </c>
      <c r="AU140" s="2">
        <v>1</v>
      </c>
      <c r="AV140" s="2"/>
      <c r="AW140" s="2">
        <v>2</v>
      </c>
      <c r="AX140" s="2">
        <v>2</v>
      </c>
      <c r="AY140" s="2">
        <v>1</v>
      </c>
      <c r="AZ140" s="2">
        <v>3</v>
      </c>
      <c r="BA140" s="2">
        <v>3</v>
      </c>
      <c r="BB140" s="2">
        <v>2</v>
      </c>
      <c r="BC140" s="2">
        <v>3</v>
      </c>
      <c r="BD140" s="2">
        <v>1</v>
      </c>
      <c r="BE140" s="2">
        <v>1</v>
      </c>
      <c r="BF140" s="2">
        <v>1</v>
      </c>
      <c r="BG140" s="2">
        <v>1</v>
      </c>
      <c r="BH140" s="2">
        <v>1</v>
      </c>
      <c r="BI140" s="2"/>
      <c r="BJ140" s="2">
        <v>2</v>
      </c>
      <c r="BK140" s="2">
        <v>2</v>
      </c>
      <c r="BL140" s="2">
        <v>0</v>
      </c>
      <c r="BM140" s="2">
        <v>8</v>
      </c>
      <c r="BN140" s="2">
        <v>8</v>
      </c>
      <c r="BO140" s="2">
        <v>8</v>
      </c>
      <c r="BP140" s="2"/>
      <c r="BQ140" s="2"/>
      <c r="BR140" s="2"/>
      <c r="BS140" s="2"/>
      <c r="BT140" s="2"/>
      <c r="BU140" s="2"/>
      <c r="BV140" s="2" t="s">
        <v>565</v>
      </c>
      <c r="BW140" s="2" t="s">
        <v>566</v>
      </c>
      <c r="BX140" s="2" t="s">
        <v>190</v>
      </c>
      <c r="BY140" s="2" t="s">
        <v>190</v>
      </c>
      <c r="BZ140" s="2" t="s">
        <v>191</v>
      </c>
      <c r="CA140" s="2" t="s">
        <v>190</v>
      </c>
      <c r="CB140" s="2" t="s">
        <v>191</v>
      </c>
      <c r="CC140" s="2" t="s">
        <v>191</v>
      </c>
      <c r="CD140" s="2" t="s">
        <v>189</v>
      </c>
      <c r="CE140" s="2" t="s">
        <v>190</v>
      </c>
      <c r="CF140" s="2" t="s">
        <v>191</v>
      </c>
      <c r="CG140" s="2" t="s">
        <v>190</v>
      </c>
      <c r="CH140" s="2" t="s">
        <v>189</v>
      </c>
      <c r="CI140" s="2" t="s">
        <v>189</v>
      </c>
      <c r="CJ140" s="2" t="s">
        <v>189</v>
      </c>
      <c r="CK140" s="2" t="s">
        <v>189</v>
      </c>
      <c r="CL140" s="2" t="s">
        <v>189</v>
      </c>
      <c r="CM140" s="2" t="s">
        <v>193</v>
      </c>
      <c r="CN140" s="2" t="s">
        <v>192</v>
      </c>
      <c r="CO140" s="2" t="s">
        <v>192</v>
      </c>
      <c r="CP140" s="2" t="s">
        <v>193</v>
      </c>
      <c r="CQ140" s="2" t="s">
        <v>192</v>
      </c>
      <c r="CR140" s="2" t="s">
        <v>200</v>
      </c>
      <c r="CS140" s="2" t="s">
        <v>193</v>
      </c>
      <c r="CT140" s="2" t="s">
        <v>193</v>
      </c>
      <c r="CU140" s="2" t="s">
        <v>193</v>
      </c>
      <c r="CV140" s="2" t="s">
        <v>193</v>
      </c>
      <c r="CW140" s="2" t="s">
        <v>192</v>
      </c>
      <c r="CX140" s="2" t="s">
        <v>193</v>
      </c>
      <c r="CY140" s="2" t="s">
        <v>192</v>
      </c>
      <c r="CZ140" s="2" t="s">
        <v>192</v>
      </c>
      <c r="DA140" s="2" t="s">
        <v>192</v>
      </c>
      <c r="DB140" s="2" t="s">
        <v>192</v>
      </c>
      <c r="DC140" s="2" t="s">
        <v>192</v>
      </c>
      <c r="DD140" s="2" t="s">
        <v>192</v>
      </c>
      <c r="DE140" s="2" t="s">
        <v>193</v>
      </c>
      <c r="DF140" s="2" t="s">
        <v>200</v>
      </c>
      <c r="DG140" s="2" t="s">
        <v>195</v>
      </c>
      <c r="DH140" s="2" t="s">
        <v>195</v>
      </c>
      <c r="DI140" s="2" t="s">
        <v>195</v>
      </c>
      <c r="DJ140" s="2" t="s">
        <v>201</v>
      </c>
      <c r="DK140" s="2" t="s">
        <v>194</v>
      </c>
      <c r="DL140" s="2" t="s">
        <v>201</v>
      </c>
      <c r="DM140" s="2" t="s">
        <v>195</v>
      </c>
      <c r="DN140" s="2" t="s">
        <v>194</v>
      </c>
      <c r="DO140" s="2" t="s">
        <v>194</v>
      </c>
      <c r="DP140" s="2" t="s">
        <v>194</v>
      </c>
      <c r="DQ140" s="2" t="s">
        <v>195</v>
      </c>
      <c r="DR140" s="2" t="s">
        <v>195</v>
      </c>
      <c r="DS140" s="2" t="s">
        <v>197</v>
      </c>
      <c r="DT140" s="2" t="s">
        <v>221</v>
      </c>
      <c r="DU140" s="2" t="s">
        <v>197</v>
      </c>
      <c r="DV140" s="2" t="s">
        <v>197</v>
      </c>
      <c r="DW140" s="2" t="s">
        <v>197</v>
      </c>
      <c r="DX140" s="2" t="s">
        <v>197</v>
      </c>
      <c r="DY140" s="2" t="s">
        <v>197</v>
      </c>
      <c r="DZ140" s="2"/>
      <c r="EA140" s="2">
        <v>1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1</v>
      </c>
      <c r="EJ140" s="2">
        <v>1</v>
      </c>
      <c r="EK140" s="2">
        <v>0</v>
      </c>
      <c r="EL140" s="2">
        <v>1</v>
      </c>
      <c r="EM140" s="2">
        <v>0</v>
      </c>
      <c r="EN140" s="2">
        <v>1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1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1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/>
      <c r="GA140" s="2">
        <v>3</v>
      </c>
      <c r="GB140" s="2">
        <v>2</v>
      </c>
      <c r="GC140" s="2">
        <v>3</v>
      </c>
      <c r="GD140" s="2">
        <v>2</v>
      </c>
      <c r="GE140" s="2">
        <v>4</v>
      </c>
      <c r="GG140" s="2">
        <v>3</v>
      </c>
      <c r="GH140" s="2">
        <v>3</v>
      </c>
      <c r="GI140" s="2">
        <v>2</v>
      </c>
      <c r="GJ140" s="2">
        <v>3</v>
      </c>
      <c r="GK140" s="2">
        <v>1</v>
      </c>
      <c r="GM140" s="2">
        <f t="shared" si="0"/>
        <v>14</v>
      </c>
      <c r="GN140" s="2">
        <f t="shared" si="1"/>
        <v>12</v>
      </c>
      <c r="GO140" s="2"/>
      <c r="GP140" s="2">
        <v>2</v>
      </c>
      <c r="GQ140" s="2">
        <v>2</v>
      </c>
      <c r="GR140" s="2">
        <v>2</v>
      </c>
      <c r="GS140" s="2">
        <v>1</v>
      </c>
      <c r="GU140" s="2">
        <v>2</v>
      </c>
      <c r="GV140" s="2">
        <v>2</v>
      </c>
      <c r="GW140" s="2">
        <v>1</v>
      </c>
      <c r="GY140" s="2">
        <v>1</v>
      </c>
      <c r="GZ140" s="2">
        <v>1</v>
      </c>
      <c r="HA140" s="2">
        <v>1</v>
      </c>
      <c r="HB140" s="2">
        <v>1</v>
      </c>
      <c r="HD140" s="2">
        <v>2</v>
      </c>
      <c r="HE140" s="2">
        <v>2</v>
      </c>
      <c r="HF140" s="2">
        <v>0</v>
      </c>
      <c r="HH140" s="2">
        <f t="shared" si="2"/>
        <v>12</v>
      </c>
      <c r="HI140" s="2">
        <f t="shared" si="3"/>
        <v>8</v>
      </c>
      <c r="HJ140" s="2"/>
      <c r="HK140" s="2">
        <v>8</v>
      </c>
      <c r="HL140" s="2">
        <v>8</v>
      </c>
      <c r="HM140" s="2"/>
      <c r="HN140" s="2"/>
    </row>
    <row r="141" spans="1:222" ht="15.75" customHeight="1" x14ac:dyDescent="0.2">
      <c r="A141" s="3" t="e">
        <f>VLOOKUP(B141,#REF!,1,FALSE)</f>
        <v>#REF!</v>
      </c>
      <c r="B141" s="3">
        <v>44463.855276087961</v>
      </c>
      <c r="C141" s="2">
        <v>194</v>
      </c>
      <c r="D141" s="2" t="s">
        <v>185</v>
      </c>
      <c r="E141" s="2">
        <v>0</v>
      </c>
      <c r="F141" s="2" t="s">
        <v>186</v>
      </c>
      <c r="G141" s="2">
        <v>8</v>
      </c>
      <c r="H141" s="2">
        <v>0.5</v>
      </c>
      <c r="I141" s="2">
        <v>1</v>
      </c>
      <c r="J141" s="2">
        <v>2</v>
      </c>
      <c r="K141" s="2">
        <v>0</v>
      </c>
      <c r="L141" s="2">
        <v>4</v>
      </c>
      <c r="M141" s="2" t="s">
        <v>187</v>
      </c>
      <c r="N141" s="2">
        <v>3</v>
      </c>
      <c r="O141" s="2">
        <v>3</v>
      </c>
      <c r="P141" s="2">
        <v>0</v>
      </c>
      <c r="Q141" s="2" t="s">
        <v>567</v>
      </c>
      <c r="R141" s="2">
        <v>3</v>
      </c>
      <c r="S141" s="2">
        <v>0</v>
      </c>
      <c r="T141" s="2">
        <v>-1</v>
      </c>
      <c r="U141" s="2">
        <v>-1</v>
      </c>
      <c r="V141" s="2">
        <v>-1</v>
      </c>
      <c r="W141" s="2">
        <v>-1</v>
      </c>
      <c r="X141" s="2"/>
      <c r="Y141" s="2">
        <v>1</v>
      </c>
      <c r="Z141" s="2">
        <v>-1</v>
      </c>
      <c r="AA141" s="2">
        <v>0</v>
      </c>
      <c r="AB141" s="2">
        <v>1</v>
      </c>
      <c r="AC141" s="2">
        <v>1</v>
      </c>
      <c r="AD141" s="2">
        <v>2</v>
      </c>
      <c r="AE141" s="2">
        <v>2</v>
      </c>
      <c r="AF141" s="2">
        <v>1</v>
      </c>
      <c r="AG141" s="2">
        <v>1</v>
      </c>
      <c r="AH141" s="2">
        <v>2</v>
      </c>
      <c r="AI141" s="2">
        <v>-1</v>
      </c>
      <c r="AJ141" s="2">
        <v>2</v>
      </c>
      <c r="AK141" s="2">
        <v>2</v>
      </c>
      <c r="AL141" s="2">
        <v>2</v>
      </c>
      <c r="AM141" s="2">
        <v>2</v>
      </c>
      <c r="AN141" s="2">
        <v>2</v>
      </c>
      <c r="AO141" s="2">
        <v>1</v>
      </c>
      <c r="AP141" s="2">
        <v>1</v>
      </c>
      <c r="AQ141" s="2">
        <v>1</v>
      </c>
      <c r="AR141" s="2">
        <v>2</v>
      </c>
      <c r="AS141" s="2">
        <v>2</v>
      </c>
      <c r="AT141" s="2">
        <v>2</v>
      </c>
      <c r="AU141" s="2">
        <v>2</v>
      </c>
      <c r="AV141" s="2"/>
      <c r="AW141" s="2">
        <v>2</v>
      </c>
      <c r="AX141" s="2">
        <v>3</v>
      </c>
      <c r="AY141" s="2">
        <v>0</v>
      </c>
      <c r="AZ141" s="2">
        <v>1</v>
      </c>
      <c r="BA141" s="2">
        <v>1</v>
      </c>
      <c r="BB141" s="2">
        <v>1</v>
      </c>
      <c r="BC141" s="2">
        <v>1</v>
      </c>
      <c r="BD141" s="2">
        <v>1</v>
      </c>
      <c r="BE141" s="2">
        <v>1</v>
      </c>
      <c r="BF141" s="2">
        <v>1</v>
      </c>
      <c r="BG141" s="2">
        <v>1</v>
      </c>
      <c r="BH141" s="2">
        <v>1</v>
      </c>
      <c r="BI141" s="2"/>
      <c r="BJ141" s="2">
        <v>1</v>
      </c>
      <c r="BK141" s="2">
        <v>1</v>
      </c>
      <c r="BL141" s="2">
        <v>-1</v>
      </c>
      <c r="BM141" s="2">
        <v>6</v>
      </c>
      <c r="BN141" s="2">
        <v>8</v>
      </c>
      <c r="BO141" s="2">
        <v>4</v>
      </c>
      <c r="BP141" s="2"/>
      <c r="BQ141" s="2"/>
      <c r="BR141" s="2"/>
      <c r="BS141" s="2"/>
      <c r="BT141" s="2"/>
      <c r="BU141" s="2"/>
      <c r="BV141" s="2"/>
      <c r="BW141" s="2"/>
      <c r="BX141" s="2" t="s">
        <v>188</v>
      </c>
      <c r="BY141" s="2" t="s">
        <v>188</v>
      </c>
      <c r="BZ141" s="2" t="s">
        <v>188</v>
      </c>
      <c r="CA141" s="2" t="s">
        <v>188</v>
      </c>
      <c r="CB141" s="2" t="s">
        <v>188</v>
      </c>
      <c r="CC141" s="2" t="s">
        <v>188</v>
      </c>
      <c r="CD141" s="2" t="s">
        <v>188</v>
      </c>
      <c r="CE141" s="2" t="s">
        <v>188</v>
      </c>
      <c r="CF141" s="2" t="s">
        <v>188</v>
      </c>
      <c r="CG141" s="2" t="s">
        <v>188</v>
      </c>
      <c r="CH141" s="2" t="s">
        <v>188</v>
      </c>
      <c r="CI141" s="2" t="s">
        <v>188</v>
      </c>
      <c r="CJ141" s="2" t="s">
        <v>188</v>
      </c>
      <c r="CK141" s="2" t="s">
        <v>188</v>
      </c>
      <c r="CL141" s="2" t="s">
        <v>188</v>
      </c>
      <c r="CM141" s="2" t="s">
        <v>192</v>
      </c>
      <c r="CN141" s="2" t="s">
        <v>193</v>
      </c>
      <c r="CO141" s="2" t="s">
        <v>193</v>
      </c>
      <c r="CP141" s="2" t="s">
        <v>193</v>
      </c>
      <c r="CQ141" s="2" t="s">
        <v>193</v>
      </c>
      <c r="CR141" s="2" t="s">
        <v>192</v>
      </c>
      <c r="CS141" s="2" t="s">
        <v>193</v>
      </c>
      <c r="CT141" s="2" t="s">
        <v>193</v>
      </c>
      <c r="CU141" s="2" t="s">
        <v>192</v>
      </c>
      <c r="CV141" s="2" t="s">
        <v>193</v>
      </c>
      <c r="CW141" s="2" t="s">
        <v>193</v>
      </c>
      <c r="CX141" s="2" t="s">
        <v>193</v>
      </c>
      <c r="CY141" s="2" t="s">
        <v>193</v>
      </c>
      <c r="CZ141" s="2" t="s">
        <v>193</v>
      </c>
      <c r="DA141" s="2" t="s">
        <v>193</v>
      </c>
      <c r="DB141" s="2" t="s">
        <v>193</v>
      </c>
      <c r="DC141" s="2" t="s">
        <v>193</v>
      </c>
      <c r="DD141" s="2" t="s">
        <v>193</v>
      </c>
      <c r="DE141" s="2" t="s">
        <v>193</v>
      </c>
      <c r="DF141" s="2" t="s">
        <v>193</v>
      </c>
      <c r="DG141" s="2" t="s">
        <v>196</v>
      </c>
      <c r="DH141" s="2" t="s">
        <v>196</v>
      </c>
      <c r="DI141" s="2" t="s">
        <v>196</v>
      </c>
      <c r="DJ141" s="2" t="s">
        <v>196</v>
      </c>
      <c r="DK141" s="2" t="s">
        <v>196</v>
      </c>
      <c r="DL141" s="2" t="s">
        <v>196</v>
      </c>
      <c r="DM141" s="2" t="s">
        <v>194</v>
      </c>
      <c r="DN141" s="2" t="s">
        <v>196</v>
      </c>
      <c r="DO141" s="2" t="s">
        <v>196</v>
      </c>
      <c r="DP141" s="2" t="s">
        <v>194</v>
      </c>
      <c r="DQ141" s="2" t="s">
        <v>194</v>
      </c>
      <c r="DR141" s="2" t="s">
        <v>194</v>
      </c>
      <c r="DS141" s="2" t="s">
        <v>197</v>
      </c>
      <c r="DT141" s="2" t="s">
        <v>197</v>
      </c>
      <c r="DU141" s="2" t="s">
        <v>197</v>
      </c>
      <c r="DV141" s="2" t="s">
        <v>197</v>
      </c>
      <c r="DW141" s="2" t="s">
        <v>197</v>
      </c>
      <c r="DX141" s="2" t="s">
        <v>197</v>
      </c>
      <c r="DY141" s="2" t="s">
        <v>197</v>
      </c>
      <c r="DZ141" s="2"/>
      <c r="EA141" s="2">
        <v>1</v>
      </c>
      <c r="EB141" s="2">
        <v>0</v>
      </c>
      <c r="EC141" s="2">
        <v>0</v>
      </c>
      <c r="ED141" s="2">
        <v>1</v>
      </c>
      <c r="EE141" s="2">
        <v>0</v>
      </c>
      <c r="EF141" s="2">
        <v>0</v>
      </c>
      <c r="EG141" s="2">
        <v>0</v>
      </c>
      <c r="EH141" s="2">
        <v>1</v>
      </c>
      <c r="EI141" s="2">
        <v>0</v>
      </c>
      <c r="EJ141" s="2">
        <v>1</v>
      </c>
      <c r="EK141" s="2">
        <v>0</v>
      </c>
      <c r="EL141" s="2">
        <v>1</v>
      </c>
      <c r="EM141" s="2">
        <v>0</v>
      </c>
      <c r="EN141" s="2">
        <v>1</v>
      </c>
      <c r="EO141" s="2">
        <v>0</v>
      </c>
      <c r="EP141" s="2">
        <v>1</v>
      </c>
      <c r="EQ141" s="2">
        <v>0</v>
      </c>
      <c r="ER141" s="2">
        <v>1</v>
      </c>
      <c r="ES141" s="2">
        <v>0</v>
      </c>
      <c r="ET141" s="2">
        <v>1</v>
      </c>
      <c r="EU141" s="2">
        <v>0</v>
      </c>
      <c r="EV141" s="2">
        <v>0</v>
      </c>
      <c r="EW141" s="2">
        <v>1</v>
      </c>
      <c r="EX141" s="2">
        <v>0</v>
      </c>
      <c r="EY141" s="2">
        <v>1</v>
      </c>
      <c r="EZ141" s="2">
        <v>1</v>
      </c>
      <c r="FA141" s="2">
        <v>0</v>
      </c>
      <c r="FB141" s="2">
        <v>1</v>
      </c>
      <c r="FC141" s="2">
        <v>0</v>
      </c>
      <c r="FD141" s="2">
        <v>0</v>
      </c>
      <c r="FE141" s="2">
        <v>0</v>
      </c>
      <c r="FF141" s="2">
        <v>0</v>
      </c>
      <c r="FG141" s="2">
        <v>1</v>
      </c>
      <c r="FH141" s="2">
        <v>0</v>
      </c>
      <c r="FI141" s="2">
        <v>1</v>
      </c>
      <c r="FJ141" s="2">
        <v>1</v>
      </c>
      <c r="FK141" s="2">
        <v>0</v>
      </c>
      <c r="FL141" s="2">
        <v>1</v>
      </c>
      <c r="FM141" s="2">
        <v>0</v>
      </c>
      <c r="FN141" s="2">
        <v>0</v>
      </c>
      <c r="FO141" s="2">
        <v>1</v>
      </c>
      <c r="FP141" s="2">
        <v>1</v>
      </c>
      <c r="FQ141" s="2">
        <v>0</v>
      </c>
      <c r="FR141" s="2">
        <v>0</v>
      </c>
      <c r="FS141" s="2">
        <v>1</v>
      </c>
      <c r="FT141" s="2">
        <v>1</v>
      </c>
      <c r="FU141" s="2">
        <v>0</v>
      </c>
      <c r="FV141" s="2">
        <v>1</v>
      </c>
      <c r="FW141" s="2">
        <v>0</v>
      </c>
      <c r="FX141" s="2">
        <v>1</v>
      </c>
      <c r="FY141" s="2">
        <v>0</v>
      </c>
      <c r="FZ141" s="2"/>
      <c r="GA141" s="2">
        <v>2</v>
      </c>
      <c r="GB141" s="2">
        <v>2</v>
      </c>
      <c r="GC141" s="2">
        <v>1</v>
      </c>
      <c r="GD141" s="2">
        <v>1</v>
      </c>
      <c r="GE141" s="2">
        <v>1</v>
      </c>
      <c r="GG141" s="2">
        <v>1</v>
      </c>
      <c r="GH141" s="2">
        <v>1</v>
      </c>
      <c r="GI141" s="2">
        <v>1</v>
      </c>
      <c r="GJ141" s="2">
        <v>1</v>
      </c>
      <c r="GK141" s="2">
        <v>1</v>
      </c>
      <c r="GM141" s="2">
        <f t="shared" si="0"/>
        <v>7</v>
      </c>
      <c r="GN141" s="2">
        <f t="shared" si="1"/>
        <v>5</v>
      </c>
      <c r="GO141" s="2"/>
      <c r="GP141" s="2">
        <v>2</v>
      </c>
      <c r="GQ141" s="2">
        <v>2</v>
      </c>
      <c r="GR141" s="2">
        <v>2</v>
      </c>
      <c r="GS141" s="2">
        <v>2</v>
      </c>
      <c r="GU141" s="2">
        <v>2</v>
      </c>
      <c r="GV141" s="2">
        <v>3</v>
      </c>
      <c r="GW141" s="2">
        <v>0</v>
      </c>
      <c r="GY141" s="2">
        <v>1</v>
      </c>
      <c r="GZ141" s="2">
        <v>1</v>
      </c>
      <c r="HA141" s="2">
        <v>1</v>
      </c>
      <c r="HB141" s="2">
        <v>1</v>
      </c>
      <c r="HD141" s="2">
        <v>1</v>
      </c>
      <c r="HE141" s="2">
        <v>1</v>
      </c>
      <c r="HF141" s="2">
        <v>-1</v>
      </c>
      <c r="HH141" s="2">
        <f t="shared" si="2"/>
        <v>13</v>
      </c>
      <c r="HI141" s="2">
        <f t="shared" si="3"/>
        <v>5</v>
      </c>
      <c r="HJ141" s="2"/>
      <c r="HK141" s="2">
        <v>8</v>
      </c>
      <c r="HL141" s="2">
        <v>4</v>
      </c>
      <c r="HM141" s="2"/>
      <c r="HN141" s="2"/>
    </row>
    <row r="142" spans="1:222" ht="15.75" customHeight="1" x14ac:dyDescent="0.2">
      <c r="A142" s="3" t="e">
        <f>VLOOKUP(B142,#REF!,1,FALSE)</f>
        <v>#REF!</v>
      </c>
      <c r="B142" s="3">
        <v>44463.899624814818</v>
      </c>
      <c r="C142" s="2">
        <v>195</v>
      </c>
      <c r="D142" s="2" t="s">
        <v>185</v>
      </c>
      <c r="E142" s="2">
        <v>0</v>
      </c>
      <c r="F142" s="2" t="s">
        <v>568</v>
      </c>
      <c r="G142" s="2">
        <v>15</v>
      </c>
      <c r="H142" s="2">
        <v>15</v>
      </c>
      <c r="I142" s="2">
        <v>1</v>
      </c>
      <c r="J142" s="2">
        <v>3</v>
      </c>
      <c r="K142" s="2">
        <v>3</v>
      </c>
      <c r="L142" s="2">
        <v>9</v>
      </c>
      <c r="M142" s="2" t="s">
        <v>187</v>
      </c>
      <c r="N142" s="2">
        <v>2</v>
      </c>
      <c r="O142" s="2">
        <v>5</v>
      </c>
      <c r="P142" s="2">
        <v>0</v>
      </c>
      <c r="Q142" s="2" t="s">
        <v>426</v>
      </c>
      <c r="R142" s="2">
        <v>3</v>
      </c>
      <c r="S142" s="2">
        <v>-1</v>
      </c>
      <c r="T142" s="2">
        <v>-1</v>
      </c>
      <c r="U142" s="2">
        <v>-1</v>
      </c>
      <c r="V142" s="2">
        <v>0</v>
      </c>
      <c r="W142" s="2">
        <v>-1</v>
      </c>
      <c r="X142" s="2"/>
      <c r="Y142" s="2">
        <v>0</v>
      </c>
      <c r="Z142" s="2">
        <v>-1</v>
      </c>
      <c r="AA142" s="2">
        <v>1</v>
      </c>
      <c r="AB142" s="2">
        <v>2</v>
      </c>
      <c r="AC142" s="2">
        <v>-99</v>
      </c>
      <c r="AD142" s="2">
        <v>1</v>
      </c>
      <c r="AE142" s="2">
        <v>2</v>
      </c>
      <c r="AF142" s="2">
        <v>-99</v>
      </c>
      <c r="AG142" s="2">
        <v>3</v>
      </c>
      <c r="AH142" s="2">
        <v>2</v>
      </c>
      <c r="AI142" s="2">
        <v>2</v>
      </c>
      <c r="AJ142" s="2">
        <v>2</v>
      </c>
      <c r="AK142" s="2">
        <v>1</v>
      </c>
      <c r="AL142" s="2">
        <v>1</v>
      </c>
      <c r="AM142" s="2">
        <v>3</v>
      </c>
      <c r="AN142" s="2">
        <v>3</v>
      </c>
      <c r="AO142" s="2">
        <v>3</v>
      </c>
      <c r="AP142" s="2">
        <v>3</v>
      </c>
      <c r="AQ142" s="2">
        <v>3</v>
      </c>
      <c r="AR142" s="2">
        <v>2</v>
      </c>
      <c r="AS142" s="2">
        <v>2</v>
      </c>
      <c r="AT142" s="2">
        <v>2</v>
      </c>
      <c r="AU142" s="2">
        <v>1</v>
      </c>
      <c r="AV142" s="2"/>
      <c r="AW142" s="2">
        <v>2</v>
      </c>
      <c r="AX142" s="2">
        <v>2</v>
      </c>
      <c r="AY142" s="2">
        <v>0</v>
      </c>
      <c r="AZ142" s="2">
        <v>3</v>
      </c>
      <c r="BA142" s="2">
        <v>3</v>
      </c>
      <c r="BB142" s="2">
        <v>3</v>
      </c>
      <c r="BC142" s="2">
        <v>3</v>
      </c>
      <c r="BD142" s="2">
        <v>3</v>
      </c>
      <c r="BE142" s="2">
        <v>2</v>
      </c>
      <c r="BF142" s="2">
        <v>2</v>
      </c>
      <c r="BG142" s="2">
        <v>2</v>
      </c>
      <c r="BH142" s="2">
        <v>2</v>
      </c>
      <c r="BI142" s="2"/>
      <c r="BJ142" s="2">
        <v>2</v>
      </c>
      <c r="BK142" s="2">
        <v>2</v>
      </c>
      <c r="BL142" s="2">
        <v>1</v>
      </c>
      <c r="BM142" s="2">
        <v>7</v>
      </c>
      <c r="BN142" s="2">
        <v>7</v>
      </c>
      <c r="BO142" s="2">
        <v>7</v>
      </c>
      <c r="BP142" s="2" t="s">
        <v>569</v>
      </c>
      <c r="BQ142" s="2" t="s">
        <v>570</v>
      </c>
      <c r="BR142" s="2" t="s">
        <v>570</v>
      </c>
      <c r="BS142" s="2" t="s">
        <v>570</v>
      </c>
      <c r="BT142" s="2" t="s">
        <v>571</v>
      </c>
      <c r="BU142" s="2" t="s">
        <v>572</v>
      </c>
      <c r="BV142" s="2" t="s">
        <v>573</v>
      </c>
      <c r="BW142" s="2" t="s">
        <v>574</v>
      </c>
      <c r="BX142" s="2" t="s">
        <v>190</v>
      </c>
      <c r="BY142" s="2" t="s">
        <v>190</v>
      </c>
      <c r="BZ142" s="2" t="s">
        <v>190</v>
      </c>
      <c r="CA142" s="2" t="s">
        <v>191</v>
      </c>
      <c r="CB142" s="2" t="s">
        <v>191</v>
      </c>
      <c r="CC142" s="2" t="s">
        <v>191</v>
      </c>
      <c r="CD142" s="2" t="s">
        <v>189</v>
      </c>
      <c r="CE142" s="2" t="s">
        <v>189</v>
      </c>
      <c r="CF142" s="2" t="s">
        <v>191</v>
      </c>
      <c r="CG142" s="2" t="s">
        <v>190</v>
      </c>
      <c r="CH142" s="2" t="s">
        <v>189</v>
      </c>
      <c r="CI142" s="2" t="s">
        <v>190</v>
      </c>
      <c r="CJ142" s="2" t="s">
        <v>189</v>
      </c>
      <c r="CK142" s="2" t="s">
        <v>189</v>
      </c>
      <c r="CL142" s="2" t="s">
        <v>189</v>
      </c>
      <c r="CM142" s="2" t="s">
        <v>193</v>
      </c>
      <c r="CN142" s="2" t="s">
        <v>193</v>
      </c>
      <c r="CO142" s="2" t="s">
        <v>193</v>
      </c>
      <c r="CP142" s="2" t="s">
        <v>193</v>
      </c>
      <c r="CQ142" s="2" t="s">
        <v>193</v>
      </c>
      <c r="CR142" s="2" t="s">
        <v>193</v>
      </c>
      <c r="CS142" s="2" t="s">
        <v>193</v>
      </c>
      <c r="CT142" s="2" t="s">
        <v>193</v>
      </c>
      <c r="CU142" s="2" t="s">
        <v>193</v>
      </c>
      <c r="CV142" s="2" t="s">
        <v>193</v>
      </c>
      <c r="CW142" s="2" t="s">
        <v>193</v>
      </c>
      <c r="CX142" s="2" t="s">
        <v>193</v>
      </c>
      <c r="CY142" s="2" t="s">
        <v>193</v>
      </c>
      <c r="CZ142" s="2" t="s">
        <v>193</v>
      </c>
      <c r="DA142" s="2" t="s">
        <v>193</v>
      </c>
      <c r="DB142" s="2" t="s">
        <v>193</v>
      </c>
      <c r="DC142" s="2" t="s">
        <v>193</v>
      </c>
      <c r="DD142" s="2" t="s">
        <v>193</v>
      </c>
      <c r="DE142" s="2" t="s">
        <v>193</v>
      </c>
      <c r="DF142" s="2" t="s">
        <v>193</v>
      </c>
      <c r="DG142" s="2" t="s">
        <v>196</v>
      </c>
      <c r="DH142" s="2" t="s">
        <v>196</v>
      </c>
      <c r="DI142" s="2" t="s">
        <v>196</v>
      </c>
      <c r="DJ142" s="2" t="s">
        <v>196</v>
      </c>
      <c r="DK142" s="2" t="s">
        <v>196</v>
      </c>
      <c r="DL142" s="2" t="s">
        <v>196</v>
      </c>
      <c r="DM142" s="2" t="s">
        <v>196</v>
      </c>
      <c r="DN142" s="2" t="s">
        <v>220</v>
      </c>
      <c r="DO142" s="2" t="s">
        <v>196</v>
      </c>
      <c r="DP142" s="2" t="s">
        <v>196</v>
      </c>
      <c r="DQ142" s="2" t="s">
        <v>196</v>
      </c>
      <c r="DR142" s="2" t="s">
        <v>196</v>
      </c>
      <c r="DS142" s="2" t="s">
        <v>197</v>
      </c>
      <c r="DT142" s="2" t="s">
        <v>198</v>
      </c>
      <c r="DU142" s="2" t="s">
        <v>197</v>
      </c>
      <c r="DV142" s="2" t="s">
        <v>197</v>
      </c>
      <c r="DW142" s="2" t="s">
        <v>197</v>
      </c>
      <c r="DX142" s="2" t="s">
        <v>197</v>
      </c>
      <c r="DY142" s="2" t="s">
        <v>197</v>
      </c>
      <c r="DZ142" s="2"/>
      <c r="EA142" s="2">
        <v>0</v>
      </c>
      <c r="EB142" s="2">
        <v>0</v>
      </c>
      <c r="EC142" s="2">
        <v>0</v>
      </c>
      <c r="ED142" s="2">
        <v>0</v>
      </c>
      <c r="EE142" s="2">
        <v>1</v>
      </c>
      <c r="EF142" s="2">
        <v>0</v>
      </c>
      <c r="EG142" s="2">
        <v>0</v>
      </c>
      <c r="EH142" s="2">
        <v>1</v>
      </c>
      <c r="EI142" s="2">
        <v>0</v>
      </c>
      <c r="EJ142" s="2">
        <v>0</v>
      </c>
      <c r="EK142" s="2">
        <v>1</v>
      </c>
      <c r="EL142" s="2">
        <v>1</v>
      </c>
      <c r="EM142" s="2">
        <v>0</v>
      </c>
      <c r="EN142" s="2">
        <v>0</v>
      </c>
      <c r="EO142" s="2">
        <v>1</v>
      </c>
      <c r="EP142" s="2">
        <v>0</v>
      </c>
      <c r="EQ142" s="2">
        <v>1</v>
      </c>
      <c r="ER142" s="2">
        <v>1</v>
      </c>
      <c r="ES142" s="2">
        <v>1</v>
      </c>
      <c r="ET142" s="2">
        <v>1</v>
      </c>
      <c r="EU142" s="2">
        <v>1</v>
      </c>
      <c r="EV142" s="2">
        <v>1</v>
      </c>
      <c r="EW142" s="2">
        <v>1</v>
      </c>
      <c r="EX142" s="2">
        <v>0</v>
      </c>
      <c r="EY142" s="2">
        <v>1</v>
      </c>
      <c r="EZ142" s="2">
        <v>1</v>
      </c>
      <c r="FA142" s="2">
        <v>0</v>
      </c>
      <c r="FB142" s="2">
        <v>0</v>
      </c>
      <c r="FC142" s="2">
        <v>1</v>
      </c>
      <c r="FD142" s="2">
        <v>0</v>
      </c>
      <c r="FE142" s="2">
        <v>0</v>
      </c>
      <c r="FF142" s="2">
        <v>1</v>
      </c>
      <c r="FG142" s="2">
        <v>0</v>
      </c>
      <c r="FH142" s="2">
        <v>1</v>
      </c>
      <c r="FI142" s="2">
        <v>0</v>
      </c>
      <c r="FJ142" s="2">
        <v>1</v>
      </c>
      <c r="FK142" s="2">
        <v>0</v>
      </c>
      <c r="FL142" s="2">
        <v>1</v>
      </c>
      <c r="FM142" s="2">
        <v>0</v>
      </c>
      <c r="FN142" s="2">
        <v>1</v>
      </c>
      <c r="FO142" s="2">
        <v>0</v>
      </c>
      <c r="FP142" s="2">
        <v>1</v>
      </c>
      <c r="FQ142" s="2">
        <v>0</v>
      </c>
      <c r="FR142" s="2">
        <v>0</v>
      </c>
      <c r="FS142" s="2">
        <v>1</v>
      </c>
      <c r="FT142" s="2">
        <v>1</v>
      </c>
      <c r="FU142" s="2">
        <v>0</v>
      </c>
      <c r="FV142" s="2">
        <v>1</v>
      </c>
      <c r="FW142" s="2">
        <v>0</v>
      </c>
      <c r="FX142" s="2">
        <v>1</v>
      </c>
      <c r="FY142" s="2">
        <v>0</v>
      </c>
      <c r="FZ142" s="2"/>
      <c r="GA142" s="2">
        <v>3</v>
      </c>
      <c r="GB142" s="2">
        <v>3</v>
      </c>
      <c r="GC142" s="2">
        <v>3</v>
      </c>
      <c r="GD142" s="2">
        <v>3</v>
      </c>
      <c r="GE142" s="2">
        <v>3</v>
      </c>
      <c r="GG142" s="2">
        <v>3</v>
      </c>
      <c r="GH142" s="2">
        <v>3</v>
      </c>
      <c r="GI142" s="2">
        <v>3</v>
      </c>
      <c r="GJ142" s="2">
        <v>3</v>
      </c>
      <c r="GK142" s="2">
        <v>3</v>
      </c>
      <c r="GM142" s="2">
        <f t="shared" si="0"/>
        <v>15</v>
      </c>
      <c r="GN142" s="2">
        <f t="shared" si="1"/>
        <v>15</v>
      </c>
      <c r="GO142" s="2"/>
      <c r="GP142" s="2">
        <v>2</v>
      </c>
      <c r="GQ142" s="2">
        <v>2</v>
      </c>
      <c r="GR142" s="2">
        <v>2</v>
      </c>
      <c r="GS142" s="2">
        <v>1</v>
      </c>
      <c r="GU142" s="2">
        <v>2</v>
      </c>
      <c r="GV142" s="2">
        <v>2</v>
      </c>
      <c r="GW142" s="2">
        <v>0</v>
      </c>
      <c r="GY142" s="2">
        <v>2</v>
      </c>
      <c r="GZ142" s="2">
        <v>2</v>
      </c>
      <c r="HA142" s="2">
        <v>2</v>
      </c>
      <c r="HB142" s="2">
        <v>2</v>
      </c>
      <c r="HD142" s="2">
        <v>2</v>
      </c>
      <c r="HE142" s="2">
        <v>2</v>
      </c>
      <c r="HF142" s="2">
        <v>1</v>
      </c>
      <c r="HH142" s="2">
        <f t="shared" si="2"/>
        <v>11</v>
      </c>
      <c r="HI142" s="2">
        <f t="shared" si="3"/>
        <v>13</v>
      </c>
      <c r="HJ142" s="2"/>
      <c r="HK142" s="2">
        <v>7</v>
      </c>
      <c r="HL142" s="2">
        <v>7</v>
      </c>
      <c r="HM142" s="2"/>
      <c r="HN142" s="2"/>
    </row>
    <row r="143" spans="1:222" ht="15.75" customHeight="1" x14ac:dyDescent="0.2">
      <c r="A143" s="3" t="e">
        <f>VLOOKUP(B143,#REF!,1,FALSE)</f>
        <v>#REF!</v>
      </c>
      <c r="B143" s="3">
        <v>44464.991297638888</v>
      </c>
      <c r="C143" s="2">
        <v>197</v>
      </c>
      <c r="D143" s="2" t="s">
        <v>185</v>
      </c>
      <c r="E143" s="2">
        <v>0</v>
      </c>
      <c r="F143" s="2" t="s">
        <v>575</v>
      </c>
      <c r="G143" s="2">
        <v>15</v>
      </c>
      <c r="H143" s="2">
        <v>2</v>
      </c>
      <c r="I143" s="2">
        <v>1</v>
      </c>
      <c r="J143" s="2">
        <v>2</v>
      </c>
      <c r="K143" s="2">
        <v>0</v>
      </c>
      <c r="L143" s="2">
        <v>6</v>
      </c>
      <c r="M143" s="2" t="s">
        <v>187</v>
      </c>
      <c r="N143" s="2">
        <v>3</v>
      </c>
      <c r="O143" s="2">
        <v>3</v>
      </c>
      <c r="P143" s="2">
        <v>0</v>
      </c>
      <c r="Q143" s="2">
        <v>0</v>
      </c>
      <c r="R143" s="2">
        <v>3</v>
      </c>
      <c r="S143" s="2">
        <v>0</v>
      </c>
      <c r="T143" s="2">
        <v>-1</v>
      </c>
      <c r="U143" s="2">
        <v>-1</v>
      </c>
      <c r="V143" s="2">
        <v>0</v>
      </c>
      <c r="W143" s="2">
        <v>-1</v>
      </c>
      <c r="X143" s="2"/>
      <c r="Y143" s="2">
        <v>-1</v>
      </c>
      <c r="Z143" s="2">
        <v>1</v>
      </c>
      <c r="AA143" s="2">
        <v>1</v>
      </c>
      <c r="AB143" s="2">
        <v>4</v>
      </c>
      <c r="AC143" s="2">
        <v>0</v>
      </c>
      <c r="AD143" s="2">
        <v>1</v>
      </c>
      <c r="AE143" s="2">
        <v>2</v>
      </c>
      <c r="AF143" s="2">
        <v>4</v>
      </c>
      <c r="AG143" s="2">
        <v>2</v>
      </c>
      <c r="AH143" s="2">
        <v>3</v>
      </c>
      <c r="AI143" s="2">
        <v>3</v>
      </c>
      <c r="AJ143" s="2">
        <v>3</v>
      </c>
      <c r="AK143" s="2">
        <v>1</v>
      </c>
      <c r="AL143" s="2">
        <v>2</v>
      </c>
      <c r="AM143" s="2">
        <v>4</v>
      </c>
      <c r="AN143" s="2">
        <v>3</v>
      </c>
      <c r="AO143" s="2">
        <v>4</v>
      </c>
      <c r="AP143" s="2">
        <v>4</v>
      </c>
      <c r="AQ143" s="2">
        <v>4</v>
      </c>
      <c r="AR143" s="2">
        <v>3</v>
      </c>
      <c r="AS143" s="2">
        <v>1</v>
      </c>
      <c r="AT143" s="2">
        <v>2</v>
      </c>
      <c r="AU143" s="2">
        <v>2</v>
      </c>
      <c r="AV143" s="2"/>
      <c r="AW143" s="2">
        <v>2</v>
      </c>
      <c r="AX143" s="2">
        <v>2</v>
      </c>
      <c r="AY143" s="2">
        <v>1</v>
      </c>
      <c r="AZ143" s="2">
        <v>3</v>
      </c>
      <c r="BA143" s="2">
        <v>4</v>
      </c>
      <c r="BB143" s="2">
        <v>3</v>
      </c>
      <c r="BC143" s="2">
        <v>4</v>
      </c>
      <c r="BD143" s="2">
        <v>3</v>
      </c>
      <c r="BE143" s="2">
        <v>2</v>
      </c>
      <c r="BF143" s="2">
        <v>1</v>
      </c>
      <c r="BG143" s="2">
        <v>3</v>
      </c>
      <c r="BH143" s="2">
        <v>2</v>
      </c>
      <c r="BI143" s="2"/>
      <c r="BJ143" s="2">
        <v>3</v>
      </c>
      <c r="BK143" s="2">
        <v>2</v>
      </c>
      <c r="BL143" s="2">
        <v>0</v>
      </c>
      <c r="BM143" s="2">
        <v>8</v>
      </c>
      <c r="BN143" s="2">
        <v>9</v>
      </c>
      <c r="BO143" s="2">
        <v>8</v>
      </c>
      <c r="BP143" s="2" t="s">
        <v>576</v>
      </c>
      <c r="BQ143" s="2"/>
      <c r="BR143" s="2"/>
      <c r="BS143" s="6" t="s">
        <v>577</v>
      </c>
      <c r="BT143" s="2"/>
      <c r="BU143" s="2"/>
      <c r="BV143" s="2" t="s">
        <v>578</v>
      </c>
      <c r="BW143" s="2" t="s">
        <v>579</v>
      </c>
      <c r="BX143" s="2" t="s">
        <v>190</v>
      </c>
      <c r="BY143" s="2" t="s">
        <v>190</v>
      </c>
      <c r="BZ143" s="2" t="s">
        <v>190</v>
      </c>
      <c r="CA143" s="2" t="s">
        <v>190</v>
      </c>
      <c r="CB143" s="2" t="s">
        <v>188</v>
      </c>
      <c r="CC143" s="2" t="s">
        <v>190</v>
      </c>
      <c r="CD143" s="2" t="s">
        <v>189</v>
      </c>
      <c r="CE143" s="2" t="s">
        <v>189</v>
      </c>
      <c r="CF143" s="2" t="s">
        <v>191</v>
      </c>
      <c r="CG143" s="2" t="s">
        <v>190</v>
      </c>
      <c r="CH143" s="2" t="s">
        <v>188</v>
      </c>
      <c r="CI143" s="2" t="s">
        <v>189</v>
      </c>
      <c r="CJ143" s="2" t="s">
        <v>190</v>
      </c>
      <c r="CK143" s="2" t="s">
        <v>191</v>
      </c>
      <c r="CL143" s="2" t="s">
        <v>190</v>
      </c>
      <c r="CM143" s="2" t="s">
        <v>192</v>
      </c>
      <c r="CN143" s="2" t="s">
        <v>192</v>
      </c>
      <c r="CO143" s="2" t="s">
        <v>193</v>
      </c>
      <c r="CP143" s="2" t="s">
        <v>193</v>
      </c>
      <c r="CQ143" s="2" t="s">
        <v>192</v>
      </c>
      <c r="CR143" s="2" t="s">
        <v>200</v>
      </c>
      <c r="CS143" s="2" t="s">
        <v>200</v>
      </c>
      <c r="CT143" s="2" t="s">
        <v>192</v>
      </c>
      <c r="CU143" s="2" t="s">
        <v>192</v>
      </c>
      <c r="CV143" s="2" t="s">
        <v>193</v>
      </c>
      <c r="CW143" s="2" t="s">
        <v>192</v>
      </c>
      <c r="CX143" s="2" t="s">
        <v>200</v>
      </c>
      <c r="CY143" s="2" t="s">
        <v>193</v>
      </c>
      <c r="CZ143" s="2" t="s">
        <v>192</v>
      </c>
      <c r="DA143" s="2" t="s">
        <v>193</v>
      </c>
      <c r="DB143" s="2" t="s">
        <v>192</v>
      </c>
      <c r="DC143" s="2" t="s">
        <v>192</v>
      </c>
      <c r="DD143" s="2" t="s">
        <v>192</v>
      </c>
      <c r="DE143" s="2" t="s">
        <v>192</v>
      </c>
      <c r="DF143" s="2" t="s">
        <v>193</v>
      </c>
      <c r="DG143" s="2" t="s">
        <v>195</v>
      </c>
      <c r="DH143" s="2" t="s">
        <v>201</v>
      </c>
      <c r="DI143" s="2" t="s">
        <v>195</v>
      </c>
      <c r="DJ143" s="2" t="s">
        <v>195</v>
      </c>
      <c r="DK143" s="2" t="s">
        <v>194</v>
      </c>
      <c r="DL143" s="2" t="s">
        <v>195</v>
      </c>
      <c r="DM143" s="2" t="s">
        <v>194</v>
      </c>
      <c r="DN143" s="2" t="s">
        <v>194</v>
      </c>
      <c r="DO143" s="2" t="s">
        <v>201</v>
      </c>
      <c r="DP143" s="2" t="s">
        <v>194</v>
      </c>
      <c r="DQ143" s="2" t="s">
        <v>201</v>
      </c>
      <c r="DR143" s="2" t="s">
        <v>201</v>
      </c>
      <c r="DS143" s="2" t="s">
        <v>197</v>
      </c>
      <c r="DT143" s="2" t="s">
        <v>198</v>
      </c>
      <c r="DU143" s="2" t="s">
        <v>197</v>
      </c>
      <c r="DV143" s="2" t="s">
        <v>197</v>
      </c>
      <c r="DW143" s="2" t="s">
        <v>197</v>
      </c>
      <c r="DX143" s="2" t="s">
        <v>197</v>
      </c>
      <c r="DY143" s="2" t="s">
        <v>197</v>
      </c>
      <c r="DZ143" s="2"/>
      <c r="EA143" s="2">
        <v>1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1</v>
      </c>
      <c r="EI143" s="2">
        <v>1</v>
      </c>
      <c r="EJ143" s="2">
        <v>1</v>
      </c>
      <c r="EK143" s="2">
        <v>0</v>
      </c>
      <c r="EL143" s="2">
        <v>1</v>
      </c>
      <c r="EM143" s="2">
        <v>1</v>
      </c>
      <c r="EN143" s="2">
        <v>1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1</v>
      </c>
      <c r="EU143" s="2">
        <v>0</v>
      </c>
      <c r="EV143" s="2">
        <v>0</v>
      </c>
      <c r="EW143" s="2">
        <v>0</v>
      </c>
      <c r="EX143" s="2">
        <v>0</v>
      </c>
      <c r="EY143" s="2">
        <v>1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1</v>
      </c>
      <c r="FQ143" s="2">
        <v>1</v>
      </c>
      <c r="FR143" s="2">
        <v>1</v>
      </c>
      <c r="FS143" s="2">
        <v>1</v>
      </c>
      <c r="FT143" s="2">
        <v>1</v>
      </c>
      <c r="FU143" s="2">
        <v>1</v>
      </c>
      <c r="FV143" s="2">
        <v>1</v>
      </c>
      <c r="FW143" s="2">
        <v>1</v>
      </c>
      <c r="FX143" s="2">
        <v>1</v>
      </c>
      <c r="FY143" s="2">
        <v>0</v>
      </c>
      <c r="FZ143" s="2"/>
      <c r="GA143" s="2">
        <v>4</v>
      </c>
      <c r="GB143" s="2">
        <v>3</v>
      </c>
      <c r="GC143" s="2">
        <v>4</v>
      </c>
      <c r="GD143" s="2">
        <v>4</v>
      </c>
      <c r="GE143" s="2">
        <v>4</v>
      </c>
      <c r="GG143" s="2">
        <v>3</v>
      </c>
      <c r="GH143" s="2">
        <v>4</v>
      </c>
      <c r="GI143" s="2">
        <v>3</v>
      </c>
      <c r="GJ143" s="2">
        <v>4</v>
      </c>
      <c r="GK143" s="2">
        <v>3</v>
      </c>
      <c r="GM143" s="2">
        <f t="shared" si="0"/>
        <v>19</v>
      </c>
      <c r="GN143" s="2">
        <f t="shared" si="1"/>
        <v>17</v>
      </c>
      <c r="GO143" s="2"/>
      <c r="GP143" s="2">
        <v>3</v>
      </c>
      <c r="GQ143" s="2">
        <v>1</v>
      </c>
      <c r="GR143" s="2">
        <v>2</v>
      </c>
      <c r="GS143" s="2">
        <v>2</v>
      </c>
      <c r="GU143" s="2">
        <v>2</v>
      </c>
      <c r="GV143" s="2">
        <v>2</v>
      </c>
      <c r="GW143" s="2">
        <v>1</v>
      </c>
      <c r="GY143" s="2">
        <v>2</v>
      </c>
      <c r="GZ143" s="2">
        <v>1</v>
      </c>
      <c r="HA143" s="2">
        <v>3</v>
      </c>
      <c r="HB143" s="2">
        <v>2</v>
      </c>
      <c r="HD143" s="2">
        <v>3</v>
      </c>
      <c r="HE143" s="2">
        <v>2</v>
      </c>
      <c r="HF143" s="2">
        <v>0</v>
      </c>
      <c r="HH143" s="2">
        <f t="shared" si="2"/>
        <v>13</v>
      </c>
      <c r="HI143" s="2">
        <f t="shared" si="3"/>
        <v>13</v>
      </c>
      <c r="HJ143" s="2"/>
      <c r="HK143" s="2">
        <v>9</v>
      </c>
      <c r="HL143" s="2">
        <v>8</v>
      </c>
      <c r="HM143" s="2"/>
      <c r="HN143" s="2"/>
    </row>
    <row r="144" spans="1:222" ht="15.75" customHeight="1" x14ac:dyDescent="0.2">
      <c r="A144" s="3" t="e">
        <f>VLOOKUP(B144,#REF!,1,FALSE)</f>
        <v>#REF!</v>
      </c>
      <c r="B144" s="3">
        <v>44468.452828553243</v>
      </c>
      <c r="C144" s="2">
        <v>199</v>
      </c>
      <c r="D144" s="2" t="s">
        <v>185</v>
      </c>
      <c r="E144" s="2">
        <v>0</v>
      </c>
      <c r="F144" s="2" t="s">
        <v>580</v>
      </c>
      <c r="G144" s="2">
        <v>15</v>
      </c>
      <c r="H144" s="2">
        <v>2</v>
      </c>
      <c r="I144" s="2">
        <v>1</v>
      </c>
      <c r="J144" s="2">
        <v>6</v>
      </c>
      <c r="K144" s="2">
        <v>2</v>
      </c>
      <c r="L144" s="2">
        <v>5</v>
      </c>
      <c r="M144" s="2" t="s">
        <v>187</v>
      </c>
      <c r="N144" s="2">
        <v>2</v>
      </c>
      <c r="O144" s="2">
        <v>4</v>
      </c>
      <c r="P144" s="2">
        <v>0</v>
      </c>
      <c r="Q144" s="2">
        <v>0</v>
      </c>
      <c r="R144" s="2">
        <v>3</v>
      </c>
      <c r="S144" s="2">
        <v>1</v>
      </c>
      <c r="T144" s="2">
        <v>1</v>
      </c>
      <c r="U144" s="2">
        <v>1</v>
      </c>
      <c r="V144" s="2">
        <v>0</v>
      </c>
      <c r="W144" s="2">
        <v>-1</v>
      </c>
      <c r="X144" s="2"/>
      <c r="Y144" s="2">
        <v>0</v>
      </c>
      <c r="Z144" s="2">
        <v>0</v>
      </c>
      <c r="AA144" s="2">
        <v>0</v>
      </c>
      <c r="AB144" s="2">
        <v>2</v>
      </c>
      <c r="AC144" s="2">
        <v>0</v>
      </c>
      <c r="AD144" s="2">
        <v>0</v>
      </c>
      <c r="AE144" s="2">
        <v>4</v>
      </c>
      <c r="AF144" s="2">
        <v>4</v>
      </c>
      <c r="AG144" s="2">
        <v>3</v>
      </c>
      <c r="AH144" s="2">
        <v>3</v>
      </c>
      <c r="AI144" s="2">
        <v>3</v>
      </c>
      <c r="AJ144" s="2">
        <v>3</v>
      </c>
      <c r="AK144" s="2">
        <v>2</v>
      </c>
      <c r="AL144" s="2">
        <v>3</v>
      </c>
      <c r="AM144" s="2">
        <v>4</v>
      </c>
      <c r="AN144" s="2">
        <v>4</v>
      </c>
      <c r="AO144" s="2">
        <v>4</v>
      </c>
      <c r="AP144" s="2">
        <v>4</v>
      </c>
      <c r="AQ144" s="2">
        <v>3</v>
      </c>
      <c r="AR144" s="2">
        <v>3</v>
      </c>
      <c r="AS144" s="2">
        <v>1</v>
      </c>
      <c r="AT144" s="2">
        <v>2</v>
      </c>
      <c r="AU144" s="2">
        <v>2</v>
      </c>
      <c r="AV144" s="2"/>
      <c r="AW144" s="2">
        <v>2</v>
      </c>
      <c r="AX144" s="2">
        <v>2</v>
      </c>
      <c r="AY144" s="2">
        <v>1</v>
      </c>
      <c r="AZ144" s="2">
        <v>4</v>
      </c>
      <c r="BA144" s="2">
        <v>4</v>
      </c>
      <c r="BB144" s="2">
        <v>4</v>
      </c>
      <c r="BC144" s="2">
        <v>4</v>
      </c>
      <c r="BD144" s="2">
        <v>4</v>
      </c>
      <c r="BE144" s="2">
        <v>3</v>
      </c>
      <c r="BF144" s="2">
        <v>0</v>
      </c>
      <c r="BG144" s="2">
        <v>2</v>
      </c>
      <c r="BH144" s="2">
        <v>2</v>
      </c>
      <c r="BI144" s="2"/>
      <c r="BJ144" s="2">
        <v>2</v>
      </c>
      <c r="BK144" s="2">
        <v>3</v>
      </c>
      <c r="BL144" s="2">
        <v>1</v>
      </c>
      <c r="BM144" s="2">
        <v>7</v>
      </c>
      <c r="BN144" s="2">
        <v>8</v>
      </c>
      <c r="BO144" s="2">
        <v>8</v>
      </c>
      <c r="BP144" s="2"/>
      <c r="BQ144" s="2"/>
      <c r="BR144" s="2"/>
      <c r="BS144" s="2"/>
      <c r="BT144" s="2"/>
      <c r="BU144" s="2"/>
      <c r="BV144" s="2" t="s">
        <v>581</v>
      </c>
      <c r="BW144" s="2" t="s">
        <v>582</v>
      </c>
      <c r="BX144" s="2" t="s">
        <v>190</v>
      </c>
      <c r="BY144" s="2" t="s">
        <v>190</v>
      </c>
      <c r="BZ144" s="2" t="s">
        <v>190</v>
      </c>
      <c r="CA144" s="2" t="s">
        <v>190</v>
      </c>
      <c r="CB144" s="2" t="s">
        <v>190</v>
      </c>
      <c r="CC144" s="2" t="s">
        <v>190</v>
      </c>
      <c r="CD144" s="2" t="s">
        <v>189</v>
      </c>
      <c r="CE144" s="2" t="s">
        <v>189</v>
      </c>
      <c r="CF144" s="2" t="s">
        <v>189</v>
      </c>
      <c r="CG144" s="2" t="s">
        <v>189</v>
      </c>
      <c r="CH144" s="2" t="s">
        <v>189</v>
      </c>
      <c r="CI144" s="2" t="s">
        <v>189</v>
      </c>
      <c r="CJ144" s="2" t="s">
        <v>189</v>
      </c>
      <c r="CK144" s="2" t="s">
        <v>189</v>
      </c>
      <c r="CL144" s="2" t="s">
        <v>189</v>
      </c>
      <c r="CM144" s="2" t="s">
        <v>192</v>
      </c>
      <c r="CN144" s="2" t="s">
        <v>192</v>
      </c>
      <c r="CO144" s="2" t="s">
        <v>192</v>
      </c>
      <c r="CP144" s="2" t="s">
        <v>192</v>
      </c>
      <c r="CQ144" s="2" t="s">
        <v>192</v>
      </c>
      <c r="CR144" s="2" t="s">
        <v>193</v>
      </c>
      <c r="CS144" s="2" t="s">
        <v>193</v>
      </c>
      <c r="CT144" s="2" t="s">
        <v>192</v>
      </c>
      <c r="CU144" s="2" t="s">
        <v>192</v>
      </c>
      <c r="CV144" s="2" t="s">
        <v>192</v>
      </c>
      <c r="CW144" s="2" t="s">
        <v>192</v>
      </c>
      <c r="CX144" s="2" t="s">
        <v>193</v>
      </c>
      <c r="CY144" s="2" t="s">
        <v>192</v>
      </c>
      <c r="CZ144" s="2" t="s">
        <v>192</v>
      </c>
      <c r="DA144" s="2" t="s">
        <v>192</v>
      </c>
      <c r="DB144" s="2" t="s">
        <v>192</v>
      </c>
      <c r="DC144" s="2" t="s">
        <v>193</v>
      </c>
      <c r="DD144" s="2" t="s">
        <v>192</v>
      </c>
      <c r="DE144" s="2" t="s">
        <v>192</v>
      </c>
      <c r="DF144" s="2" t="s">
        <v>193</v>
      </c>
      <c r="DG144" s="2" t="s">
        <v>195</v>
      </c>
      <c r="DH144" s="2" t="s">
        <v>195</v>
      </c>
      <c r="DI144" s="2" t="s">
        <v>195</v>
      </c>
      <c r="DJ144" s="2" t="s">
        <v>201</v>
      </c>
      <c r="DK144" s="2" t="s">
        <v>194</v>
      </c>
      <c r="DL144" s="2" t="s">
        <v>195</v>
      </c>
      <c r="DM144" s="2" t="s">
        <v>194</v>
      </c>
      <c r="DN144" s="2" t="s">
        <v>194</v>
      </c>
      <c r="DO144" s="2" t="s">
        <v>196</v>
      </c>
      <c r="DP144" s="2" t="s">
        <v>194</v>
      </c>
      <c r="DQ144" s="2" t="s">
        <v>195</v>
      </c>
      <c r="DR144" s="2" t="s">
        <v>195</v>
      </c>
      <c r="DS144" s="2" t="s">
        <v>197</v>
      </c>
      <c r="DT144" s="2" t="s">
        <v>198</v>
      </c>
      <c r="DU144" s="2" t="s">
        <v>197</v>
      </c>
      <c r="DV144" s="2" t="s">
        <v>198</v>
      </c>
      <c r="DW144" s="2" t="s">
        <v>197</v>
      </c>
      <c r="DX144" s="2" t="s">
        <v>197</v>
      </c>
      <c r="DY144" s="2" t="s">
        <v>197</v>
      </c>
      <c r="DZ144" s="2"/>
      <c r="EA144" s="2">
        <v>1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1</v>
      </c>
      <c r="EI144" s="2">
        <v>1</v>
      </c>
      <c r="EJ144" s="2">
        <v>1</v>
      </c>
      <c r="EK144" s="2">
        <v>1</v>
      </c>
      <c r="EL144" s="2">
        <v>1</v>
      </c>
      <c r="EM144" s="2">
        <v>1</v>
      </c>
      <c r="EN144" s="2">
        <v>1</v>
      </c>
      <c r="EO144" s="2">
        <v>1</v>
      </c>
      <c r="EP144" s="2">
        <v>1</v>
      </c>
      <c r="EQ144" s="2">
        <v>1</v>
      </c>
      <c r="ER144" s="2">
        <v>1</v>
      </c>
      <c r="ES144" s="2">
        <v>1</v>
      </c>
      <c r="ET144" s="2">
        <v>1</v>
      </c>
      <c r="EU144" s="2">
        <v>1</v>
      </c>
      <c r="EV144" s="2">
        <v>0</v>
      </c>
      <c r="EW144" s="2">
        <v>0</v>
      </c>
      <c r="EX144" s="2">
        <v>1</v>
      </c>
      <c r="EY144" s="2">
        <v>1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1</v>
      </c>
      <c r="FK144" s="2">
        <v>0</v>
      </c>
      <c r="FL144" s="2">
        <v>1</v>
      </c>
      <c r="FM144" s="2">
        <v>1</v>
      </c>
      <c r="FN144" s="2">
        <v>1</v>
      </c>
      <c r="FO144" s="2">
        <v>1</v>
      </c>
      <c r="FP144" s="2">
        <v>1</v>
      </c>
      <c r="FQ144" s="2">
        <v>1</v>
      </c>
      <c r="FR144" s="2">
        <v>1</v>
      </c>
      <c r="FS144" s="2">
        <v>1</v>
      </c>
      <c r="FT144" s="2">
        <v>1</v>
      </c>
      <c r="FU144" s="2">
        <v>1</v>
      </c>
      <c r="FV144" s="2">
        <v>1</v>
      </c>
      <c r="FW144" s="2">
        <v>1</v>
      </c>
      <c r="FX144" s="2">
        <v>1</v>
      </c>
      <c r="FY144" s="2">
        <v>1</v>
      </c>
      <c r="FZ144" s="2"/>
      <c r="GA144" s="2">
        <v>4</v>
      </c>
      <c r="GB144" s="2">
        <v>4</v>
      </c>
      <c r="GC144" s="2">
        <v>4</v>
      </c>
      <c r="GD144" s="2">
        <v>4</v>
      </c>
      <c r="GE144" s="2">
        <v>3</v>
      </c>
      <c r="GG144" s="2">
        <v>4</v>
      </c>
      <c r="GH144" s="2">
        <v>4</v>
      </c>
      <c r="GI144" s="2">
        <v>4</v>
      </c>
      <c r="GJ144" s="2">
        <v>4</v>
      </c>
      <c r="GK144" s="2">
        <v>4</v>
      </c>
      <c r="GM144" s="2">
        <f t="shared" si="0"/>
        <v>19</v>
      </c>
      <c r="GN144" s="2">
        <f t="shared" si="1"/>
        <v>20</v>
      </c>
      <c r="GO144" s="2"/>
      <c r="GP144" s="2">
        <v>3</v>
      </c>
      <c r="GQ144" s="2">
        <v>1</v>
      </c>
      <c r="GR144" s="2">
        <v>2</v>
      </c>
      <c r="GS144" s="2">
        <v>2</v>
      </c>
      <c r="GU144" s="2">
        <v>2</v>
      </c>
      <c r="GV144" s="2">
        <v>2</v>
      </c>
      <c r="GW144" s="2">
        <v>1</v>
      </c>
      <c r="GY144" s="2">
        <v>3</v>
      </c>
      <c r="GZ144" s="2">
        <v>0</v>
      </c>
      <c r="HA144" s="2">
        <v>2</v>
      </c>
      <c r="HB144" s="2">
        <v>2</v>
      </c>
      <c r="HD144" s="2">
        <v>2</v>
      </c>
      <c r="HE144" s="2">
        <v>3</v>
      </c>
      <c r="HF144" s="2">
        <v>1</v>
      </c>
      <c r="HH144" s="2">
        <f t="shared" si="2"/>
        <v>13</v>
      </c>
      <c r="HI144" s="2">
        <f t="shared" si="3"/>
        <v>13</v>
      </c>
      <c r="HJ144" s="2"/>
      <c r="HK144" s="2">
        <v>8</v>
      </c>
      <c r="HL144" s="2">
        <v>8</v>
      </c>
      <c r="HM144" s="2"/>
      <c r="HN144" s="2"/>
    </row>
    <row r="145" spans="1:222" ht="15.75" customHeight="1" x14ac:dyDescent="0.2">
      <c r="A145" s="3" t="e">
        <f>VLOOKUP(B145,#REF!,1,FALSE)</f>
        <v>#REF!</v>
      </c>
      <c r="B145" s="3">
        <v>44468.457234814814</v>
      </c>
      <c r="C145" s="2">
        <v>200</v>
      </c>
      <c r="D145" s="2" t="s">
        <v>185</v>
      </c>
      <c r="E145" s="2">
        <v>0</v>
      </c>
      <c r="F145" s="2" t="s">
        <v>347</v>
      </c>
      <c r="G145" s="2">
        <v>2</v>
      </c>
      <c r="H145" s="2">
        <v>2</v>
      </c>
      <c r="I145" s="2">
        <v>1</v>
      </c>
      <c r="J145" s="2">
        <v>2</v>
      </c>
      <c r="K145" s="2">
        <v>0</v>
      </c>
      <c r="L145" s="2">
        <v>2</v>
      </c>
      <c r="M145" s="2" t="s">
        <v>213</v>
      </c>
      <c r="N145" s="2">
        <v>2</v>
      </c>
      <c r="O145" s="2">
        <v>3</v>
      </c>
      <c r="P145" s="2">
        <v>0</v>
      </c>
      <c r="Q145" s="2" t="s">
        <v>426</v>
      </c>
      <c r="R145" s="2">
        <v>3</v>
      </c>
      <c r="S145" s="2">
        <v>0</v>
      </c>
      <c r="T145" s="2">
        <v>1</v>
      </c>
      <c r="U145" s="2">
        <v>1</v>
      </c>
      <c r="V145" s="2">
        <v>0</v>
      </c>
      <c r="W145" s="2">
        <v>0</v>
      </c>
      <c r="X145" s="2"/>
      <c r="Y145" s="2">
        <v>1</v>
      </c>
      <c r="Z145" s="2">
        <v>0</v>
      </c>
      <c r="AA145" s="2">
        <v>1</v>
      </c>
      <c r="AB145" s="2">
        <v>2</v>
      </c>
      <c r="AC145" s="2">
        <v>1</v>
      </c>
      <c r="AD145" s="2">
        <v>1</v>
      </c>
      <c r="AE145" s="2">
        <v>1</v>
      </c>
      <c r="AF145" s="2">
        <v>1</v>
      </c>
      <c r="AG145" s="2">
        <v>2</v>
      </c>
      <c r="AH145" s="2">
        <v>1</v>
      </c>
      <c r="AI145" s="2">
        <v>2</v>
      </c>
      <c r="AJ145" s="2">
        <v>2</v>
      </c>
      <c r="AK145" s="2">
        <v>2</v>
      </c>
      <c r="AL145" s="2">
        <v>1</v>
      </c>
      <c r="AM145" s="2">
        <v>4</v>
      </c>
      <c r="AN145" s="2">
        <v>4</v>
      </c>
      <c r="AO145" s="2">
        <v>4</v>
      </c>
      <c r="AP145" s="2">
        <v>4</v>
      </c>
      <c r="AQ145" s="2">
        <v>4</v>
      </c>
      <c r="AR145" s="2">
        <v>3</v>
      </c>
      <c r="AS145" s="2">
        <v>3</v>
      </c>
      <c r="AT145" s="2">
        <v>2</v>
      </c>
      <c r="AU145" s="2">
        <v>2</v>
      </c>
      <c r="AV145" s="2"/>
      <c r="AW145" s="2">
        <v>2</v>
      </c>
      <c r="AX145" s="2">
        <v>4</v>
      </c>
      <c r="AY145" s="2">
        <v>2</v>
      </c>
      <c r="AZ145" s="2">
        <v>1</v>
      </c>
      <c r="BA145" s="2">
        <v>2</v>
      </c>
      <c r="BB145" s="2">
        <v>1</v>
      </c>
      <c r="BC145" s="2">
        <v>4</v>
      </c>
      <c r="BD145" s="2">
        <v>3</v>
      </c>
      <c r="BE145" s="2">
        <v>3</v>
      </c>
      <c r="BF145" s="2">
        <v>3</v>
      </c>
      <c r="BG145" s="2">
        <v>0</v>
      </c>
      <c r="BH145" s="2">
        <v>2</v>
      </c>
      <c r="BI145" s="2"/>
      <c r="BJ145" s="2">
        <v>2</v>
      </c>
      <c r="BK145" s="2">
        <v>4</v>
      </c>
      <c r="BL145" s="2">
        <v>1</v>
      </c>
      <c r="BM145" s="2">
        <v>7</v>
      </c>
      <c r="BN145" s="2">
        <v>7</v>
      </c>
      <c r="BO145" s="2">
        <v>7</v>
      </c>
      <c r="BP145" s="2" t="s">
        <v>583</v>
      </c>
      <c r="BQ145" s="2"/>
      <c r="BR145" s="2"/>
      <c r="BS145" s="2"/>
      <c r="BT145" s="2"/>
      <c r="BU145" s="2"/>
      <c r="BV145" s="2"/>
      <c r="BW145" s="2" t="s">
        <v>584</v>
      </c>
      <c r="BX145" s="2" t="s">
        <v>191</v>
      </c>
      <c r="BY145" s="2" t="s">
        <v>188</v>
      </c>
      <c r="BZ145" s="2" t="s">
        <v>188</v>
      </c>
      <c r="CA145" s="2" t="s">
        <v>191</v>
      </c>
      <c r="CB145" s="2" t="s">
        <v>191</v>
      </c>
      <c r="CC145" s="2" t="s">
        <v>188</v>
      </c>
      <c r="CD145" s="2" t="s">
        <v>189</v>
      </c>
      <c r="CE145" s="2" t="s">
        <v>191</v>
      </c>
      <c r="CF145" s="2" t="s">
        <v>191</v>
      </c>
      <c r="CG145" s="2" t="s">
        <v>191</v>
      </c>
      <c r="CH145" s="2" t="s">
        <v>188</v>
      </c>
      <c r="CI145" s="2" t="s">
        <v>191</v>
      </c>
      <c r="CJ145" s="2" t="s">
        <v>191</v>
      </c>
      <c r="CK145" s="2" t="s">
        <v>191</v>
      </c>
      <c r="CL145" s="2" t="s">
        <v>191</v>
      </c>
      <c r="CM145" s="2" t="s">
        <v>200</v>
      </c>
      <c r="CN145" s="2" t="s">
        <v>200</v>
      </c>
      <c r="CO145" s="2" t="s">
        <v>200</v>
      </c>
      <c r="CP145" s="2" t="s">
        <v>193</v>
      </c>
      <c r="CQ145" s="2" t="s">
        <v>193</v>
      </c>
      <c r="CR145" s="2" t="s">
        <v>200</v>
      </c>
      <c r="CS145" s="2" t="s">
        <v>200</v>
      </c>
      <c r="CT145" s="2" t="s">
        <v>200</v>
      </c>
      <c r="CU145" s="2" t="s">
        <v>200</v>
      </c>
      <c r="CV145" s="2" t="s">
        <v>200</v>
      </c>
      <c r="CW145" s="2" t="s">
        <v>193</v>
      </c>
      <c r="CX145" s="2" t="s">
        <v>193</v>
      </c>
      <c r="CY145" s="2" t="s">
        <v>200</v>
      </c>
      <c r="CZ145" s="2" t="s">
        <v>200</v>
      </c>
      <c r="DA145" s="2" t="s">
        <v>200</v>
      </c>
      <c r="DB145" s="2" t="s">
        <v>200</v>
      </c>
      <c r="DC145" s="2" t="s">
        <v>192</v>
      </c>
      <c r="DD145" s="2" t="s">
        <v>193</v>
      </c>
      <c r="DE145" s="2" t="s">
        <v>193</v>
      </c>
      <c r="DF145" s="2" t="s">
        <v>193</v>
      </c>
      <c r="DG145" s="2" t="s">
        <v>195</v>
      </c>
      <c r="DH145" s="2" t="s">
        <v>195</v>
      </c>
      <c r="DI145" s="2" t="s">
        <v>195</v>
      </c>
      <c r="DJ145" s="2" t="s">
        <v>195</v>
      </c>
      <c r="DK145" s="2" t="s">
        <v>196</v>
      </c>
      <c r="DL145" s="2" t="s">
        <v>194</v>
      </c>
      <c r="DM145" s="2" t="s">
        <v>194</v>
      </c>
      <c r="DN145" s="2" t="s">
        <v>196</v>
      </c>
      <c r="DO145" s="2" t="s">
        <v>220</v>
      </c>
      <c r="DP145" s="2" t="s">
        <v>195</v>
      </c>
      <c r="DQ145" s="2" t="s">
        <v>194</v>
      </c>
      <c r="DR145" s="2" t="s">
        <v>194</v>
      </c>
      <c r="DS145" s="2" t="s">
        <v>197</v>
      </c>
      <c r="DT145" s="2" t="s">
        <v>197</v>
      </c>
      <c r="DU145" s="2" t="s">
        <v>198</v>
      </c>
      <c r="DV145" s="2" t="s">
        <v>198</v>
      </c>
      <c r="DW145" s="2" t="s">
        <v>198</v>
      </c>
      <c r="DX145" s="2" t="s">
        <v>198</v>
      </c>
      <c r="DY145" s="2" t="s">
        <v>198</v>
      </c>
      <c r="DZ145" s="2"/>
      <c r="EA145" s="2">
        <v>0</v>
      </c>
      <c r="EB145" s="2">
        <v>0</v>
      </c>
      <c r="EC145" s="2">
        <v>0</v>
      </c>
      <c r="ED145" s="2">
        <v>0</v>
      </c>
      <c r="EE145" s="2">
        <v>1</v>
      </c>
      <c r="EF145" s="2">
        <v>0</v>
      </c>
      <c r="EG145" s="2">
        <v>0</v>
      </c>
      <c r="EH145" s="2">
        <v>1</v>
      </c>
      <c r="EI145" s="2">
        <v>0</v>
      </c>
      <c r="EJ145" s="2">
        <v>1</v>
      </c>
      <c r="EK145" s="2">
        <v>0</v>
      </c>
      <c r="EL145" s="2">
        <v>1</v>
      </c>
      <c r="EM145" s="2">
        <v>0</v>
      </c>
      <c r="EN145" s="2">
        <v>1</v>
      </c>
      <c r="EO145" s="2">
        <v>0</v>
      </c>
      <c r="EP145" s="2">
        <v>1</v>
      </c>
      <c r="EQ145" s="2">
        <v>0</v>
      </c>
      <c r="ER145" s="2">
        <v>0</v>
      </c>
      <c r="ES145" s="2">
        <v>1</v>
      </c>
      <c r="ET145" s="2">
        <v>1</v>
      </c>
      <c r="EU145" s="2">
        <v>0</v>
      </c>
      <c r="EV145" s="2">
        <v>1</v>
      </c>
      <c r="EW145" s="2">
        <v>0</v>
      </c>
      <c r="EX145" s="2">
        <v>0</v>
      </c>
      <c r="EY145" s="2">
        <v>1</v>
      </c>
      <c r="EZ145" s="2">
        <v>1</v>
      </c>
      <c r="FA145" s="2">
        <v>0</v>
      </c>
      <c r="FB145" s="2">
        <v>0</v>
      </c>
      <c r="FC145" s="2">
        <v>1</v>
      </c>
      <c r="FD145" s="2">
        <v>0</v>
      </c>
      <c r="FE145" s="2">
        <v>0</v>
      </c>
      <c r="FF145" s="2">
        <v>1</v>
      </c>
      <c r="FG145" s="2">
        <v>0</v>
      </c>
      <c r="FH145" s="2">
        <v>1</v>
      </c>
      <c r="FI145" s="2">
        <v>0</v>
      </c>
      <c r="FJ145" s="2">
        <v>1</v>
      </c>
      <c r="FK145" s="2">
        <v>0</v>
      </c>
      <c r="FL145" s="2">
        <v>1</v>
      </c>
      <c r="FM145" s="2">
        <v>0</v>
      </c>
      <c r="FN145" s="2">
        <v>1</v>
      </c>
      <c r="FO145" s="2">
        <v>0</v>
      </c>
      <c r="FP145" s="2">
        <v>1</v>
      </c>
      <c r="FQ145" s="2">
        <v>0</v>
      </c>
      <c r="FR145" s="2">
        <v>0</v>
      </c>
      <c r="FS145" s="2">
        <v>1</v>
      </c>
      <c r="FT145" s="2">
        <v>1</v>
      </c>
      <c r="FU145" s="2">
        <v>0</v>
      </c>
      <c r="FV145" s="2">
        <v>0</v>
      </c>
      <c r="FW145" s="2">
        <v>1</v>
      </c>
      <c r="FX145" s="2">
        <v>0</v>
      </c>
      <c r="FY145" s="2">
        <v>1</v>
      </c>
      <c r="FZ145" s="2"/>
      <c r="GA145" s="2">
        <v>4</v>
      </c>
      <c r="GB145" s="2">
        <v>4</v>
      </c>
      <c r="GC145" s="2">
        <v>4</v>
      </c>
      <c r="GD145" s="2">
        <v>4</v>
      </c>
      <c r="GE145" s="2">
        <v>4</v>
      </c>
      <c r="GG145" s="2">
        <v>1</v>
      </c>
      <c r="GH145" s="2">
        <v>2</v>
      </c>
      <c r="GI145" s="2">
        <v>1</v>
      </c>
      <c r="GJ145" s="2">
        <v>4</v>
      </c>
      <c r="GK145" s="2">
        <v>3</v>
      </c>
      <c r="GM145" s="2">
        <f t="shared" si="0"/>
        <v>20</v>
      </c>
      <c r="GN145" s="2">
        <f t="shared" si="1"/>
        <v>11</v>
      </c>
      <c r="GO145" s="2"/>
      <c r="GP145" s="2">
        <v>3</v>
      </c>
      <c r="GQ145" s="2">
        <v>3</v>
      </c>
      <c r="GR145" s="2">
        <v>2</v>
      </c>
      <c r="GS145" s="2">
        <v>2</v>
      </c>
      <c r="GU145" s="2">
        <v>2</v>
      </c>
      <c r="GV145" s="2">
        <v>4</v>
      </c>
      <c r="GW145" s="2">
        <v>2</v>
      </c>
      <c r="GY145" s="2">
        <v>3</v>
      </c>
      <c r="GZ145" s="2">
        <v>3</v>
      </c>
      <c r="HA145" s="2">
        <v>0</v>
      </c>
      <c r="HB145" s="2">
        <v>2</v>
      </c>
      <c r="HD145" s="2">
        <v>2</v>
      </c>
      <c r="HE145" s="2">
        <v>4</v>
      </c>
      <c r="HF145" s="2">
        <v>1</v>
      </c>
      <c r="HH145" s="2">
        <f t="shared" si="2"/>
        <v>18</v>
      </c>
      <c r="HI145" s="2">
        <f t="shared" si="3"/>
        <v>15</v>
      </c>
      <c r="HJ145" s="2"/>
      <c r="HK145" s="2">
        <v>7</v>
      </c>
      <c r="HL145" s="2">
        <v>7</v>
      </c>
      <c r="HM145" s="2"/>
      <c r="HN145" s="2"/>
    </row>
    <row r="146" spans="1:222" ht="15.75" customHeight="1" x14ac:dyDescent="0.2">
      <c r="A146" s="3" t="e">
        <f>VLOOKUP(B146,#REF!,1,FALSE)</f>
        <v>#REF!</v>
      </c>
      <c r="B146" s="3">
        <v>44468.460025057873</v>
      </c>
      <c r="C146" s="2">
        <v>201</v>
      </c>
      <c r="D146" s="2" t="s">
        <v>185</v>
      </c>
      <c r="E146" s="2">
        <v>0</v>
      </c>
      <c r="F146" s="2" t="s">
        <v>232</v>
      </c>
      <c r="G146" s="2">
        <v>15</v>
      </c>
      <c r="H146" s="2">
        <v>0.5</v>
      </c>
      <c r="I146" s="2">
        <v>1</v>
      </c>
      <c r="J146" s="2">
        <v>1</v>
      </c>
      <c r="K146" s="2">
        <v>0</v>
      </c>
      <c r="L146" s="2">
        <v>5</v>
      </c>
      <c r="M146" s="2" t="s">
        <v>187</v>
      </c>
      <c r="N146" s="2">
        <v>3</v>
      </c>
      <c r="O146" s="2">
        <v>2</v>
      </c>
      <c r="P146" s="2">
        <v>0</v>
      </c>
      <c r="Q146" s="2">
        <v>0</v>
      </c>
      <c r="R146" s="2">
        <v>2</v>
      </c>
      <c r="S146" s="2">
        <v>-1</v>
      </c>
      <c r="T146" s="2">
        <v>-1</v>
      </c>
      <c r="U146" s="2">
        <v>0</v>
      </c>
      <c r="V146" s="2">
        <v>-1</v>
      </c>
      <c r="W146" s="2">
        <v>-1</v>
      </c>
      <c r="X146" s="2"/>
      <c r="Y146" s="2">
        <v>-1</v>
      </c>
      <c r="Z146" s="2">
        <v>1</v>
      </c>
      <c r="AA146" s="2">
        <v>1</v>
      </c>
      <c r="AB146" s="2">
        <v>4</v>
      </c>
      <c r="AC146" s="2">
        <v>0</v>
      </c>
      <c r="AD146" s="2">
        <v>2</v>
      </c>
      <c r="AE146" s="2">
        <v>4</v>
      </c>
      <c r="AF146" s="2">
        <v>1</v>
      </c>
      <c r="AG146" s="2">
        <v>3</v>
      </c>
      <c r="AH146" s="2">
        <v>3</v>
      </c>
      <c r="AI146" s="2">
        <v>3</v>
      </c>
      <c r="AJ146" s="2">
        <v>3</v>
      </c>
      <c r="AK146" s="2">
        <v>2</v>
      </c>
      <c r="AL146" s="2">
        <v>3</v>
      </c>
      <c r="AM146" s="2">
        <v>5</v>
      </c>
      <c r="AN146" s="2">
        <v>5</v>
      </c>
      <c r="AO146" s="2">
        <v>5</v>
      </c>
      <c r="AP146" s="2">
        <v>5</v>
      </c>
      <c r="AQ146" s="2">
        <v>5</v>
      </c>
      <c r="AR146" s="2">
        <v>3</v>
      </c>
      <c r="AS146" s="2">
        <v>0</v>
      </c>
      <c r="AT146" s="2">
        <v>0</v>
      </c>
      <c r="AU146" s="2">
        <v>0</v>
      </c>
      <c r="AV146" s="2"/>
      <c r="AW146" s="2">
        <v>0</v>
      </c>
      <c r="AX146" s="2">
        <v>0</v>
      </c>
      <c r="AY146" s="2">
        <v>0</v>
      </c>
      <c r="AZ146" s="2">
        <v>5</v>
      </c>
      <c r="BA146" s="2">
        <v>5</v>
      </c>
      <c r="BB146" s="2">
        <v>5</v>
      </c>
      <c r="BC146" s="2">
        <v>5</v>
      </c>
      <c r="BD146" s="2">
        <v>5</v>
      </c>
      <c r="BE146" s="2">
        <v>3</v>
      </c>
      <c r="BF146" s="2">
        <v>0</v>
      </c>
      <c r="BG146" s="2">
        <v>0</v>
      </c>
      <c r="BH146" s="2">
        <v>0</v>
      </c>
      <c r="BI146" s="2"/>
      <c r="BJ146" s="2">
        <v>0</v>
      </c>
      <c r="BK146" s="2">
        <v>0</v>
      </c>
      <c r="BL146" s="2">
        <v>0</v>
      </c>
      <c r="BM146" s="2">
        <v>8</v>
      </c>
      <c r="BN146" s="2">
        <v>8</v>
      </c>
      <c r="BO146" s="2">
        <v>9</v>
      </c>
      <c r="BP146" s="2"/>
      <c r="BQ146" s="2"/>
      <c r="BR146" s="2"/>
      <c r="BS146" s="2"/>
      <c r="BT146" s="2"/>
      <c r="BU146" s="2"/>
      <c r="BV146" s="2"/>
      <c r="BW146" s="2"/>
      <c r="BX146" s="2" t="s">
        <v>188</v>
      </c>
      <c r="BY146" s="2" t="s">
        <v>188</v>
      </c>
      <c r="BZ146" s="2" t="s">
        <v>188</v>
      </c>
      <c r="CA146" s="2" t="s">
        <v>188</v>
      </c>
      <c r="CB146" s="2" t="s">
        <v>188</v>
      </c>
      <c r="CC146" s="2" t="s">
        <v>188</v>
      </c>
      <c r="CD146" s="2" t="s">
        <v>188</v>
      </c>
      <c r="CE146" s="2" t="s">
        <v>188</v>
      </c>
      <c r="CF146" s="2" t="s">
        <v>188</v>
      </c>
      <c r="CG146" s="2" t="s">
        <v>188</v>
      </c>
      <c r="CH146" s="2" t="s">
        <v>188</v>
      </c>
      <c r="CI146" s="2" t="s">
        <v>188</v>
      </c>
      <c r="CJ146" s="2" t="s">
        <v>188</v>
      </c>
      <c r="CK146" s="2" t="s">
        <v>188</v>
      </c>
      <c r="CL146" s="2" t="s">
        <v>188</v>
      </c>
      <c r="CM146" s="2" t="s">
        <v>192</v>
      </c>
      <c r="CN146" s="2" t="s">
        <v>192</v>
      </c>
      <c r="CO146" s="2" t="s">
        <v>192</v>
      </c>
      <c r="CP146" s="2" t="s">
        <v>192</v>
      </c>
      <c r="CQ146" s="2" t="s">
        <v>192</v>
      </c>
      <c r="CR146" s="2" t="s">
        <v>192</v>
      </c>
      <c r="CS146" s="2" t="s">
        <v>192</v>
      </c>
      <c r="CT146" s="2" t="s">
        <v>192</v>
      </c>
      <c r="CU146" s="2" t="s">
        <v>192</v>
      </c>
      <c r="CV146" s="2" t="s">
        <v>192</v>
      </c>
      <c r="CW146" s="2" t="s">
        <v>192</v>
      </c>
      <c r="CX146" s="2" t="s">
        <v>192</v>
      </c>
      <c r="CY146" s="2" t="s">
        <v>192</v>
      </c>
      <c r="CZ146" s="2" t="s">
        <v>192</v>
      </c>
      <c r="DA146" s="2" t="s">
        <v>192</v>
      </c>
      <c r="DB146" s="2" t="s">
        <v>192</v>
      </c>
      <c r="DC146" s="2" t="s">
        <v>192</v>
      </c>
      <c r="DD146" s="2" t="s">
        <v>192</v>
      </c>
      <c r="DE146" s="2" t="s">
        <v>192</v>
      </c>
      <c r="DF146" s="2" t="s">
        <v>192</v>
      </c>
      <c r="DG146" s="2" t="s">
        <v>194</v>
      </c>
      <c r="DH146" s="2" t="s">
        <v>194</v>
      </c>
      <c r="DI146" s="2" t="s">
        <v>194</v>
      </c>
      <c r="DJ146" s="2" t="s">
        <v>194</v>
      </c>
      <c r="DK146" s="2" t="s">
        <v>194</v>
      </c>
      <c r="DL146" s="2" t="s">
        <v>194</v>
      </c>
      <c r="DM146" s="2" t="s">
        <v>194</v>
      </c>
      <c r="DN146" s="2" t="s">
        <v>194</v>
      </c>
      <c r="DO146" s="2" t="s">
        <v>194</v>
      </c>
      <c r="DP146" s="2" t="s">
        <v>194</v>
      </c>
      <c r="DQ146" s="2" t="s">
        <v>194</v>
      </c>
      <c r="DR146" s="2" t="s">
        <v>194</v>
      </c>
      <c r="DS146" s="2" t="s">
        <v>197</v>
      </c>
      <c r="DT146" s="2" t="s">
        <v>221</v>
      </c>
      <c r="DU146" s="2" t="s">
        <v>221</v>
      </c>
      <c r="DV146" s="2" t="s">
        <v>221</v>
      </c>
      <c r="DW146" s="2" t="s">
        <v>221</v>
      </c>
      <c r="DX146" s="2" t="s">
        <v>221</v>
      </c>
      <c r="DY146" s="2" t="s">
        <v>221</v>
      </c>
      <c r="DZ146" s="2"/>
      <c r="EA146" s="2">
        <v>1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1</v>
      </c>
      <c r="EJ146" s="2">
        <v>0</v>
      </c>
      <c r="EK146" s="2">
        <v>1</v>
      </c>
      <c r="EL146" s="2">
        <v>0</v>
      </c>
      <c r="EM146" s="2">
        <v>1</v>
      </c>
      <c r="EN146" s="2">
        <v>1</v>
      </c>
      <c r="EO146" s="2">
        <v>0</v>
      </c>
      <c r="EP146" s="2">
        <v>0</v>
      </c>
      <c r="EQ146" s="2">
        <v>1</v>
      </c>
      <c r="ER146" s="2">
        <v>0</v>
      </c>
      <c r="ES146" s="2">
        <v>1</v>
      </c>
      <c r="ET146" s="2">
        <v>0</v>
      </c>
      <c r="EU146" s="2">
        <v>1</v>
      </c>
      <c r="EV146" s="2">
        <v>0</v>
      </c>
      <c r="EW146" s="2">
        <v>1</v>
      </c>
      <c r="EX146" s="2">
        <v>0</v>
      </c>
      <c r="EY146" s="2">
        <v>1</v>
      </c>
      <c r="EZ146" s="2">
        <v>1</v>
      </c>
      <c r="FA146" s="2">
        <v>0</v>
      </c>
      <c r="FB146" s="2">
        <v>0</v>
      </c>
      <c r="FC146" s="2">
        <v>1</v>
      </c>
      <c r="FD146" s="2">
        <v>0</v>
      </c>
      <c r="FE146" s="2">
        <v>0</v>
      </c>
      <c r="FF146" s="2">
        <v>0</v>
      </c>
      <c r="FG146" s="2">
        <v>1</v>
      </c>
      <c r="FH146" s="2">
        <v>1</v>
      </c>
      <c r="FI146" s="2">
        <v>0</v>
      </c>
      <c r="FJ146" s="2">
        <v>1</v>
      </c>
      <c r="FK146" s="2">
        <v>0</v>
      </c>
      <c r="FL146" s="2">
        <v>1</v>
      </c>
      <c r="FM146" s="2">
        <v>0</v>
      </c>
      <c r="FN146" s="2">
        <v>1</v>
      </c>
      <c r="FO146" s="2">
        <v>0</v>
      </c>
      <c r="FP146" s="2">
        <v>0</v>
      </c>
      <c r="FQ146" s="2">
        <v>1</v>
      </c>
      <c r="FR146" s="2">
        <v>0</v>
      </c>
      <c r="FS146" s="2">
        <v>1</v>
      </c>
      <c r="FT146" s="2">
        <v>0</v>
      </c>
      <c r="FU146" s="2">
        <v>1</v>
      </c>
      <c r="FV146" s="2">
        <v>0</v>
      </c>
      <c r="FW146" s="2">
        <v>1</v>
      </c>
      <c r="FX146" s="2">
        <v>0</v>
      </c>
      <c r="FY146" s="2">
        <v>1</v>
      </c>
      <c r="FZ146" s="2"/>
      <c r="GA146" s="2">
        <v>5</v>
      </c>
      <c r="GB146" s="2">
        <v>5</v>
      </c>
      <c r="GC146" s="2">
        <v>5</v>
      </c>
      <c r="GD146" s="2">
        <v>5</v>
      </c>
      <c r="GE146" s="2">
        <v>5</v>
      </c>
      <c r="GG146" s="2">
        <v>5</v>
      </c>
      <c r="GH146" s="2">
        <v>5</v>
      </c>
      <c r="GI146" s="2">
        <v>5</v>
      </c>
      <c r="GJ146" s="2">
        <v>5</v>
      </c>
      <c r="GK146" s="2">
        <v>5</v>
      </c>
      <c r="GM146" s="2">
        <f t="shared" si="0"/>
        <v>25</v>
      </c>
      <c r="GN146" s="2">
        <f t="shared" si="1"/>
        <v>25</v>
      </c>
      <c r="GO146" s="2"/>
      <c r="GP146" s="2">
        <v>3</v>
      </c>
      <c r="GQ146" s="2">
        <v>0</v>
      </c>
      <c r="GR146" s="2">
        <v>0</v>
      </c>
      <c r="GS146" s="2">
        <v>0</v>
      </c>
      <c r="GU146" s="2">
        <v>0</v>
      </c>
      <c r="GV146" s="2">
        <v>0</v>
      </c>
      <c r="GW146" s="2">
        <v>0</v>
      </c>
      <c r="GY146" s="2">
        <v>3</v>
      </c>
      <c r="GZ146" s="2">
        <v>0</v>
      </c>
      <c r="HA146" s="2">
        <v>0</v>
      </c>
      <c r="HB146" s="2">
        <v>0</v>
      </c>
      <c r="HD146" s="2">
        <v>0</v>
      </c>
      <c r="HE146" s="2">
        <v>0</v>
      </c>
      <c r="HF146" s="2">
        <v>0</v>
      </c>
      <c r="HH146" s="2">
        <f t="shared" si="2"/>
        <v>3</v>
      </c>
      <c r="HI146" s="2">
        <f t="shared" si="3"/>
        <v>3</v>
      </c>
      <c r="HJ146" s="2"/>
      <c r="HK146" s="2">
        <v>8</v>
      </c>
      <c r="HL146" s="2">
        <v>9</v>
      </c>
      <c r="HM146" s="2"/>
      <c r="HN146" s="2"/>
    </row>
    <row r="147" spans="1:222" ht="15.75" customHeight="1" x14ac:dyDescent="0.2">
      <c r="A147" s="3" t="e">
        <f>VLOOKUP(B147,#REF!,1,FALSE)</f>
        <v>#REF!</v>
      </c>
      <c r="B147" s="3">
        <v>44468.497234930554</v>
      </c>
      <c r="C147" s="2">
        <v>202</v>
      </c>
      <c r="D147" s="2" t="s">
        <v>185</v>
      </c>
      <c r="E147" s="2">
        <v>0</v>
      </c>
      <c r="F147" s="2" t="s">
        <v>585</v>
      </c>
      <c r="G147" s="2">
        <v>2</v>
      </c>
      <c r="H147" s="2">
        <v>2</v>
      </c>
      <c r="I147" s="2">
        <v>1</v>
      </c>
      <c r="J147" s="2">
        <v>5</v>
      </c>
      <c r="K147" s="2">
        <v>0</v>
      </c>
      <c r="L147" s="2">
        <v>8</v>
      </c>
      <c r="M147" s="2" t="s">
        <v>187</v>
      </c>
      <c r="N147" s="2">
        <v>3</v>
      </c>
      <c r="O147" s="2">
        <v>4</v>
      </c>
      <c r="P147" s="2">
        <v>0</v>
      </c>
      <c r="Q147" s="2">
        <v>0</v>
      </c>
      <c r="R147" s="2">
        <v>3</v>
      </c>
      <c r="S147" s="2">
        <v>0</v>
      </c>
      <c r="T147" s="2">
        <v>-1</v>
      </c>
      <c r="U147" s="2">
        <v>-1</v>
      </c>
      <c r="V147" s="2">
        <v>0</v>
      </c>
      <c r="W147" s="2">
        <v>0</v>
      </c>
      <c r="X147" s="2"/>
      <c r="Y147" s="2">
        <v>1</v>
      </c>
      <c r="Z147" s="2">
        <v>0</v>
      </c>
      <c r="AA147" s="2">
        <v>1</v>
      </c>
      <c r="AB147" s="2">
        <v>2</v>
      </c>
      <c r="AC147" s="2">
        <v>1</v>
      </c>
      <c r="AD147" s="2">
        <v>2</v>
      </c>
      <c r="AE147" s="2">
        <v>2</v>
      </c>
      <c r="AF147" s="2">
        <v>1</v>
      </c>
      <c r="AG147" s="2">
        <v>1</v>
      </c>
      <c r="AH147" s="2">
        <v>2</v>
      </c>
      <c r="AI147" s="2">
        <v>2</v>
      </c>
      <c r="AJ147" s="2">
        <v>2</v>
      </c>
      <c r="AK147" s="2">
        <v>1</v>
      </c>
      <c r="AL147" s="2">
        <v>1</v>
      </c>
      <c r="AM147" s="2">
        <v>3</v>
      </c>
      <c r="AN147" s="2">
        <v>4</v>
      </c>
      <c r="AO147" s="2">
        <v>3</v>
      </c>
      <c r="AP147" s="2">
        <v>3</v>
      </c>
      <c r="AQ147" s="2">
        <v>4</v>
      </c>
      <c r="AR147" s="2">
        <v>2</v>
      </c>
      <c r="AS147" s="2">
        <v>2</v>
      </c>
      <c r="AT147" s="2">
        <v>1</v>
      </c>
      <c r="AU147" s="2">
        <v>1</v>
      </c>
      <c r="AV147" s="2"/>
      <c r="AW147" s="2">
        <v>1</v>
      </c>
      <c r="AX147" s="2">
        <v>0</v>
      </c>
      <c r="AY147" s="2">
        <v>0</v>
      </c>
      <c r="AZ147" s="2">
        <v>4</v>
      </c>
      <c r="BA147" s="2">
        <v>4</v>
      </c>
      <c r="BB147" s="2">
        <v>3</v>
      </c>
      <c r="BC147" s="2">
        <v>4</v>
      </c>
      <c r="BD147" s="2">
        <v>4</v>
      </c>
      <c r="BE147" s="2">
        <v>2</v>
      </c>
      <c r="BF147" s="2">
        <v>2</v>
      </c>
      <c r="BG147" s="2">
        <v>1</v>
      </c>
      <c r="BH147" s="2">
        <v>1</v>
      </c>
      <c r="BI147" s="2"/>
      <c r="BJ147" s="2">
        <v>1</v>
      </c>
      <c r="BK147" s="2">
        <v>2</v>
      </c>
      <c r="BL147" s="2">
        <v>0</v>
      </c>
      <c r="BM147" s="2">
        <v>8</v>
      </c>
      <c r="BN147" s="2">
        <v>8</v>
      </c>
      <c r="BO147" s="2">
        <v>7</v>
      </c>
      <c r="BP147" s="2"/>
      <c r="BQ147" s="2" t="s">
        <v>586</v>
      </c>
      <c r="BR147" s="2"/>
      <c r="BS147" s="2"/>
      <c r="BT147" s="2"/>
      <c r="BU147" s="2"/>
      <c r="BV147" s="2" t="s">
        <v>587</v>
      </c>
      <c r="BW147" s="2" t="s">
        <v>588</v>
      </c>
      <c r="BX147" s="2" t="s">
        <v>191</v>
      </c>
      <c r="BY147" s="2" t="s">
        <v>189</v>
      </c>
      <c r="BZ147" s="2" t="s">
        <v>189</v>
      </c>
      <c r="CA147" s="2" t="s">
        <v>189</v>
      </c>
      <c r="CB147" s="2" t="s">
        <v>191</v>
      </c>
      <c r="CC147" s="2" t="s">
        <v>191</v>
      </c>
      <c r="CD147" s="2" t="s">
        <v>189</v>
      </c>
      <c r="CE147" s="2" t="s">
        <v>189</v>
      </c>
      <c r="CF147" s="2" t="s">
        <v>190</v>
      </c>
      <c r="CG147" s="2" t="s">
        <v>190</v>
      </c>
      <c r="CH147" s="2" t="s">
        <v>190</v>
      </c>
      <c r="CI147" s="2" t="s">
        <v>189</v>
      </c>
      <c r="CJ147" s="2" t="s">
        <v>189</v>
      </c>
      <c r="CK147" s="2" t="s">
        <v>189</v>
      </c>
      <c r="CL147" s="2" t="s">
        <v>190</v>
      </c>
      <c r="CM147" s="2" t="s">
        <v>192</v>
      </c>
      <c r="CN147" s="2" t="s">
        <v>192</v>
      </c>
      <c r="CO147" s="2" t="s">
        <v>192</v>
      </c>
      <c r="CP147" s="2" t="s">
        <v>193</v>
      </c>
      <c r="CQ147" s="2" t="s">
        <v>193</v>
      </c>
      <c r="CR147" s="2" t="s">
        <v>193</v>
      </c>
      <c r="CS147" s="2" t="s">
        <v>193</v>
      </c>
      <c r="CT147" s="2" t="s">
        <v>200</v>
      </c>
      <c r="CU147" s="2" t="s">
        <v>193</v>
      </c>
      <c r="CV147" s="2" t="s">
        <v>193</v>
      </c>
      <c r="CW147" s="2" t="s">
        <v>192</v>
      </c>
      <c r="CX147" s="2" t="s">
        <v>193</v>
      </c>
      <c r="CY147" s="2" t="s">
        <v>193</v>
      </c>
      <c r="CZ147" s="2" t="s">
        <v>192</v>
      </c>
      <c r="DA147" s="2" t="s">
        <v>193</v>
      </c>
      <c r="DB147" s="2" t="s">
        <v>192</v>
      </c>
      <c r="DC147" s="2" t="s">
        <v>192</v>
      </c>
      <c r="DD147" s="2" t="s">
        <v>192</v>
      </c>
      <c r="DE147" s="2" t="s">
        <v>192</v>
      </c>
      <c r="DF147" s="2" t="s">
        <v>193</v>
      </c>
      <c r="DG147" s="2" t="s">
        <v>195</v>
      </c>
      <c r="DH147" s="2" t="s">
        <v>195</v>
      </c>
      <c r="DI147" s="2" t="s">
        <v>195</v>
      </c>
      <c r="DJ147" s="2" t="s">
        <v>195</v>
      </c>
      <c r="DK147" s="2" t="s">
        <v>194</v>
      </c>
      <c r="DL147" s="2" t="s">
        <v>195</v>
      </c>
      <c r="DM147" s="2" t="s">
        <v>195</v>
      </c>
      <c r="DN147" s="2" t="s">
        <v>196</v>
      </c>
      <c r="DO147" s="2" t="s">
        <v>196</v>
      </c>
      <c r="DP147" s="2" t="s">
        <v>196</v>
      </c>
      <c r="DQ147" s="2" t="s">
        <v>195</v>
      </c>
      <c r="DR147" s="2" t="s">
        <v>194</v>
      </c>
      <c r="DS147" s="2" t="s">
        <v>197</v>
      </c>
      <c r="DT147" s="2" t="s">
        <v>199</v>
      </c>
      <c r="DU147" s="2" t="s">
        <v>198</v>
      </c>
      <c r="DV147" s="2" t="s">
        <v>197</v>
      </c>
      <c r="DW147" s="2" t="s">
        <v>198</v>
      </c>
      <c r="DX147" s="2" t="s">
        <v>197</v>
      </c>
      <c r="DY147" s="2" t="s">
        <v>197</v>
      </c>
      <c r="DZ147" s="2"/>
      <c r="EA147" s="2">
        <v>1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1</v>
      </c>
      <c r="EJ147" s="2">
        <v>1</v>
      </c>
      <c r="EK147" s="2">
        <v>0</v>
      </c>
      <c r="EL147" s="2">
        <v>1</v>
      </c>
      <c r="EM147" s="2">
        <v>0</v>
      </c>
      <c r="EN147" s="2">
        <v>0</v>
      </c>
      <c r="EO147" s="2">
        <v>1</v>
      </c>
      <c r="EP147" s="2">
        <v>1</v>
      </c>
      <c r="EQ147" s="2">
        <v>0</v>
      </c>
      <c r="ER147" s="2">
        <v>0</v>
      </c>
      <c r="ES147" s="2">
        <v>1</v>
      </c>
      <c r="ET147" s="2">
        <v>0</v>
      </c>
      <c r="EU147" s="2">
        <v>1</v>
      </c>
      <c r="EV147" s="2">
        <v>0</v>
      </c>
      <c r="EW147" s="2">
        <v>1</v>
      </c>
      <c r="EX147" s="2">
        <v>0</v>
      </c>
      <c r="EY147" s="2">
        <v>1</v>
      </c>
      <c r="EZ147" s="2">
        <v>0</v>
      </c>
      <c r="FA147" s="2">
        <v>1</v>
      </c>
      <c r="FB147" s="2">
        <v>0</v>
      </c>
      <c r="FC147" s="2">
        <v>1</v>
      </c>
      <c r="FD147" s="2">
        <v>0</v>
      </c>
      <c r="FE147" s="2">
        <v>0</v>
      </c>
      <c r="FF147" s="2">
        <v>1</v>
      </c>
      <c r="FG147" s="2">
        <v>0</v>
      </c>
      <c r="FH147" s="2">
        <v>1</v>
      </c>
      <c r="FI147" s="2">
        <v>0</v>
      </c>
      <c r="FJ147" s="2">
        <v>1</v>
      </c>
      <c r="FK147" s="2">
        <v>0</v>
      </c>
      <c r="FL147" s="2">
        <v>0</v>
      </c>
      <c r="FM147" s="2">
        <v>1</v>
      </c>
      <c r="FN147" s="2">
        <v>1</v>
      </c>
      <c r="FO147" s="2">
        <v>0</v>
      </c>
      <c r="FP147" s="2">
        <v>0</v>
      </c>
      <c r="FQ147" s="2">
        <v>1</v>
      </c>
      <c r="FR147" s="2">
        <v>1</v>
      </c>
      <c r="FS147" s="2">
        <v>0</v>
      </c>
      <c r="FT147" s="2">
        <v>1</v>
      </c>
      <c r="FU147" s="2">
        <v>0</v>
      </c>
      <c r="FV147" s="2">
        <v>0</v>
      </c>
      <c r="FW147" s="2">
        <v>1</v>
      </c>
      <c r="FX147" s="2">
        <v>0</v>
      </c>
      <c r="FY147" s="2">
        <v>1</v>
      </c>
      <c r="FZ147" s="2"/>
      <c r="GA147" s="2">
        <v>3</v>
      </c>
      <c r="GB147" s="2">
        <v>4</v>
      </c>
      <c r="GC147" s="2">
        <v>3</v>
      </c>
      <c r="GD147" s="2">
        <v>3</v>
      </c>
      <c r="GE147" s="2">
        <v>4</v>
      </c>
      <c r="GG147" s="2">
        <v>4</v>
      </c>
      <c r="GH147" s="2">
        <v>4</v>
      </c>
      <c r="GI147" s="2">
        <v>3</v>
      </c>
      <c r="GJ147" s="2">
        <v>4</v>
      </c>
      <c r="GK147" s="2">
        <v>4</v>
      </c>
      <c r="GM147" s="2">
        <f t="shared" si="0"/>
        <v>17</v>
      </c>
      <c r="GN147" s="2">
        <f t="shared" si="1"/>
        <v>19</v>
      </c>
      <c r="GO147" s="2"/>
      <c r="GP147" s="2">
        <v>2</v>
      </c>
      <c r="GQ147" s="2">
        <v>2</v>
      </c>
      <c r="GR147" s="2">
        <v>1</v>
      </c>
      <c r="GS147" s="2">
        <v>1</v>
      </c>
      <c r="GU147" s="2">
        <v>1</v>
      </c>
      <c r="GV147" s="2">
        <v>0</v>
      </c>
      <c r="GW147" s="2">
        <v>0</v>
      </c>
      <c r="GY147" s="2">
        <v>2</v>
      </c>
      <c r="GZ147" s="2">
        <v>2</v>
      </c>
      <c r="HA147" s="2">
        <v>1</v>
      </c>
      <c r="HB147" s="2">
        <v>1</v>
      </c>
      <c r="HD147" s="2">
        <v>1</v>
      </c>
      <c r="HE147" s="2">
        <v>2</v>
      </c>
      <c r="HF147" s="2">
        <v>0</v>
      </c>
      <c r="HH147" s="2">
        <f t="shared" si="2"/>
        <v>7</v>
      </c>
      <c r="HI147" s="2">
        <f t="shared" si="3"/>
        <v>9</v>
      </c>
      <c r="HJ147" s="2"/>
      <c r="HK147" s="2">
        <v>8</v>
      </c>
      <c r="HL147" s="2">
        <v>7</v>
      </c>
      <c r="HM147" s="2"/>
      <c r="HN147" s="2"/>
    </row>
    <row r="148" spans="1:222" ht="15.75" customHeight="1" x14ac:dyDescent="0.2">
      <c r="A148" s="3" t="e">
        <f>VLOOKUP(B148,#REF!,1,FALSE)</f>
        <v>#REF!</v>
      </c>
      <c r="B148" s="3">
        <v>44468.547779143519</v>
      </c>
      <c r="C148" s="2">
        <v>203</v>
      </c>
      <c r="D148" s="2" t="s">
        <v>185</v>
      </c>
      <c r="E148" s="2">
        <v>0</v>
      </c>
      <c r="F148" s="2" t="s">
        <v>186</v>
      </c>
      <c r="G148" s="2">
        <v>8</v>
      </c>
      <c r="H148" s="2">
        <v>0.5</v>
      </c>
      <c r="I148" s="2">
        <v>1</v>
      </c>
      <c r="J148" s="2">
        <v>2</v>
      </c>
      <c r="K148" s="2">
        <v>0</v>
      </c>
      <c r="L148" s="2">
        <v>4</v>
      </c>
      <c r="M148" s="2" t="s">
        <v>213</v>
      </c>
      <c r="N148" s="2">
        <v>2</v>
      </c>
      <c r="O148" s="2">
        <v>2</v>
      </c>
      <c r="P148" s="2">
        <v>0</v>
      </c>
      <c r="Q148" s="2">
        <v>0</v>
      </c>
      <c r="R148" s="2">
        <v>3</v>
      </c>
      <c r="S148" s="2">
        <v>1</v>
      </c>
      <c r="T148" s="2">
        <v>1</v>
      </c>
      <c r="U148" s="2">
        <v>1</v>
      </c>
      <c r="V148" s="2">
        <v>0</v>
      </c>
      <c r="W148" s="2">
        <v>1</v>
      </c>
      <c r="X148" s="2"/>
      <c r="Y148" s="2">
        <v>0</v>
      </c>
      <c r="Z148" s="2">
        <v>0</v>
      </c>
      <c r="AA148" s="2">
        <v>1</v>
      </c>
      <c r="AB148" s="2">
        <v>4</v>
      </c>
      <c r="AC148" s="2">
        <v>0</v>
      </c>
      <c r="AD148" s="2">
        <v>1</v>
      </c>
      <c r="AE148" s="2">
        <v>4</v>
      </c>
      <c r="AF148" s="2">
        <v>0</v>
      </c>
      <c r="AG148" s="2">
        <v>2</v>
      </c>
      <c r="AH148" s="2">
        <v>3</v>
      </c>
      <c r="AI148" s="2">
        <v>3</v>
      </c>
      <c r="AJ148" s="2">
        <v>3</v>
      </c>
      <c r="AK148" s="2">
        <v>3</v>
      </c>
      <c r="AL148" s="2">
        <v>3</v>
      </c>
      <c r="AM148" s="2">
        <v>4</v>
      </c>
      <c r="AN148" s="2">
        <v>4</v>
      </c>
      <c r="AO148" s="2">
        <v>3</v>
      </c>
      <c r="AP148" s="2">
        <v>3</v>
      </c>
      <c r="AQ148" s="2">
        <v>3</v>
      </c>
      <c r="AR148" s="2">
        <v>0</v>
      </c>
      <c r="AS148" s="2">
        <v>0</v>
      </c>
      <c r="AT148" s="2">
        <v>0</v>
      </c>
      <c r="AU148" s="2">
        <v>0</v>
      </c>
      <c r="AV148" s="2"/>
      <c r="AW148" s="2">
        <v>0</v>
      </c>
      <c r="AX148" s="2">
        <v>0</v>
      </c>
      <c r="AY148" s="2">
        <v>0</v>
      </c>
      <c r="AZ148" s="2">
        <v>4</v>
      </c>
      <c r="BA148" s="2">
        <v>4</v>
      </c>
      <c r="BB148" s="2">
        <v>4</v>
      </c>
      <c r="BC148" s="2">
        <v>4</v>
      </c>
      <c r="BD148" s="2">
        <v>4</v>
      </c>
      <c r="BE148" s="2">
        <v>0</v>
      </c>
      <c r="BF148" s="2">
        <v>0</v>
      </c>
      <c r="BG148" s="2">
        <v>0</v>
      </c>
      <c r="BH148" s="2">
        <v>0</v>
      </c>
      <c r="BI148" s="2"/>
      <c r="BJ148" s="2">
        <v>0</v>
      </c>
      <c r="BK148" s="2">
        <v>0</v>
      </c>
      <c r="BL148" s="2">
        <v>0</v>
      </c>
      <c r="BM148" s="2">
        <v>9</v>
      </c>
      <c r="BN148" s="2">
        <v>10</v>
      </c>
      <c r="BO148" s="2">
        <v>9</v>
      </c>
      <c r="BP148" s="2"/>
      <c r="BQ148" s="2"/>
      <c r="BR148" s="2"/>
      <c r="BS148" s="2"/>
      <c r="BT148" s="2"/>
      <c r="BU148" s="2"/>
      <c r="BV148" s="2"/>
      <c r="BW148" s="2"/>
      <c r="BX148" s="2" t="s">
        <v>190</v>
      </c>
      <c r="BY148" s="2" t="s">
        <v>190</v>
      </c>
      <c r="BZ148" s="2" t="s">
        <v>190</v>
      </c>
      <c r="CA148" s="2" t="s">
        <v>191</v>
      </c>
      <c r="CB148" s="2" t="s">
        <v>191</v>
      </c>
      <c r="CC148" s="2" t="s">
        <v>191</v>
      </c>
      <c r="CD148" s="2" t="s">
        <v>189</v>
      </c>
      <c r="CE148" s="2" t="s">
        <v>188</v>
      </c>
      <c r="CF148" s="2" t="s">
        <v>188</v>
      </c>
      <c r="CG148" s="2" t="s">
        <v>190</v>
      </c>
      <c r="CH148" s="2" t="s">
        <v>191</v>
      </c>
      <c r="CI148" s="2" t="s">
        <v>188</v>
      </c>
      <c r="CJ148" s="2" t="s">
        <v>188</v>
      </c>
      <c r="CK148" s="2" t="s">
        <v>189</v>
      </c>
      <c r="CL148" s="2" t="s">
        <v>188</v>
      </c>
      <c r="CM148" s="2" t="s">
        <v>192</v>
      </c>
      <c r="CN148" s="2" t="s">
        <v>192</v>
      </c>
      <c r="CO148" s="2" t="s">
        <v>193</v>
      </c>
      <c r="CP148" s="2" t="s">
        <v>193</v>
      </c>
      <c r="CQ148" s="2" t="s">
        <v>192</v>
      </c>
      <c r="CR148" s="2" t="s">
        <v>192</v>
      </c>
      <c r="CS148" s="2" t="s">
        <v>192</v>
      </c>
      <c r="CT148" s="2" t="s">
        <v>192</v>
      </c>
      <c r="CU148" s="2" t="s">
        <v>192</v>
      </c>
      <c r="CV148" s="2" t="s">
        <v>192</v>
      </c>
      <c r="CW148" s="2" t="s">
        <v>200</v>
      </c>
      <c r="CX148" s="2" t="s">
        <v>192</v>
      </c>
      <c r="CY148" s="2" t="s">
        <v>193</v>
      </c>
      <c r="CZ148" s="2" t="s">
        <v>192</v>
      </c>
      <c r="DA148" s="2" t="s">
        <v>193</v>
      </c>
      <c r="DB148" s="2" t="s">
        <v>192</v>
      </c>
      <c r="DC148" s="2" t="s">
        <v>192</v>
      </c>
      <c r="DD148" s="2" t="s">
        <v>192</v>
      </c>
      <c r="DE148" s="2" t="s">
        <v>192</v>
      </c>
      <c r="DF148" s="2" t="s">
        <v>192</v>
      </c>
      <c r="DG148" s="2" t="s">
        <v>194</v>
      </c>
      <c r="DH148" s="2" t="s">
        <v>194</v>
      </c>
      <c r="DI148" s="2" t="s">
        <v>194</v>
      </c>
      <c r="DJ148" s="2" t="s">
        <v>194</v>
      </c>
      <c r="DK148" s="2" t="s">
        <v>194</v>
      </c>
      <c r="DL148" s="2" t="s">
        <v>194</v>
      </c>
      <c r="DM148" s="2" t="s">
        <v>194</v>
      </c>
      <c r="DN148" s="2" t="s">
        <v>194</v>
      </c>
      <c r="DO148" s="2" t="s">
        <v>194</v>
      </c>
      <c r="DP148" s="2" t="s">
        <v>194</v>
      </c>
      <c r="DQ148" s="2" t="s">
        <v>194</v>
      </c>
      <c r="DR148" s="2" t="s">
        <v>194</v>
      </c>
      <c r="DS148" s="2" t="s">
        <v>197</v>
      </c>
      <c r="DT148" s="2" t="s">
        <v>221</v>
      </c>
      <c r="DU148" s="2" t="s">
        <v>221</v>
      </c>
      <c r="DV148" s="2" t="s">
        <v>197</v>
      </c>
      <c r="DW148" s="2" t="s">
        <v>197</v>
      </c>
      <c r="DX148" s="2" t="s">
        <v>222</v>
      </c>
      <c r="DY148" s="2" t="s">
        <v>197</v>
      </c>
      <c r="DZ148" s="2"/>
      <c r="EA148" s="2">
        <v>1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1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1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1</v>
      </c>
      <c r="FR148" s="2">
        <v>0</v>
      </c>
      <c r="FS148" s="2">
        <v>1</v>
      </c>
      <c r="FT148" s="2">
        <v>0</v>
      </c>
      <c r="FU148" s="2">
        <v>1</v>
      </c>
      <c r="FV148" s="2">
        <v>0</v>
      </c>
      <c r="FW148" s="2">
        <v>0</v>
      </c>
      <c r="FX148" s="2">
        <v>0</v>
      </c>
      <c r="FY148" s="2">
        <v>0</v>
      </c>
      <c r="FZ148" s="2"/>
      <c r="GA148" s="2">
        <v>4</v>
      </c>
      <c r="GB148" s="2">
        <v>4</v>
      </c>
      <c r="GC148" s="2">
        <v>3</v>
      </c>
      <c r="GD148" s="2">
        <v>3</v>
      </c>
      <c r="GE148" s="2">
        <v>3</v>
      </c>
      <c r="GG148" s="2">
        <v>4</v>
      </c>
      <c r="GH148" s="2">
        <v>4</v>
      </c>
      <c r="GI148" s="2">
        <v>4</v>
      </c>
      <c r="GJ148" s="2">
        <v>4</v>
      </c>
      <c r="GK148" s="2">
        <v>4</v>
      </c>
      <c r="GM148" s="2">
        <f t="shared" si="0"/>
        <v>17</v>
      </c>
      <c r="GN148" s="2">
        <f t="shared" si="1"/>
        <v>20</v>
      </c>
      <c r="GO148" s="2"/>
      <c r="GP148" s="2">
        <v>0</v>
      </c>
      <c r="GQ148" s="2">
        <v>0</v>
      </c>
      <c r="GR148" s="2">
        <v>0</v>
      </c>
      <c r="GS148" s="2">
        <v>0</v>
      </c>
      <c r="GU148" s="2">
        <v>0</v>
      </c>
      <c r="GV148" s="2">
        <v>0</v>
      </c>
      <c r="GW148" s="2">
        <v>0</v>
      </c>
      <c r="GY148" s="2">
        <v>0</v>
      </c>
      <c r="GZ148" s="2">
        <v>0</v>
      </c>
      <c r="HA148" s="2">
        <v>0</v>
      </c>
      <c r="HB148" s="2">
        <v>0</v>
      </c>
      <c r="HD148" s="2">
        <v>0</v>
      </c>
      <c r="HE148" s="2">
        <v>0</v>
      </c>
      <c r="HF148" s="2">
        <v>0</v>
      </c>
      <c r="HH148" s="2">
        <f t="shared" si="2"/>
        <v>0</v>
      </c>
      <c r="HI148" s="2">
        <f t="shared" si="3"/>
        <v>0</v>
      </c>
      <c r="HJ148" s="2"/>
      <c r="HK148" s="2">
        <v>10</v>
      </c>
      <c r="HL148" s="2">
        <v>9</v>
      </c>
      <c r="HM148" s="2"/>
      <c r="HN148" s="2"/>
    </row>
    <row r="149" spans="1:222" ht="15.75" customHeight="1" x14ac:dyDescent="0.2">
      <c r="A149" s="3" t="e">
        <f>VLOOKUP(B149,#REF!,1,FALSE)</f>
        <v>#REF!</v>
      </c>
      <c r="B149" s="3">
        <v>44468.561578900466</v>
      </c>
      <c r="C149" s="2">
        <v>204</v>
      </c>
      <c r="D149" s="2" t="s">
        <v>185</v>
      </c>
      <c r="E149" s="2">
        <v>0</v>
      </c>
      <c r="F149" s="2" t="s">
        <v>589</v>
      </c>
      <c r="G149" s="2">
        <v>15</v>
      </c>
      <c r="H149" s="2">
        <v>0.5</v>
      </c>
      <c r="I149" s="2">
        <v>1</v>
      </c>
      <c r="J149" s="2">
        <v>5</v>
      </c>
      <c r="K149" s="2">
        <v>0</v>
      </c>
      <c r="L149" s="2">
        <v>8</v>
      </c>
      <c r="M149" s="2" t="s">
        <v>187</v>
      </c>
      <c r="N149" s="2">
        <v>3</v>
      </c>
      <c r="O149" s="2">
        <v>4</v>
      </c>
      <c r="P149" s="2">
        <v>0</v>
      </c>
      <c r="Q149" s="2" t="s">
        <v>277</v>
      </c>
      <c r="R149" s="2">
        <v>3</v>
      </c>
      <c r="S149" s="2">
        <v>1</v>
      </c>
      <c r="T149" s="2">
        <v>-1</v>
      </c>
      <c r="U149" s="2">
        <v>-1</v>
      </c>
      <c r="V149" s="2">
        <v>0</v>
      </c>
      <c r="W149" s="2">
        <v>-1</v>
      </c>
      <c r="X149" s="2"/>
      <c r="Y149" s="2">
        <v>-1</v>
      </c>
      <c r="Z149" s="2">
        <v>1</v>
      </c>
      <c r="AA149" s="2">
        <v>1</v>
      </c>
      <c r="AB149" s="2">
        <v>4</v>
      </c>
      <c r="AC149" s="2">
        <v>4</v>
      </c>
      <c r="AD149" s="2">
        <v>2</v>
      </c>
      <c r="AE149" s="2">
        <v>4</v>
      </c>
      <c r="AF149" s="2">
        <v>4</v>
      </c>
      <c r="AG149" s="2">
        <v>3</v>
      </c>
      <c r="AH149" s="2">
        <v>3</v>
      </c>
      <c r="AI149" s="2">
        <v>3</v>
      </c>
      <c r="AJ149" s="2">
        <v>3</v>
      </c>
      <c r="AK149" s="2">
        <v>2</v>
      </c>
      <c r="AL149" s="2">
        <v>3</v>
      </c>
      <c r="AM149" s="2">
        <v>3</v>
      </c>
      <c r="AN149" s="2">
        <v>3</v>
      </c>
      <c r="AO149" s="2">
        <v>3</v>
      </c>
      <c r="AP149" s="2">
        <v>3</v>
      </c>
      <c r="AQ149" s="2">
        <v>3</v>
      </c>
      <c r="AR149" s="2">
        <v>3</v>
      </c>
      <c r="AS149" s="2">
        <v>2</v>
      </c>
      <c r="AT149" s="2">
        <v>2</v>
      </c>
      <c r="AU149" s="2">
        <v>2</v>
      </c>
      <c r="AV149" s="2"/>
      <c r="AW149" s="2">
        <v>2</v>
      </c>
      <c r="AX149" s="2">
        <v>2</v>
      </c>
      <c r="AY149" s="2">
        <v>1</v>
      </c>
      <c r="AZ149" s="2">
        <v>4</v>
      </c>
      <c r="BA149" s="2">
        <v>4</v>
      </c>
      <c r="BB149" s="2">
        <v>4</v>
      </c>
      <c r="BC149" s="2">
        <v>4</v>
      </c>
      <c r="BD149" s="2">
        <v>4</v>
      </c>
      <c r="BE149" s="2">
        <v>3</v>
      </c>
      <c r="BF149" s="2">
        <v>2</v>
      </c>
      <c r="BG149" s="2">
        <v>2</v>
      </c>
      <c r="BH149" s="2">
        <v>2</v>
      </c>
      <c r="BI149" s="2"/>
      <c r="BJ149" s="2">
        <v>2</v>
      </c>
      <c r="BK149" s="2">
        <v>2</v>
      </c>
      <c r="BL149" s="2">
        <v>1</v>
      </c>
      <c r="BM149" s="2">
        <v>8</v>
      </c>
      <c r="BN149" s="2">
        <v>7</v>
      </c>
      <c r="BO149" s="2">
        <v>8</v>
      </c>
      <c r="BP149" s="2" t="s">
        <v>590</v>
      </c>
      <c r="BQ149" s="2"/>
      <c r="BR149" s="2" t="s">
        <v>591</v>
      </c>
      <c r="BS149" s="2"/>
      <c r="BT149" s="2"/>
      <c r="BU149" s="2" t="s">
        <v>592</v>
      </c>
      <c r="BV149" s="2" t="s">
        <v>593</v>
      </c>
      <c r="BW149" s="2" t="s">
        <v>594</v>
      </c>
      <c r="BX149" s="2" t="s">
        <v>190</v>
      </c>
      <c r="BY149" s="2" t="s">
        <v>190</v>
      </c>
      <c r="BZ149" s="2" t="s">
        <v>190</v>
      </c>
      <c r="CA149" s="2" t="s">
        <v>190</v>
      </c>
      <c r="CB149" s="2" t="s">
        <v>190</v>
      </c>
      <c r="CC149" s="2" t="s">
        <v>190</v>
      </c>
      <c r="CD149" s="2" t="s">
        <v>190</v>
      </c>
      <c r="CE149" s="2" t="s">
        <v>190</v>
      </c>
      <c r="CF149" s="2" t="s">
        <v>190</v>
      </c>
      <c r="CG149" s="2" t="s">
        <v>190</v>
      </c>
      <c r="CH149" s="2" t="s">
        <v>191</v>
      </c>
      <c r="CI149" s="2" t="s">
        <v>190</v>
      </c>
      <c r="CJ149" s="2" t="s">
        <v>190</v>
      </c>
      <c r="CK149" s="2" t="s">
        <v>190</v>
      </c>
      <c r="CL149" s="2" t="s">
        <v>191</v>
      </c>
      <c r="CM149" s="2" t="s">
        <v>193</v>
      </c>
      <c r="CN149" s="2" t="s">
        <v>192</v>
      </c>
      <c r="CO149" s="2" t="s">
        <v>192</v>
      </c>
      <c r="CP149" s="2" t="s">
        <v>192</v>
      </c>
      <c r="CQ149" s="2" t="s">
        <v>192</v>
      </c>
      <c r="CR149" s="2" t="s">
        <v>192</v>
      </c>
      <c r="CS149" s="2" t="s">
        <v>192</v>
      </c>
      <c r="CT149" s="2" t="s">
        <v>192</v>
      </c>
      <c r="CU149" s="2" t="s">
        <v>192</v>
      </c>
      <c r="CV149" s="2" t="s">
        <v>192</v>
      </c>
      <c r="CW149" s="2" t="s">
        <v>192</v>
      </c>
      <c r="CX149" s="2" t="s">
        <v>193</v>
      </c>
      <c r="CY149" s="2" t="s">
        <v>192</v>
      </c>
      <c r="CZ149" s="2" t="s">
        <v>192</v>
      </c>
      <c r="DA149" s="2" t="s">
        <v>192</v>
      </c>
      <c r="DB149" s="2" t="s">
        <v>192</v>
      </c>
      <c r="DC149" s="2" t="s">
        <v>192</v>
      </c>
      <c r="DD149" s="2" t="s">
        <v>192</v>
      </c>
      <c r="DE149" s="2" t="s">
        <v>193</v>
      </c>
      <c r="DF149" s="2" t="s">
        <v>193</v>
      </c>
      <c r="DG149" s="2" t="s">
        <v>196</v>
      </c>
      <c r="DH149" s="2" t="s">
        <v>196</v>
      </c>
      <c r="DI149" s="2" t="s">
        <v>220</v>
      </c>
      <c r="DJ149" s="2" t="s">
        <v>220</v>
      </c>
      <c r="DK149" s="2" t="s">
        <v>196</v>
      </c>
      <c r="DL149" s="2" t="s">
        <v>196</v>
      </c>
      <c r="DM149" s="2" t="s">
        <v>196</v>
      </c>
      <c r="DN149" s="2" t="s">
        <v>220</v>
      </c>
      <c r="DO149" s="2" t="s">
        <v>220</v>
      </c>
      <c r="DP149" s="2" t="s">
        <v>220</v>
      </c>
      <c r="DQ149" s="2" t="s">
        <v>196</v>
      </c>
      <c r="DR149" s="2" t="s">
        <v>220</v>
      </c>
      <c r="DS149" s="2" t="s">
        <v>197</v>
      </c>
      <c r="DT149" s="2" t="s">
        <v>221</v>
      </c>
      <c r="DU149" s="2" t="s">
        <v>222</v>
      </c>
      <c r="DV149" s="2" t="s">
        <v>197</v>
      </c>
      <c r="DW149" s="2" t="s">
        <v>198</v>
      </c>
      <c r="DX149" s="2" t="s">
        <v>198</v>
      </c>
      <c r="DY149" s="2" t="s">
        <v>198</v>
      </c>
      <c r="DZ149" s="2"/>
      <c r="EA149" s="2">
        <v>0</v>
      </c>
      <c r="EB149" s="2">
        <v>1</v>
      </c>
      <c r="EC149" s="2">
        <v>1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1</v>
      </c>
      <c r="EJ149" s="2">
        <v>0</v>
      </c>
      <c r="EK149" s="2">
        <v>0</v>
      </c>
      <c r="EL149" s="2">
        <v>0</v>
      </c>
      <c r="EM149" s="2">
        <v>1</v>
      </c>
      <c r="EN149" s="2">
        <v>0</v>
      </c>
      <c r="EO149" s="2">
        <v>1</v>
      </c>
      <c r="EP149" s="2">
        <v>0</v>
      </c>
      <c r="EQ149" s="2">
        <v>1</v>
      </c>
      <c r="ER149" s="2">
        <v>0</v>
      </c>
      <c r="ES149" s="2">
        <v>1</v>
      </c>
      <c r="ET149" s="2">
        <v>0</v>
      </c>
      <c r="EU149" s="2">
        <v>1</v>
      </c>
      <c r="EV149" s="2">
        <v>1</v>
      </c>
      <c r="EW149" s="2">
        <v>0</v>
      </c>
      <c r="EX149" s="2">
        <v>0</v>
      </c>
      <c r="EY149" s="2">
        <v>1</v>
      </c>
      <c r="EZ149" s="2">
        <v>0</v>
      </c>
      <c r="FA149" s="2">
        <v>0</v>
      </c>
      <c r="FB149" s="2">
        <v>0</v>
      </c>
      <c r="FC149" s="2">
        <v>1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1</v>
      </c>
      <c r="FN149" s="2">
        <v>0</v>
      </c>
      <c r="FO149" s="2">
        <v>1</v>
      </c>
      <c r="FP149" s="2">
        <v>0</v>
      </c>
      <c r="FQ149" s="2">
        <v>1</v>
      </c>
      <c r="FR149" s="2">
        <v>1</v>
      </c>
      <c r="FS149" s="2">
        <v>0</v>
      </c>
      <c r="FT149" s="2">
        <v>0</v>
      </c>
      <c r="FU149" s="2">
        <v>1</v>
      </c>
      <c r="FV149" s="2">
        <v>1</v>
      </c>
      <c r="FW149" s="2">
        <v>0</v>
      </c>
      <c r="FX149" s="2">
        <v>0</v>
      </c>
      <c r="FY149" s="2">
        <v>1</v>
      </c>
      <c r="FZ149" s="2"/>
      <c r="GA149" s="2">
        <v>3</v>
      </c>
      <c r="GB149" s="2">
        <v>3</v>
      </c>
      <c r="GC149" s="2">
        <v>3</v>
      </c>
      <c r="GD149" s="2">
        <v>3</v>
      </c>
      <c r="GE149" s="2">
        <v>3</v>
      </c>
      <c r="GG149" s="2">
        <v>4</v>
      </c>
      <c r="GH149" s="2">
        <v>4</v>
      </c>
      <c r="GI149" s="2">
        <v>4</v>
      </c>
      <c r="GJ149" s="2">
        <v>4</v>
      </c>
      <c r="GK149" s="2">
        <v>4</v>
      </c>
      <c r="GM149" s="2">
        <f t="shared" si="0"/>
        <v>15</v>
      </c>
      <c r="GN149" s="2">
        <f t="shared" si="1"/>
        <v>20</v>
      </c>
      <c r="GO149" s="2"/>
      <c r="GP149" s="2">
        <v>3</v>
      </c>
      <c r="GQ149" s="2">
        <v>2</v>
      </c>
      <c r="GR149" s="2">
        <v>2</v>
      </c>
      <c r="GS149" s="2">
        <v>2</v>
      </c>
      <c r="GU149" s="2">
        <v>2</v>
      </c>
      <c r="GV149" s="2">
        <v>2</v>
      </c>
      <c r="GW149" s="2">
        <v>1</v>
      </c>
      <c r="GY149" s="2">
        <v>3</v>
      </c>
      <c r="GZ149" s="2">
        <v>2</v>
      </c>
      <c r="HA149" s="2">
        <v>2</v>
      </c>
      <c r="HB149" s="2">
        <v>2</v>
      </c>
      <c r="HD149" s="2">
        <v>2</v>
      </c>
      <c r="HE149" s="2">
        <v>2</v>
      </c>
      <c r="HF149" s="2">
        <v>1</v>
      </c>
      <c r="HH149" s="2">
        <f t="shared" si="2"/>
        <v>14</v>
      </c>
      <c r="HI149" s="2">
        <f t="shared" si="3"/>
        <v>14</v>
      </c>
      <c r="HJ149" s="2"/>
      <c r="HK149" s="2">
        <v>7</v>
      </c>
      <c r="HL149" s="2">
        <v>8</v>
      </c>
      <c r="HM149" s="2"/>
      <c r="HN149" s="2"/>
    </row>
    <row r="150" spans="1:222" ht="15.75" customHeight="1" x14ac:dyDescent="0.2">
      <c r="A150" s="3" t="e">
        <f>VLOOKUP(B150,#REF!,1,FALSE)</f>
        <v>#REF!</v>
      </c>
      <c r="B150" s="3">
        <v>44468.570024409724</v>
      </c>
      <c r="C150" s="2">
        <v>205</v>
      </c>
      <c r="D150" s="2" t="s">
        <v>185</v>
      </c>
      <c r="E150" s="2">
        <v>0</v>
      </c>
      <c r="F150" s="2" t="s">
        <v>186</v>
      </c>
      <c r="G150" s="2">
        <v>8</v>
      </c>
      <c r="H150" s="2">
        <v>0.5</v>
      </c>
      <c r="I150" s="2">
        <v>1</v>
      </c>
      <c r="J150" s="2">
        <v>2</v>
      </c>
      <c r="K150" s="2">
        <v>0</v>
      </c>
      <c r="L150" s="2">
        <v>4</v>
      </c>
      <c r="M150" s="2" t="s">
        <v>187</v>
      </c>
      <c r="N150" s="2">
        <v>2</v>
      </c>
      <c r="O150" s="2">
        <v>4</v>
      </c>
      <c r="P150" s="2">
        <v>0</v>
      </c>
      <c r="Q150" s="2">
        <v>2</v>
      </c>
      <c r="R150" s="2">
        <v>3</v>
      </c>
      <c r="S150" s="2">
        <v>1</v>
      </c>
      <c r="T150" s="2">
        <v>1</v>
      </c>
      <c r="U150" s="2">
        <v>1</v>
      </c>
      <c r="V150" s="2">
        <v>0</v>
      </c>
      <c r="W150" s="2">
        <v>1</v>
      </c>
      <c r="X150" s="2"/>
      <c r="Y150" s="2">
        <v>-1</v>
      </c>
      <c r="Z150" s="2">
        <v>1</v>
      </c>
      <c r="AA150" s="2">
        <v>1</v>
      </c>
      <c r="AB150" s="2">
        <v>4</v>
      </c>
      <c r="AC150" s="2">
        <v>2</v>
      </c>
      <c r="AD150" s="2">
        <v>2</v>
      </c>
      <c r="AE150" s="2">
        <v>4</v>
      </c>
      <c r="AF150" s="2">
        <v>4</v>
      </c>
      <c r="AG150" s="2">
        <v>3</v>
      </c>
      <c r="AH150" s="2">
        <v>3</v>
      </c>
      <c r="AI150" s="2">
        <v>2</v>
      </c>
      <c r="AJ150" s="2">
        <v>2</v>
      </c>
      <c r="AK150" s="2">
        <v>2</v>
      </c>
      <c r="AL150" s="2">
        <v>2</v>
      </c>
      <c r="AM150" s="2">
        <v>4</v>
      </c>
      <c r="AN150" s="2">
        <v>4</v>
      </c>
      <c r="AO150" s="2">
        <v>4</v>
      </c>
      <c r="AP150" s="2">
        <v>4</v>
      </c>
      <c r="AQ150" s="2">
        <v>4</v>
      </c>
      <c r="AR150" s="2">
        <v>2</v>
      </c>
      <c r="AS150" s="2">
        <v>2</v>
      </c>
      <c r="AT150" s="2">
        <v>2</v>
      </c>
      <c r="AU150" s="2">
        <v>2</v>
      </c>
      <c r="AV150" s="2"/>
      <c r="AW150" s="2">
        <v>2</v>
      </c>
      <c r="AX150" s="2">
        <v>2</v>
      </c>
      <c r="AY150" s="2">
        <v>0</v>
      </c>
      <c r="AZ150" s="2">
        <v>3</v>
      </c>
      <c r="BA150" s="2">
        <v>3</v>
      </c>
      <c r="BB150" s="2">
        <v>3</v>
      </c>
      <c r="BC150" s="2">
        <v>3</v>
      </c>
      <c r="BD150" s="2">
        <v>3</v>
      </c>
      <c r="BE150" s="2">
        <v>2</v>
      </c>
      <c r="BF150" s="2">
        <v>2</v>
      </c>
      <c r="BG150" s="2">
        <v>2</v>
      </c>
      <c r="BH150" s="2">
        <v>2</v>
      </c>
      <c r="BI150" s="2"/>
      <c r="BJ150" s="2">
        <v>2</v>
      </c>
      <c r="BK150" s="2">
        <v>2</v>
      </c>
      <c r="BL150" s="2">
        <v>0</v>
      </c>
      <c r="BM150" s="2">
        <v>8</v>
      </c>
      <c r="BN150" s="2">
        <v>8</v>
      </c>
      <c r="BO150" s="2">
        <v>9</v>
      </c>
      <c r="BP150" s="2"/>
      <c r="BQ150" s="2"/>
      <c r="BR150" s="2"/>
      <c r="BS150" s="2"/>
      <c r="BT150" s="2"/>
      <c r="BU150" s="2"/>
      <c r="BV150" s="2"/>
      <c r="BW150" s="2"/>
      <c r="BX150" s="2" t="s">
        <v>191</v>
      </c>
      <c r="BY150" s="2" t="s">
        <v>191</v>
      </c>
      <c r="BZ150" s="2" t="s">
        <v>191</v>
      </c>
      <c r="CA150" s="2" t="s">
        <v>191</v>
      </c>
      <c r="CB150" s="2" t="s">
        <v>191</v>
      </c>
      <c r="CC150" s="2" t="s">
        <v>191</v>
      </c>
      <c r="CD150" s="2" t="s">
        <v>191</v>
      </c>
      <c r="CE150" s="2" t="s">
        <v>191</v>
      </c>
      <c r="CF150" s="2" t="s">
        <v>191</v>
      </c>
      <c r="CG150" s="2" t="s">
        <v>191</v>
      </c>
      <c r="CH150" s="2" t="s">
        <v>191</v>
      </c>
      <c r="CI150" s="2" t="s">
        <v>191</v>
      </c>
      <c r="CJ150" s="2" t="s">
        <v>191</v>
      </c>
      <c r="CK150" s="2" t="s">
        <v>191</v>
      </c>
      <c r="CL150" s="2" t="s">
        <v>191</v>
      </c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>
        <v>0</v>
      </c>
      <c r="EB150" s="2">
        <v>1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1</v>
      </c>
      <c r="EI150" s="2">
        <v>0</v>
      </c>
      <c r="EJ150" s="2">
        <v>1</v>
      </c>
      <c r="EK150" s="2">
        <v>0</v>
      </c>
      <c r="EL150" s="2">
        <v>1</v>
      </c>
      <c r="EM150" s="2">
        <v>0</v>
      </c>
      <c r="EN150" s="2">
        <v>1</v>
      </c>
      <c r="EO150" s="2">
        <v>0</v>
      </c>
      <c r="EP150" s="2">
        <v>1</v>
      </c>
      <c r="EQ150" s="2">
        <v>0</v>
      </c>
      <c r="ER150" s="2">
        <v>0</v>
      </c>
      <c r="ES150" s="2">
        <v>1</v>
      </c>
      <c r="ET150" s="2">
        <v>0</v>
      </c>
      <c r="EU150" s="2">
        <v>1</v>
      </c>
      <c r="EV150" s="2">
        <v>1</v>
      </c>
      <c r="EW150" s="2">
        <v>0</v>
      </c>
      <c r="EX150" s="2">
        <v>0</v>
      </c>
      <c r="EY150" s="2">
        <v>1</v>
      </c>
      <c r="EZ150" s="2">
        <v>1</v>
      </c>
      <c r="FA150" s="2">
        <v>0</v>
      </c>
      <c r="FB150" s="2">
        <v>0</v>
      </c>
      <c r="FC150" s="2">
        <v>1</v>
      </c>
      <c r="FD150" s="2">
        <v>0</v>
      </c>
      <c r="FE150" s="2">
        <v>0</v>
      </c>
      <c r="FF150" s="2">
        <v>0</v>
      </c>
      <c r="FG150" s="2">
        <v>1</v>
      </c>
      <c r="FH150" s="2">
        <v>0</v>
      </c>
      <c r="FI150" s="2">
        <v>1</v>
      </c>
      <c r="FJ150" s="2">
        <v>1</v>
      </c>
      <c r="FK150" s="2">
        <v>0</v>
      </c>
      <c r="FL150" s="2">
        <v>1</v>
      </c>
      <c r="FM150" s="2">
        <v>0</v>
      </c>
      <c r="FN150" s="2">
        <v>1</v>
      </c>
      <c r="FO150" s="2">
        <v>0</v>
      </c>
      <c r="FP150" s="2">
        <v>0</v>
      </c>
      <c r="FQ150" s="2">
        <v>1</v>
      </c>
      <c r="FR150" s="2">
        <v>0</v>
      </c>
      <c r="FS150" s="2">
        <v>1</v>
      </c>
      <c r="FT150" s="2">
        <v>0</v>
      </c>
      <c r="FU150" s="2">
        <v>1</v>
      </c>
      <c r="FV150" s="2">
        <v>0</v>
      </c>
      <c r="FW150" s="2">
        <v>1</v>
      </c>
      <c r="FX150" s="2">
        <v>0</v>
      </c>
      <c r="FY150" s="2">
        <v>1</v>
      </c>
      <c r="FZ150" s="2"/>
      <c r="GA150" s="2">
        <v>4</v>
      </c>
      <c r="GB150" s="2">
        <v>4</v>
      </c>
      <c r="GC150" s="2">
        <v>4</v>
      </c>
      <c r="GD150" s="2">
        <v>4</v>
      </c>
      <c r="GE150" s="2">
        <v>4</v>
      </c>
      <c r="GG150" s="2">
        <v>3</v>
      </c>
      <c r="GH150" s="2">
        <v>3</v>
      </c>
      <c r="GI150" s="2">
        <v>3</v>
      </c>
      <c r="GJ150" s="2">
        <v>3</v>
      </c>
      <c r="GK150" s="2">
        <v>3</v>
      </c>
      <c r="GM150" s="2">
        <f t="shared" si="0"/>
        <v>20</v>
      </c>
      <c r="GN150" s="2">
        <f t="shared" si="1"/>
        <v>15</v>
      </c>
      <c r="GO150" s="2"/>
      <c r="GP150" s="2">
        <v>2</v>
      </c>
      <c r="GQ150" s="2">
        <v>2</v>
      </c>
      <c r="GR150" s="2">
        <v>2</v>
      </c>
      <c r="GS150" s="2">
        <v>2</v>
      </c>
      <c r="GU150" s="2">
        <v>2</v>
      </c>
      <c r="GV150" s="2">
        <v>2</v>
      </c>
      <c r="GW150" s="2">
        <v>0</v>
      </c>
      <c r="GY150" s="2">
        <v>2</v>
      </c>
      <c r="GZ150" s="2">
        <v>2</v>
      </c>
      <c r="HA150" s="2">
        <v>2</v>
      </c>
      <c r="HB150" s="2">
        <v>2</v>
      </c>
      <c r="HD150" s="2">
        <v>2</v>
      </c>
      <c r="HE150" s="2">
        <v>2</v>
      </c>
      <c r="HF150" s="2">
        <v>0</v>
      </c>
      <c r="HH150" s="2">
        <f t="shared" si="2"/>
        <v>12</v>
      </c>
      <c r="HI150" s="2">
        <f t="shared" si="3"/>
        <v>12</v>
      </c>
      <c r="HJ150" s="2"/>
      <c r="HK150" s="2">
        <v>8</v>
      </c>
      <c r="HL150" s="2">
        <v>9</v>
      </c>
      <c r="HM150" s="2"/>
      <c r="HN150" s="2"/>
    </row>
    <row r="151" spans="1:222" ht="15.75" customHeight="1" x14ac:dyDescent="0.2">
      <c r="A151" s="3" t="e">
        <f>VLOOKUP(B151,#REF!,1,FALSE)</f>
        <v>#REF!</v>
      </c>
      <c r="B151" s="3">
        <v>44468.618631909725</v>
      </c>
      <c r="C151" s="2">
        <v>206</v>
      </c>
      <c r="D151" s="2" t="s">
        <v>185</v>
      </c>
      <c r="E151" s="2">
        <v>0</v>
      </c>
      <c r="F151" s="2" t="s">
        <v>186</v>
      </c>
      <c r="G151" s="2">
        <v>8</v>
      </c>
      <c r="H151" s="2">
        <v>2</v>
      </c>
      <c r="I151" s="2">
        <v>1</v>
      </c>
      <c r="J151" s="2">
        <v>4</v>
      </c>
      <c r="K151" s="2">
        <v>0</v>
      </c>
      <c r="L151" s="2">
        <v>4</v>
      </c>
      <c r="M151" s="2" t="s">
        <v>187</v>
      </c>
      <c r="N151" s="2">
        <v>3</v>
      </c>
      <c r="O151" s="2">
        <v>3</v>
      </c>
      <c r="P151" s="2">
        <v>0</v>
      </c>
      <c r="Q151" s="2">
        <v>0</v>
      </c>
      <c r="R151" s="2">
        <v>3</v>
      </c>
      <c r="S151" s="2">
        <v>-1</v>
      </c>
      <c r="T151" s="2">
        <v>0</v>
      </c>
      <c r="U151" s="2">
        <v>0</v>
      </c>
      <c r="V151" s="2">
        <v>-1</v>
      </c>
      <c r="W151" s="2">
        <v>-1</v>
      </c>
      <c r="X151" s="2"/>
      <c r="Y151" s="2">
        <v>-1</v>
      </c>
      <c r="Z151" s="2">
        <v>-1</v>
      </c>
      <c r="AA151" s="2">
        <v>1</v>
      </c>
      <c r="AB151" s="2">
        <v>2</v>
      </c>
      <c r="AC151" s="2">
        <v>2</v>
      </c>
      <c r="AD151" s="2">
        <v>4</v>
      </c>
      <c r="AE151" s="2">
        <v>4</v>
      </c>
      <c r="AF151" s="2">
        <v>4</v>
      </c>
      <c r="AG151" s="2">
        <v>1</v>
      </c>
      <c r="AH151" s="2">
        <v>2</v>
      </c>
      <c r="AI151" s="2">
        <v>1</v>
      </c>
      <c r="AJ151" s="2">
        <v>2</v>
      </c>
      <c r="AK151" s="2">
        <v>1</v>
      </c>
      <c r="AL151" s="2">
        <v>2</v>
      </c>
      <c r="AM151" s="2">
        <v>3</v>
      </c>
      <c r="AN151" s="2">
        <v>2</v>
      </c>
      <c r="AO151" s="2">
        <v>3</v>
      </c>
      <c r="AP151" s="2">
        <v>3</v>
      </c>
      <c r="AQ151" s="2">
        <v>3</v>
      </c>
      <c r="AR151" s="2">
        <v>0</v>
      </c>
      <c r="AS151" s="2">
        <v>0</v>
      </c>
      <c r="AT151" s="2">
        <v>0</v>
      </c>
      <c r="AU151" s="2">
        <v>2</v>
      </c>
      <c r="AV151" s="2"/>
      <c r="AW151" s="2">
        <v>2</v>
      </c>
      <c r="AX151" s="2">
        <v>0</v>
      </c>
      <c r="AY151" s="2">
        <v>1</v>
      </c>
      <c r="AZ151" s="2">
        <v>3</v>
      </c>
      <c r="BA151" s="2">
        <v>3</v>
      </c>
      <c r="BB151" s="2">
        <v>3</v>
      </c>
      <c r="BC151" s="2">
        <v>1</v>
      </c>
      <c r="BD151" s="2">
        <v>2</v>
      </c>
      <c r="BE151" s="2">
        <v>0</v>
      </c>
      <c r="BF151" s="2">
        <v>0</v>
      </c>
      <c r="BG151" s="2">
        <v>1</v>
      </c>
      <c r="BH151" s="2">
        <v>1</v>
      </c>
      <c r="BI151" s="2"/>
      <c r="BJ151" s="2">
        <v>2</v>
      </c>
      <c r="BK151" s="2">
        <v>0</v>
      </c>
      <c r="BL151" s="2">
        <v>0</v>
      </c>
      <c r="BM151" s="2">
        <v>5</v>
      </c>
      <c r="BN151" s="2">
        <v>9</v>
      </c>
      <c r="BO151" s="2">
        <v>9</v>
      </c>
      <c r="BP151" s="2" t="s">
        <v>595</v>
      </c>
      <c r="BQ151" s="2"/>
      <c r="BR151" s="2"/>
      <c r="BS151" s="2" t="s">
        <v>596</v>
      </c>
      <c r="BT151" s="2"/>
      <c r="BU151" s="2"/>
      <c r="BV151" s="2"/>
      <c r="BW151" s="2"/>
      <c r="BX151" s="2" t="s">
        <v>191</v>
      </c>
      <c r="BY151" s="2" t="s">
        <v>189</v>
      </c>
      <c r="BZ151" s="2" t="s">
        <v>190</v>
      </c>
      <c r="CA151" s="2" t="s">
        <v>189</v>
      </c>
      <c r="CB151" s="2" t="s">
        <v>191</v>
      </c>
      <c r="CC151" s="2" t="s">
        <v>190</v>
      </c>
      <c r="CD151" s="2" t="s">
        <v>189</v>
      </c>
      <c r="CE151" s="2" t="s">
        <v>189</v>
      </c>
      <c r="CF151" s="2" t="s">
        <v>189</v>
      </c>
      <c r="CG151" s="2" t="s">
        <v>189</v>
      </c>
      <c r="CH151" s="2" t="s">
        <v>189</v>
      </c>
      <c r="CI151" s="2" t="s">
        <v>189</v>
      </c>
      <c r="CJ151" s="2" t="s">
        <v>188</v>
      </c>
      <c r="CK151" s="2" t="s">
        <v>189</v>
      </c>
      <c r="CL151" s="2" t="s">
        <v>189</v>
      </c>
      <c r="CM151" s="2" t="s">
        <v>192</v>
      </c>
      <c r="CN151" s="2" t="s">
        <v>192</v>
      </c>
      <c r="CO151" s="2" t="s">
        <v>192</v>
      </c>
      <c r="CP151" s="2" t="s">
        <v>192</v>
      </c>
      <c r="CQ151" s="2" t="s">
        <v>193</v>
      </c>
      <c r="CR151" s="2" t="s">
        <v>192</v>
      </c>
      <c r="CS151" s="2" t="s">
        <v>192</v>
      </c>
      <c r="CT151" s="2" t="s">
        <v>192</v>
      </c>
      <c r="CU151" s="2" t="s">
        <v>192</v>
      </c>
      <c r="CV151" s="2" t="s">
        <v>192</v>
      </c>
      <c r="CW151" s="2" t="s">
        <v>192</v>
      </c>
      <c r="CX151" s="2" t="s">
        <v>192</v>
      </c>
      <c r="CY151" s="2" t="s">
        <v>192</v>
      </c>
      <c r="CZ151" s="2" t="s">
        <v>192</v>
      </c>
      <c r="DA151" s="2" t="s">
        <v>200</v>
      </c>
      <c r="DB151" s="2" t="s">
        <v>192</v>
      </c>
      <c r="DC151" s="2" t="s">
        <v>192</v>
      </c>
      <c r="DD151" s="2" t="s">
        <v>192</v>
      </c>
      <c r="DE151" s="2" t="s">
        <v>192</v>
      </c>
      <c r="DF151" s="2" t="s">
        <v>193</v>
      </c>
      <c r="DG151" s="2" t="s">
        <v>194</v>
      </c>
      <c r="DH151" s="2"/>
      <c r="DI151" s="2" t="s">
        <v>195</v>
      </c>
      <c r="DJ151" s="2" t="s">
        <v>194</v>
      </c>
      <c r="DK151" s="2" t="s">
        <v>194</v>
      </c>
      <c r="DL151" s="2" t="s">
        <v>194</v>
      </c>
      <c r="DM151" s="2" t="s">
        <v>194</v>
      </c>
      <c r="DN151" s="2" t="s">
        <v>194</v>
      </c>
      <c r="DO151" s="2" t="s">
        <v>194</v>
      </c>
      <c r="DP151" s="2" t="s">
        <v>194</v>
      </c>
      <c r="DQ151" s="2" t="s">
        <v>194</v>
      </c>
      <c r="DR151" s="2" t="s">
        <v>194</v>
      </c>
      <c r="DS151" s="2" t="s">
        <v>197</v>
      </c>
      <c r="DT151" s="2" t="s">
        <v>197</v>
      </c>
      <c r="DU151" s="2" t="s">
        <v>198</v>
      </c>
      <c r="DV151" s="2" t="s">
        <v>197</v>
      </c>
      <c r="DW151" s="2" t="s">
        <v>197</v>
      </c>
      <c r="DX151" s="2" t="s">
        <v>197</v>
      </c>
      <c r="DY151" s="2" t="s">
        <v>197</v>
      </c>
      <c r="DZ151" s="2"/>
      <c r="EA151" s="2">
        <v>1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1</v>
      </c>
      <c r="EI151" s="2">
        <v>1</v>
      </c>
      <c r="EJ151" s="2">
        <v>1</v>
      </c>
      <c r="EK151" s="2">
        <v>0</v>
      </c>
      <c r="EL151" s="2">
        <v>1</v>
      </c>
      <c r="EM151" s="2">
        <v>1</v>
      </c>
      <c r="EN151" s="2">
        <v>1</v>
      </c>
      <c r="EO151" s="2">
        <v>0</v>
      </c>
      <c r="EP151" s="2">
        <v>1</v>
      </c>
      <c r="EQ151" s="2">
        <v>1</v>
      </c>
      <c r="ER151" s="2">
        <v>1</v>
      </c>
      <c r="ES151" s="2">
        <v>1</v>
      </c>
      <c r="ET151" s="2">
        <v>1</v>
      </c>
      <c r="EU151" s="2">
        <v>1</v>
      </c>
      <c r="EV151" s="2">
        <v>1</v>
      </c>
      <c r="EW151" s="2">
        <v>0</v>
      </c>
      <c r="EX151" s="2">
        <v>1</v>
      </c>
      <c r="EY151" s="2">
        <v>1</v>
      </c>
      <c r="EZ151" s="2">
        <v>1</v>
      </c>
      <c r="FA151" s="2">
        <v>0</v>
      </c>
      <c r="FB151" s="2">
        <v>1</v>
      </c>
      <c r="FC151" s="2">
        <v>1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1</v>
      </c>
      <c r="FO151" s="2">
        <v>1</v>
      </c>
      <c r="FP151" s="2">
        <v>1</v>
      </c>
      <c r="FQ151" s="2">
        <v>1</v>
      </c>
      <c r="FR151" s="2">
        <v>1</v>
      </c>
      <c r="FS151" s="2">
        <v>0</v>
      </c>
      <c r="FT151" s="2">
        <v>1</v>
      </c>
      <c r="FU151" s="2">
        <v>0</v>
      </c>
      <c r="FV151" s="2">
        <v>1</v>
      </c>
      <c r="FW151" s="2">
        <v>0</v>
      </c>
      <c r="FX151" s="2">
        <v>1</v>
      </c>
      <c r="FY151" s="2">
        <v>0</v>
      </c>
      <c r="FZ151" s="2"/>
      <c r="GA151" s="2">
        <v>3</v>
      </c>
      <c r="GB151" s="2">
        <v>2</v>
      </c>
      <c r="GC151" s="2">
        <v>3</v>
      </c>
      <c r="GD151" s="2">
        <v>3</v>
      </c>
      <c r="GE151" s="2">
        <v>3</v>
      </c>
      <c r="GG151" s="2">
        <v>3</v>
      </c>
      <c r="GH151" s="2">
        <v>3</v>
      </c>
      <c r="GI151" s="2">
        <v>3</v>
      </c>
      <c r="GJ151" s="2">
        <v>1</v>
      </c>
      <c r="GK151" s="2">
        <v>2</v>
      </c>
      <c r="GM151" s="2">
        <f t="shared" si="0"/>
        <v>14</v>
      </c>
      <c r="GN151" s="2">
        <f t="shared" si="1"/>
        <v>12</v>
      </c>
      <c r="GO151" s="2"/>
      <c r="GP151" s="2">
        <v>0</v>
      </c>
      <c r="GQ151" s="2">
        <v>0</v>
      </c>
      <c r="GR151" s="2">
        <v>0</v>
      </c>
      <c r="GS151" s="2">
        <v>2</v>
      </c>
      <c r="GU151" s="2">
        <v>2</v>
      </c>
      <c r="GV151" s="2">
        <v>0</v>
      </c>
      <c r="GW151" s="2">
        <v>1</v>
      </c>
      <c r="GY151" s="2">
        <v>0</v>
      </c>
      <c r="GZ151" s="2">
        <v>0</v>
      </c>
      <c r="HA151" s="2">
        <v>1</v>
      </c>
      <c r="HB151" s="2">
        <v>1</v>
      </c>
      <c r="HD151" s="2">
        <v>2</v>
      </c>
      <c r="HE151" s="2">
        <v>0</v>
      </c>
      <c r="HF151" s="2">
        <v>0</v>
      </c>
      <c r="HH151" s="2">
        <f t="shared" si="2"/>
        <v>5</v>
      </c>
      <c r="HI151" s="2">
        <f t="shared" si="3"/>
        <v>4</v>
      </c>
      <c r="HJ151" s="2"/>
      <c r="HK151" s="2">
        <v>9</v>
      </c>
      <c r="HL151" s="2">
        <v>9</v>
      </c>
      <c r="HM151" s="2"/>
      <c r="HN151" s="2"/>
    </row>
    <row r="152" spans="1:222" ht="15.75" customHeight="1" x14ac:dyDescent="0.2">
      <c r="A152" s="3" t="e">
        <f>VLOOKUP(B152,#REF!,1,FALSE)</f>
        <v>#REF!</v>
      </c>
      <c r="B152" s="3">
        <v>44468.642617303238</v>
      </c>
      <c r="C152" s="2">
        <v>207</v>
      </c>
      <c r="D152" s="2" t="s">
        <v>185</v>
      </c>
      <c r="E152" s="2">
        <v>0</v>
      </c>
      <c r="F152" s="2" t="s">
        <v>232</v>
      </c>
      <c r="G152" s="2">
        <v>8</v>
      </c>
      <c r="H152" s="2">
        <v>0.5</v>
      </c>
      <c r="I152" s="2">
        <v>1</v>
      </c>
      <c r="J152" s="2">
        <v>1</v>
      </c>
      <c r="K152" s="2">
        <v>0</v>
      </c>
      <c r="L152" s="2">
        <v>4</v>
      </c>
      <c r="M152" s="2" t="s">
        <v>213</v>
      </c>
      <c r="N152" s="2">
        <v>2</v>
      </c>
      <c r="O152" s="2">
        <v>2</v>
      </c>
      <c r="P152" s="2">
        <v>0</v>
      </c>
      <c r="Q152" s="2">
        <v>0</v>
      </c>
      <c r="R152" s="2">
        <v>2</v>
      </c>
      <c r="S152" s="2">
        <v>0</v>
      </c>
      <c r="T152" s="2">
        <v>-1</v>
      </c>
      <c r="U152" s="2">
        <v>-1</v>
      </c>
      <c r="V152" s="2">
        <v>-1</v>
      </c>
      <c r="W152" s="2">
        <v>1</v>
      </c>
      <c r="X152" s="2"/>
      <c r="Y152" s="2">
        <v>-1</v>
      </c>
      <c r="Z152" s="2">
        <v>1</v>
      </c>
      <c r="AA152" s="2">
        <v>1</v>
      </c>
      <c r="AB152" s="2">
        <v>2</v>
      </c>
      <c r="AC152" s="2">
        <v>2</v>
      </c>
      <c r="AD152" s="2">
        <v>1</v>
      </c>
      <c r="AE152" s="2">
        <v>2</v>
      </c>
      <c r="AF152" s="2">
        <v>0</v>
      </c>
      <c r="AG152" s="2">
        <v>1</v>
      </c>
      <c r="AH152" s="2">
        <v>2</v>
      </c>
      <c r="AI152" s="2">
        <v>2</v>
      </c>
      <c r="AJ152" s="2">
        <v>2</v>
      </c>
      <c r="AK152" s="2">
        <v>1</v>
      </c>
      <c r="AL152" s="2">
        <v>1</v>
      </c>
      <c r="AM152" s="2">
        <v>4</v>
      </c>
      <c r="AN152" s="2">
        <v>4</v>
      </c>
      <c r="AO152" s="2">
        <v>4</v>
      </c>
      <c r="AP152" s="2">
        <v>3</v>
      </c>
      <c r="AQ152" s="2">
        <v>3</v>
      </c>
      <c r="AR152" s="2">
        <v>2</v>
      </c>
      <c r="AS152" s="2">
        <v>2</v>
      </c>
      <c r="AT152" s="2">
        <v>1</v>
      </c>
      <c r="AU152" s="2">
        <v>1</v>
      </c>
      <c r="AV152" s="2"/>
      <c r="AW152" s="2">
        <v>1</v>
      </c>
      <c r="AX152" s="2">
        <v>0</v>
      </c>
      <c r="AY152" s="2">
        <v>1</v>
      </c>
      <c r="AZ152" s="2">
        <v>3</v>
      </c>
      <c r="BA152" s="2">
        <v>2</v>
      </c>
      <c r="BB152" s="2">
        <v>2</v>
      </c>
      <c r="BC152" s="2">
        <v>3</v>
      </c>
      <c r="BD152" s="2">
        <v>2</v>
      </c>
      <c r="BE152" s="2">
        <v>2</v>
      </c>
      <c r="BF152" s="2">
        <v>2</v>
      </c>
      <c r="BG152" s="2">
        <v>1</v>
      </c>
      <c r="BH152" s="2">
        <v>1</v>
      </c>
      <c r="BI152" s="2"/>
      <c r="BJ152" s="2">
        <v>1</v>
      </c>
      <c r="BK152" s="2">
        <v>0</v>
      </c>
      <c r="BL152" s="2">
        <v>2</v>
      </c>
      <c r="BM152" s="2">
        <v>7</v>
      </c>
      <c r="BN152" s="2">
        <v>8</v>
      </c>
      <c r="BO152" s="2">
        <v>7</v>
      </c>
      <c r="BP152" s="2"/>
      <c r="BQ152" s="2"/>
      <c r="BR152" s="2"/>
      <c r="BS152" s="2"/>
      <c r="BT152" s="2"/>
      <c r="BU152" s="2"/>
      <c r="BV152" s="2" t="s">
        <v>597</v>
      </c>
      <c r="BW152" s="2" t="s">
        <v>598</v>
      </c>
      <c r="BX152" s="2" t="s">
        <v>191</v>
      </c>
      <c r="BY152" s="2" t="s">
        <v>190</v>
      </c>
      <c r="BZ152" s="2" t="s">
        <v>188</v>
      </c>
      <c r="CA152" s="2" t="s">
        <v>188</v>
      </c>
      <c r="CB152" s="2" t="s">
        <v>188</v>
      </c>
      <c r="CC152" s="2" t="s">
        <v>191</v>
      </c>
      <c r="CD152" s="2" t="s">
        <v>190</v>
      </c>
      <c r="CE152" s="2" t="s">
        <v>190</v>
      </c>
      <c r="CF152" s="2" t="s">
        <v>189</v>
      </c>
      <c r="CG152" s="2" t="s">
        <v>191</v>
      </c>
      <c r="CH152" s="2" t="s">
        <v>188</v>
      </c>
      <c r="CI152" s="2" t="s">
        <v>188</v>
      </c>
      <c r="CJ152" s="2" t="s">
        <v>191</v>
      </c>
      <c r="CK152" s="2" t="s">
        <v>190</v>
      </c>
      <c r="CL152" s="2" t="s">
        <v>190</v>
      </c>
      <c r="CM152" s="2" t="s">
        <v>193</v>
      </c>
      <c r="CN152" s="2" t="s">
        <v>192</v>
      </c>
      <c r="CO152" s="2" t="s">
        <v>192</v>
      </c>
      <c r="CP152" s="2" t="s">
        <v>193</v>
      </c>
      <c r="CQ152" s="2" t="s">
        <v>192</v>
      </c>
      <c r="CR152" s="2" t="s">
        <v>193</v>
      </c>
      <c r="CS152" s="2" t="s">
        <v>192</v>
      </c>
      <c r="CT152" s="2" t="s">
        <v>192</v>
      </c>
      <c r="CU152" s="2" t="s">
        <v>192</v>
      </c>
      <c r="CV152" s="2" t="s">
        <v>192</v>
      </c>
      <c r="CW152" s="2" t="s">
        <v>192</v>
      </c>
      <c r="CX152" s="2" t="s">
        <v>192</v>
      </c>
      <c r="CY152" s="2" t="s">
        <v>192</v>
      </c>
      <c r="CZ152" s="2" t="s">
        <v>192</v>
      </c>
      <c r="DA152" s="2" t="s">
        <v>192</v>
      </c>
      <c r="DB152" s="2" t="s">
        <v>192</v>
      </c>
      <c r="DC152" s="2" t="s">
        <v>192</v>
      </c>
      <c r="DD152" s="2" t="s">
        <v>193</v>
      </c>
      <c r="DE152" s="2" t="s">
        <v>192</v>
      </c>
      <c r="DF152" s="2" t="s">
        <v>192</v>
      </c>
      <c r="DG152" s="2" t="s">
        <v>196</v>
      </c>
      <c r="DH152" s="2" t="s">
        <v>196</v>
      </c>
      <c r="DI152" s="2" t="s">
        <v>196</v>
      </c>
      <c r="DJ152" s="2" t="s">
        <v>196</v>
      </c>
      <c r="DK152" s="2" t="s">
        <v>194</v>
      </c>
      <c r="DL152" s="2" t="s">
        <v>194</v>
      </c>
      <c r="DM152" s="2" t="s">
        <v>195</v>
      </c>
      <c r="DN152" s="2" t="s">
        <v>194</v>
      </c>
      <c r="DO152" s="2" t="s">
        <v>194</v>
      </c>
      <c r="DP152" s="2" t="s">
        <v>194</v>
      </c>
      <c r="DQ152" s="2" t="s">
        <v>196</v>
      </c>
      <c r="DR152" s="2" t="s">
        <v>196</v>
      </c>
      <c r="DS152" s="2" t="s">
        <v>197</v>
      </c>
      <c r="DT152" s="2" t="s">
        <v>197</v>
      </c>
      <c r="DU152" s="2" t="s">
        <v>221</v>
      </c>
      <c r="DV152" s="2" t="s">
        <v>222</v>
      </c>
      <c r="DW152" s="2" t="s">
        <v>222</v>
      </c>
      <c r="DX152" s="2" t="s">
        <v>222</v>
      </c>
      <c r="DY152" s="2" t="s">
        <v>199</v>
      </c>
      <c r="DZ152" s="2"/>
      <c r="EA152" s="2">
        <v>1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1</v>
      </c>
      <c r="EJ152" s="2">
        <v>0</v>
      </c>
      <c r="EK152" s="2">
        <v>1</v>
      </c>
      <c r="EL152" s="2">
        <v>0</v>
      </c>
      <c r="EM152" s="2">
        <v>1</v>
      </c>
      <c r="EN152" s="2">
        <v>0</v>
      </c>
      <c r="EO152" s="2">
        <v>1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1</v>
      </c>
      <c r="EV152" s="2">
        <v>0</v>
      </c>
      <c r="EW152" s="2">
        <v>0</v>
      </c>
      <c r="EX152" s="2">
        <v>0</v>
      </c>
      <c r="EY152" s="2">
        <v>1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1</v>
      </c>
      <c r="FH152" s="2">
        <v>0</v>
      </c>
      <c r="FI152" s="2">
        <v>1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1</v>
      </c>
      <c r="FP152" s="2">
        <v>0</v>
      </c>
      <c r="FQ152" s="2">
        <v>1</v>
      </c>
      <c r="FR152" s="2">
        <v>0</v>
      </c>
      <c r="FS152" s="2">
        <v>1</v>
      </c>
      <c r="FT152" s="2">
        <v>0</v>
      </c>
      <c r="FU152" s="2">
        <v>1</v>
      </c>
      <c r="FV152" s="2">
        <v>0</v>
      </c>
      <c r="FW152" s="2">
        <v>1</v>
      </c>
      <c r="FX152" s="2">
        <v>0</v>
      </c>
      <c r="FY152" s="2">
        <v>1</v>
      </c>
      <c r="FZ152" s="2"/>
      <c r="GA152" s="2">
        <v>4</v>
      </c>
      <c r="GB152" s="2">
        <v>4</v>
      </c>
      <c r="GC152" s="2">
        <v>4</v>
      </c>
      <c r="GD152" s="2">
        <v>3</v>
      </c>
      <c r="GE152" s="2">
        <v>3</v>
      </c>
      <c r="GG152" s="2">
        <v>3</v>
      </c>
      <c r="GH152" s="2">
        <v>2</v>
      </c>
      <c r="GI152" s="2">
        <v>2</v>
      </c>
      <c r="GJ152" s="2">
        <v>3</v>
      </c>
      <c r="GK152" s="2">
        <v>2</v>
      </c>
      <c r="GM152" s="2">
        <f t="shared" si="0"/>
        <v>18</v>
      </c>
      <c r="GN152" s="2">
        <f t="shared" si="1"/>
        <v>12</v>
      </c>
      <c r="GO152" s="2"/>
      <c r="GP152" s="2">
        <v>2</v>
      </c>
      <c r="GQ152" s="2">
        <v>2</v>
      </c>
      <c r="GR152" s="2">
        <v>1</v>
      </c>
      <c r="GS152" s="2">
        <v>1</v>
      </c>
      <c r="GU152" s="2">
        <v>1</v>
      </c>
      <c r="GV152" s="2">
        <v>0</v>
      </c>
      <c r="GW152" s="2">
        <v>1</v>
      </c>
      <c r="GY152" s="2">
        <v>2</v>
      </c>
      <c r="GZ152" s="2">
        <v>2</v>
      </c>
      <c r="HA152" s="2">
        <v>1</v>
      </c>
      <c r="HB152" s="2">
        <v>1</v>
      </c>
      <c r="HD152" s="2">
        <v>1</v>
      </c>
      <c r="HE152" s="2">
        <v>0</v>
      </c>
      <c r="HF152" s="2">
        <v>2</v>
      </c>
      <c r="HH152" s="2">
        <f t="shared" si="2"/>
        <v>8</v>
      </c>
      <c r="HI152" s="2">
        <f t="shared" si="3"/>
        <v>9</v>
      </c>
      <c r="HJ152" s="2"/>
      <c r="HK152" s="2">
        <v>8</v>
      </c>
      <c r="HL152" s="2">
        <v>7</v>
      </c>
      <c r="HM152" s="2"/>
      <c r="HN152" s="2"/>
    </row>
    <row r="153" spans="1:222" ht="15.75" customHeight="1" x14ac:dyDescent="0.2">
      <c r="A153" s="3" t="e">
        <f>VLOOKUP(B153,#REF!,1,FALSE)</f>
        <v>#REF!</v>
      </c>
      <c r="B153" s="3">
        <v>44468.905768495373</v>
      </c>
      <c r="C153" s="2">
        <v>209</v>
      </c>
      <c r="D153" s="2" t="s">
        <v>185</v>
      </c>
      <c r="E153" s="2">
        <v>0</v>
      </c>
      <c r="F153" s="2" t="s">
        <v>237</v>
      </c>
      <c r="G153" s="2">
        <v>8</v>
      </c>
      <c r="H153" s="2">
        <v>0.5</v>
      </c>
      <c r="I153" s="2">
        <v>1</v>
      </c>
      <c r="J153" s="2">
        <v>5</v>
      </c>
      <c r="K153" s="2">
        <v>2</v>
      </c>
      <c r="L153" s="2">
        <v>5</v>
      </c>
      <c r="M153" s="2" t="s">
        <v>187</v>
      </c>
      <c r="N153" s="2">
        <v>2</v>
      </c>
      <c r="O153" s="2">
        <v>2</v>
      </c>
      <c r="P153" s="2">
        <v>0</v>
      </c>
      <c r="Q153" s="2">
        <v>0</v>
      </c>
      <c r="R153" s="2">
        <v>3</v>
      </c>
      <c r="S153" s="2">
        <v>-1</v>
      </c>
      <c r="T153" s="2">
        <v>-1</v>
      </c>
      <c r="U153" s="2">
        <v>-1</v>
      </c>
      <c r="V153" s="2">
        <v>-1</v>
      </c>
      <c r="W153" s="2">
        <v>-1</v>
      </c>
      <c r="X153" s="2"/>
      <c r="Y153" s="2">
        <v>0</v>
      </c>
      <c r="Z153" s="2">
        <v>1</v>
      </c>
      <c r="AA153" s="2">
        <v>1</v>
      </c>
      <c r="AB153" s="2">
        <v>2</v>
      </c>
      <c r="AC153" s="2">
        <v>1</v>
      </c>
      <c r="AD153" s="2">
        <v>4</v>
      </c>
      <c r="AE153" s="2">
        <v>2</v>
      </c>
      <c r="AF153" s="2">
        <v>4</v>
      </c>
      <c r="AG153" s="2">
        <v>2</v>
      </c>
      <c r="AH153" s="2">
        <v>2</v>
      </c>
      <c r="AI153" s="2">
        <v>2</v>
      </c>
      <c r="AJ153" s="2">
        <v>2</v>
      </c>
      <c r="AK153" s="2">
        <v>3</v>
      </c>
      <c r="AL153" s="2">
        <v>2</v>
      </c>
      <c r="AM153" s="2">
        <v>3</v>
      </c>
      <c r="AN153" s="2">
        <v>4</v>
      </c>
      <c r="AO153" s="2">
        <v>4</v>
      </c>
      <c r="AP153" s="2">
        <v>4</v>
      </c>
      <c r="AQ153" s="2">
        <v>4</v>
      </c>
      <c r="AR153" s="2">
        <v>4</v>
      </c>
      <c r="AS153" s="2">
        <v>4</v>
      </c>
      <c r="AT153" s="2">
        <v>2</v>
      </c>
      <c r="AU153" s="2">
        <v>1</v>
      </c>
      <c r="AV153" s="2"/>
      <c r="AW153" s="2">
        <v>1</v>
      </c>
      <c r="AX153" s="2">
        <v>1</v>
      </c>
      <c r="AY153" s="2">
        <v>2</v>
      </c>
      <c r="AZ153" s="2">
        <v>4</v>
      </c>
      <c r="BA153" s="2">
        <v>4</v>
      </c>
      <c r="BB153" s="2">
        <v>4</v>
      </c>
      <c r="BC153" s="2">
        <v>4</v>
      </c>
      <c r="BD153" s="2">
        <v>4</v>
      </c>
      <c r="BE153" s="2">
        <v>2</v>
      </c>
      <c r="BF153" s="2">
        <v>2</v>
      </c>
      <c r="BG153" s="2">
        <v>2</v>
      </c>
      <c r="BH153" s="2">
        <v>2</v>
      </c>
      <c r="BI153" s="2"/>
      <c r="BJ153" s="2">
        <v>2</v>
      </c>
      <c r="BK153" s="2">
        <v>2</v>
      </c>
      <c r="BL153" s="2">
        <v>2</v>
      </c>
      <c r="BM153" s="2">
        <v>8</v>
      </c>
      <c r="BN153" s="2">
        <v>7</v>
      </c>
      <c r="BO153" s="2">
        <v>7</v>
      </c>
      <c r="BP153" s="2"/>
      <c r="BQ153" s="2"/>
      <c r="BR153" s="2"/>
      <c r="BS153" s="2"/>
      <c r="BT153" s="2"/>
      <c r="BU153" s="2"/>
      <c r="BV153" s="2"/>
      <c r="BW153" s="2"/>
      <c r="BX153" s="2" t="s">
        <v>190</v>
      </c>
      <c r="BY153" s="2" t="s">
        <v>190</v>
      </c>
      <c r="BZ153" s="2" t="s">
        <v>191</v>
      </c>
      <c r="CA153" s="2" t="s">
        <v>190</v>
      </c>
      <c r="CB153" s="2" t="s">
        <v>191</v>
      </c>
      <c r="CC153" s="2" t="s">
        <v>191</v>
      </c>
      <c r="CD153" s="2" t="s">
        <v>190</v>
      </c>
      <c r="CE153" s="2" t="s">
        <v>190</v>
      </c>
      <c r="CF153" s="2" t="s">
        <v>189</v>
      </c>
      <c r="CG153" s="2" t="s">
        <v>190</v>
      </c>
      <c r="CH153" s="2" t="s">
        <v>190</v>
      </c>
      <c r="CI153" s="2" t="s">
        <v>189</v>
      </c>
      <c r="CJ153" s="2" t="s">
        <v>188</v>
      </c>
      <c r="CK153" s="2" t="s">
        <v>191</v>
      </c>
      <c r="CL153" s="2" t="s">
        <v>191</v>
      </c>
      <c r="CM153" s="2" t="s">
        <v>193</v>
      </c>
      <c r="CN153" s="2" t="s">
        <v>193</v>
      </c>
      <c r="CO153" s="2" t="s">
        <v>193</v>
      </c>
      <c r="CP153" s="2" t="s">
        <v>193</v>
      </c>
      <c r="CQ153" s="2" t="s">
        <v>200</v>
      </c>
      <c r="CR153" s="2" t="s">
        <v>200</v>
      </c>
      <c r="CS153" s="2" t="s">
        <v>193</v>
      </c>
      <c r="CT153" s="2" t="s">
        <v>193</v>
      </c>
      <c r="CU153" s="2" t="s">
        <v>193</v>
      </c>
      <c r="CV153" s="2" t="s">
        <v>193</v>
      </c>
      <c r="CW153" s="2" t="s">
        <v>192</v>
      </c>
      <c r="CX153" s="2" t="s">
        <v>193</v>
      </c>
      <c r="CY153" s="2" t="s">
        <v>193</v>
      </c>
      <c r="CZ153" s="2" t="s">
        <v>193</v>
      </c>
      <c r="DA153" s="2" t="s">
        <v>193</v>
      </c>
      <c r="DB153" s="2" t="s">
        <v>193</v>
      </c>
      <c r="DC153" s="2" t="s">
        <v>192</v>
      </c>
      <c r="DD153" s="2" t="s">
        <v>193</v>
      </c>
      <c r="DE153" s="2" t="s">
        <v>193</v>
      </c>
      <c r="DF153" s="2" t="s">
        <v>193</v>
      </c>
      <c r="DG153" s="2" t="s">
        <v>196</v>
      </c>
      <c r="DH153" s="2" t="s">
        <v>194</v>
      </c>
      <c r="DI153" s="2" t="s">
        <v>194</v>
      </c>
      <c r="DJ153" s="2" t="s">
        <v>194</v>
      </c>
      <c r="DK153" s="2" t="s">
        <v>194</v>
      </c>
      <c r="DL153" s="2" t="s">
        <v>194</v>
      </c>
      <c r="DM153" s="2" t="s">
        <v>194</v>
      </c>
      <c r="DN153" s="2" t="s">
        <v>194</v>
      </c>
      <c r="DO153" s="2" t="s">
        <v>194</v>
      </c>
      <c r="DP153" s="2" t="s">
        <v>194</v>
      </c>
      <c r="DQ153" s="2" t="s">
        <v>194</v>
      </c>
      <c r="DR153" s="2" t="s">
        <v>194</v>
      </c>
      <c r="DS153" s="2" t="s">
        <v>199</v>
      </c>
      <c r="DT153" s="2" t="s">
        <v>222</v>
      </c>
      <c r="DU153" s="2" t="s">
        <v>199</v>
      </c>
      <c r="DV153" s="2" t="s">
        <v>199</v>
      </c>
      <c r="DW153" s="2" t="s">
        <v>199</v>
      </c>
      <c r="DX153" s="2" t="s">
        <v>198</v>
      </c>
      <c r="DY153" s="2" t="s">
        <v>198</v>
      </c>
      <c r="DZ153" s="2"/>
      <c r="EA153" s="2">
        <v>1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1</v>
      </c>
      <c r="EJ153" s="2">
        <v>1</v>
      </c>
      <c r="EK153" s="2">
        <v>0</v>
      </c>
      <c r="EL153" s="2">
        <v>1</v>
      </c>
      <c r="EM153" s="2">
        <v>0</v>
      </c>
      <c r="EN153" s="2">
        <v>1</v>
      </c>
      <c r="EO153" s="2">
        <v>0</v>
      </c>
      <c r="EP153" s="2">
        <v>1</v>
      </c>
      <c r="EQ153" s="2">
        <v>0</v>
      </c>
      <c r="ER153" s="2">
        <v>1</v>
      </c>
      <c r="ES153" s="2">
        <v>0</v>
      </c>
      <c r="ET153" s="2">
        <v>1</v>
      </c>
      <c r="EU153" s="2">
        <v>0</v>
      </c>
      <c r="EV153" s="2">
        <v>1</v>
      </c>
      <c r="EW153" s="2">
        <v>0</v>
      </c>
      <c r="EX153" s="2">
        <v>0</v>
      </c>
      <c r="EY153" s="2">
        <v>1</v>
      </c>
      <c r="EZ153" s="2">
        <v>1</v>
      </c>
      <c r="FA153" s="2">
        <v>0</v>
      </c>
      <c r="FB153" s="2">
        <v>1</v>
      </c>
      <c r="FC153" s="2">
        <v>0</v>
      </c>
      <c r="FD153" s="2">
        <v>0</v>
      </c>
      <c r="FE153" s="2">
        <v>0</v>
      </c>
      <c r="FF153" s="2">
        <v>1</v>
      </c>
      <c r="FG153" s="2">
        <v>0</v>
      </c>
      <c r="FH153" s="2">
        <v>1</v>
      </c>
      <c r="FI153" s="2">
        <v>0</v>
      </c>
      <c r="FJ153" s="2">
        <v>1</v>
      </c>
      <c r="FK153" s="2">
        <v>0</v>
      </c>
      <c r="FL153" s="2">
        <v>1</v>
      </c>
      <c r="FM153" s="2">
        <v>0</v>
      </c>
      <c r="FN153" s="2">
        <v>0</v>
      </c>
      <c r="FO153" s="2">
        <v>1</v>
      </c>
      <c r="FP153" s="2">
        <v>0</v>
      </c>
      <c r="FQ153" s="2">
        <v>1</v>
      </c>
      <c r="FR153" s="2">
        <v>0</v>
      </c>
      <c r="FS153" s="2">
        <v>1</v>
      </c>
      <c r="FT153" s="2">
        <v>1</v>
      </c>
      <c r="FU153" s="2">
        <v>0</v>
      </c>
      <c r="FV153" s="2">
        <v>1</v>
      </c>
      <c r="FW153" s="2">
        <v>0</v>
      </c>
      <c r="FX153" s="2">
        <v>1</v>
      </c>
      <c r="FY153" s="2">
        <v>0</v>
      </c>
      <c r="FZ153" s="2"/>
      <c r="GA153" s="2">
        <v>3</v>
      </c>
      <c r="GB153" s="2">
        <v>4</v>
      </c>
      <c r="GC153" s="2">
        <v>4</v>
      </c>
      <c r="GD153" s="2">
        <v>4</v>
      </c>
      <c r="GE153" s="2">
        <v>4</v>
      </c>
      <c r="GG153" s="2">
        <v>4</v>
      </c>
      <c r="GH153" s="2">
        <v>4</v>
      </c>
      <c r="GI153" s="2">
        <v>4</v>
      </c>
      <c r="GJ153" s="2">
        <v>4</v>
      </c>
      <c r="GK153" s="2">
        <v>4</v>
      </c>
      <c r="GM153" s="2">
        <f t="shared" si="0"/>
        <v>19</v>
      </c>
      <c r="GN153" s="2">
        <f t="shared" si="1"/>
        <v>20</v>
      </c>
      <c r="GO153" s="2"/>
      <c r="GP153" s="2">
        <v>4</v>
      </c>
      <c r="GQ153" s="2">
        <v>4</v>
      </c>
      <c r="GR153" s="2">
        <v>2</v>
      </c>
      <c r="GS153" s="2">
        <v>1</v>
      </c>
      <c r="GU153" s="2">
        <v>1</v>
      </c>
      <c r="GV153" s="2">
        <v>1</v>
      </c>
      <c r="GW153" s="2">
        <v>2</v>
      </c>
      <c r="GY153" s="2">
        <v>2</v>
      </c>
      <c r="GZ153" s="2">
        <v>2</v>
      </c>
      <c r="HA153" s="2">
        <v>2</v>
      </c>
      <c r="HB153" s="2">
        <v>2</v>
      </c>
      <c r="HD153" s="2">
        <v>2</v>
      </c>
      <c r="HE153" s="2">
        <v>2</v>
      </c>
      <c r="HF153" s="2">
        <v>2</v>
      </c>
      <c r="HH153" s="2">
        <f t="shared" si="2"/>
        <v>15</v>
      </c>
      <c r="HI153" s="2">
        <f t="shared" si="3"/>
        <v>14</v>
      </c>
      <c r="HJ153" s="2"/>
      <c r="HK153" s="2">
        <v>7</v>
      </c>
      <c r="HL153" s="2">
        <v>7</v>
      </c>
      <c r="HM153" s="2"/>
      <c r="HN153" s="2"/>
    </row>
    <row r="154" spans="1:222" ht="15.75" customHeight="1" x14ac:dyDescent="0.2">
      <c r="A154" s="3" t="e">
        <f>VLOOKUP(B154,#REF!,1,FALSE)</f>
        <v>#REF!</v>
      </c>
      <c r="B154" s="3">
        <v>44469.051470358798</v>
      </c>
      <c r="C154" s="2">
        <v>210</v>
      </c>
      <c r="D154" s="2" t="s">
        <v>185</v>
      </c>
      <c r="E154" s="2">
        <v>0</v>
      </c>
      <c r="F154" s="2" t="s">
        <v>599</v>
      </c>
      <c r="G154" s="2">
        <v>8</v>
      </c>
      <c r="H154" s="2">
        <v>2</v>
      </c>
      <c r="I154" s="2">
        <v>1</v>
      </c>
      <c r="J154" s="2">
        <v>4</v>
      </c>
      <c r="K154" s="2">
        <v>1</v>
      </c>
      <c r="L154" s="2">
        <v>5</v>
      </c>
      <c r="M154" s="2" t="s">
        <v>187</v>
      </c>
      <c r="N154" s="2">
        <v>3</v>
      </c>
      <c r="O154" s="2">
        <v>2</v>
      </c>
      <c r="P154" s="2">
        <v>0</v>
      </c>
      <c r="Q154" s="2">
        <v>0</v>
      </c>
      <c r="R154" s="2">
        <v>3</v>
      </c>
      <c r="S154" s="2">
        <v>-1</v>
      </c>
      <c r="T154" s="2">
        <v>-1</v>
      </c>
      <c r="U154" s="2">
        <v>-1</v>
      </c>
      <c r="V154" s="2">
        <v>-1</v>
      </c>
      <c r="W154" s="2">
        <v>-1</v>
      </c>
      <c r="X154" s="2"/>
      <c r="Y154" s="2">
        <v>-1</v>
      </c>
      <c r="Z154" s="2">
        <v>1</v>
      </c>
      <c r="AA154" s="2">
        <v>1</v>
      </c>
      <c r="AB154" s="2">
        <v>2</v>
      </c>
      <c r="AC154" s="2">
        <v>2</v>
      </c>
      <c r="AD154" s="2">
        <v>0</v>
      </c>
      <c r="AE154" s="2">
        <v>1</v>
      </c>
      <c r="AF154" s="2">
        <v>2</v>
      </c>
      <c r="AG154" s="2">
        <v>-2</v>
      </c>
      <c r="AH154" s="2">
        <v>1</v>
      </c>
      <c r="AI154" s="2">
        <v>2</v>
      </c>
      <c r="AJ154" s="2">
        <v>2</v>
      </c>
      <c r="AK154" s="2">
        <v>-1</v>
      </c>
      <c r="AL154" s="2">
        <v>1</v>
      </c>
      <c r="AM154" s="2">
        <v>4</v>
      </c>
      <c r="AN154" s="2">
        <v>3</v>
      </c>
      <c r="AO154" s="2">
        <v>3</v>
      </c>
      <c r="AP154" s="2">
        <v>3</v>
      </c>
      <c r="AQ154" s="2">
        <v>3</v>
      </c>
      <c r="AR154" s="2">
        <v>0</v>
      </c>
      <c r="AS154" s="2">
        <v>0</v>
      </c>
      <c r="AT154" s="2">
        <v>0</v>
      </c>
      <c r="AU154" s="2">
        <v>0</v>
      </c>
      <c r="AV154" s="2"/>
      <c r="AW154" s="2">
        <v>0</v>
      </c>
      <c r="AX154" s="2">
        <v>0</v>
      </c>
      <c r="AY154" s="2">
        <v>0</v>
      </c>
      <c r="AZ154" s="2">
        <v>3</v>
      </c>
      <c r="BA154" s="2">
        <v>2</v>
      </c>
      <c r="BB154" s="2">
        <v>3</v>
      </c>
      <c r="BC154" s="2">
        <v>3</v>
      </c>
      <c r="BD154" s="2">
        <v>3</v>
      </c>
      <c r="BE154" s="2">
        <v>0</v>
      </c>
      <c r="BF154" s="2">
        <v>0</v>
      </c>
      <c r="BG154" s="2">
        <v>0</v>
      </c>
      <c r="BH154" s="2">
        <v>0</v>
      </c>
      <c r="BI154" s="2"/>
      <c r="BJ154" s="2">
        <v>0</v>
      </c>
      <c r="BK154" s="2">
        <v>0</v>
      </c>
      <c r="BL154" s="2">
        <v>1</v>
      </c>
      <c r="BM154" s="2">
        <v>7</v>
      </c>
      <c r="BN154" s="2">
        <v>7</v>
      </c>
      <c r="BO154" s="2">
        <v>7</v>
      </c>
      <c r="BP154" s="2"/>
      <c r="BQ154" s="2"/>
      <c r="BR154" s="2"/>
      <c r="BS154" s="2"/>
      <c r="BT154" s="2"/>
      <c r="BU154" s="2"/>
      <c r="BV154" s="2" t="s">
        <v>325</v>
      </c>
      <c r="BW154" s="2" t="s">
        <v>600</v>
      </c>
      <c r="BX154" s="2" t="s">
        <v>188</v>
      </c>
      <c r="BY154" s="2" t="s">
        <v>190</v>
      </c>
      <c r="BZ154" s="2" t="s">
        <v>190</v>
      </c>
      <c r="CA154" s="2" t="s">
        <v>190</v>
      </c>
      <c r="CB154" s="2" t="s">
        <v>188</v>
      </c>
      <c r="CC154" s="2" t="s">
        <v>188</v>
      </c>
      <c r="CD154" s="2" t="s">
        <v>189</v>
      </c>
      <c r="CE154" s="2" t="s">
        <v>188</v>
      </c>
      <c r="CF154" s="2" t="s">
        <v>188</v>
      </c>
      <c r="CG154" s="2" t="s">
        <v>188</v>
      </c>
      <c r="CH154" s="2" t="s">
        <v>188</v>
      </c>
      <c r="CI154" s="2" t="s">
        <v>189</v>
      </c>
      <c r="CJ154" s="2" t="s">
        <v>190</v>
      </c>
      <c r="CK154" s="2" t="s">
        <v>190</v>
      </c>
      <c r="CL154" s="2" t="s">
        <v>190</v>
      </c>
      <c r="CM154" s="2" t="s">
        <v>193</v>
      </c>
      <c r="CN154" s="2" t="s">
        <v>192</v>
      </c>
      <c r="CO154" s="2" t="s">
        <v>193</v>
      </c>
      <c r="CP154" s="2" t="s">
        <v>193</v>
      </c>
      <c r="CQ154" s="2" t="s">
        <v>192</v>
      </c>
      <c r="CR154" s="2" t="s">
        <v>193</v>
      </c>
      <c r="CS154" s="2" t="s">
        <v>193</v>
      </c>
      <c r="CT154" s="2" t="s">
        <v>192</v>
      </c>
      <c r="CU154" s="2" t="s">
        <v>192</v>
      </c>
      <c r="CV154" s="2" t="s">
        <v>193</v>
      </c>
      <c r="CW154" s="2" t="s">
        <v>200</v>
      </c>
      <c r="CX154" s="2" t="s">
        <v>193</v>
      </c>
      <c r="CY154" s="2" t="s">
        <v>193</v>
      </c>
      <c r="CZ154" s="2" t="s">
        <v>193</v>
      </c>
      <c r="DA154" s="2" t="s">
        <v>193</v>
      </c>
      <c r="DB154" s="2" t="s">
        <v>193</v>
      </c>
      <c r="DC154" s="2" t="s">
        <v>192</v>
      </c>
      <c r="DD154" s="2" t="s">
        <v>192</v>
      </c>
      <c r="DE154" s="2" t="s">
        <v>192</v>
      </c>
      <c r="DF154" s="2" t="s">
        <v>193</v>
      </c>
      <c r="DG154" s="2" t="s">
        <v>195</v>
      </c>
      <c r="DH154" s="2" t="s">
        <v>195</v>
      </c>
      <c r="DI154" s="2" t="s">
        <v>195</v>
      </c>
      <c r="DJ154" s="2" t="s">
        <v>195</v>
      </c>
      <c r="DK154" s="2" t="s">
        <v>194</v>
      </c>
      <c r="DL154" s="2" t="s">
        <v>194</v>
      </c>
      <c r="DM154" s="2" t="s">
        <v>194</v>
      </c>
      <c r="DN154" s="2" t="s">
        <v>196</v>
      </c>
      <c r="DO154" s="2" t="s">
        <v>196</v>
      </c>
      <c r="DP154" s="2" t="s">
        <v>194</v>
      </c>
      <c r="DQ154" s="2" t="s">
        <v>195</v>
      </c>
      <c r="DR154" s="2" t="s">
        <v>195</v>
      </c>
      <c r="DS154" s="2" t="s">
        <v>197</v>
      </c>
      <c r="DT154" s="2" t="s">
        <v>197</v>
      </c>
      <c r="DU154" s="2" t="s">
        <v>197</v>
      </c>
      <c r="DV154" s="2" t="s">
        <v>197</v>
      </c>
      <c r="DW154" s="2" t="s">
        <v>197</v>
      </c>
      <c r="DX154" s="2" t="s">
        <v>197</v>
      </c>
      <c r="DY154" s="2" t="s">
        <v>197</v>
      </c>
      <c r="DZ154" s="2"/>
      <c r="EA154" s="2">
        <v>1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1</v>
      </c>
      <c r="EI154" s="2">
        <v>1</v>
      </c>
      <c r="EJ154" s="2">
        <v>1</v>
      </c>
      <c r="EK154" s="2">
        <v>0</v>
      </c>
      <c r="EL154" s="2">
        <v>1</v>
      </c>
      <c r="EM154" s="2">
        <v>0</v>
      </c>
      <c r="EN154" s="2">
        <v>1</v>
      </c>
      <c r="EO154" s="2">
        <v>0</v>
      </c>
      <c r="EP154" s="2">
        <v>1</v>
      </c>
      <c r="EQ154" s="2">
        <v>1</v>
      </c>
      <c r="ER154" s="2">
        <v>1</v>
      </c>
      <c r="ES154" s="2">
        <v>1</v>
      </c>
      <c r="ET154" s="2">
        <v>1</v>
      </c>
      <c r="EU154" s="2">
        <v>1</v>
      </c>
      <c r="EV154" s="2">
        <v>1</v>
      </c>
      <c r="EW154" s="2">
        <v>0</v>
      </c>
      <c r="EX154" s="2">
        <v>1</v>
      </c>
      <c r="EY154" s="2">
        <v>1</v>
      </c>
      <c r="EZ154" s="2">
        <v>0</v>
      </c>
      <c r="FA154" s="2">
        <v>0</v>
      </c>
      <c r="FB154" s="2">
        <v>1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1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1</v>
      </c>
      <c r="FO154" s="2">
        <v>0</v>
      </c>
      <c r="FP154" s="2">
        <v>1</v>
      </c>
      <c r="FQ154" s="2">
        <v>0</v>
      </c>
      <c r="FR154" s="2">
        <v>1</v>
      </c>
      <c r="FS154" s="2">
        <v>1</v>
      </c>
      <c r="FT154" s="2">
        <v>1</v>
      </c>
      <c r="FU154" s="2">
        <v>0</v>
      </c>
      <c r="FV154" s="2">
        <v>1</v>
      </c>
      <c r="FW154" s="2">
        <v>0</v>
      </c>
      <c r="FX154" s="2">
        <v>1</v>
      </c>
      <c r="FY154" s="2">
        <v>0</v>
      </c>
      <c r="FZ154" s="2"/>
      <c r="GA154" s="2">
        <v>4</v>
      </c>
      <c r="GB154" s="2">
        <v>3</v>
      </c>
      <c r="GC154" s="2">
        <v>3</v>
      </c>
      <c r="GD154" s="2">
        <v>3</v>
      </c>
      <c r="GE154" s="2">
        <v>3</v>
      </c>
      <c r="GG154" s="2">
        <v>3</v>
      </c>
      <c r="GH154" s="2">
        <v>2</v>
      </c>
      <c r="GI154" s="2">
        <v>3</v>
      </c>
      <c r="GJ154" s="2">
        <v>3</v>
      </c>
      <c r="GK154" s="2">
        <v>3</v>
      </c>
      <c r="GM154" s="2">
        <f t="shared" si="0"/>
        <v>16</v>
      </c>
      <c r="GN154" s="2">
        <f t="shared" si="1"/>
        <v>14</v>
      </c>
      <c r="GO154" s="2"/>
      <c r="GP154" s="2">
        <v>0</v>
      </c>
      <c r="GQ154" s="2">
        <v>0</v>
      </c>
      <c r="GR154" s="2">
        <v>0</v>
      </c>
      <c r="GS154" s="2">
        <v>0</v>
      </c>
      <c r="GU154" s="2">
        <v>0</v>
      </c>
      <c r="GV154" s="2">
        <v>0</v>
      </c>
      <c r="GW154" s="2">
        <v>0</v>
      </c>
      <c r="GY154" s="2">
        <v>0</v>
      </c>
      <c r="GZ154" s="2">
        <v>0</v>
      </c>
      <c r="HA154" s="2">
        <v>0</v>
      </c>
      <c r="HB154" s="2">
        <v>0</v>
      </c>
      <c r="HD154" s="2">
        <v>0</v>
      </c>
      <c r="HE154" s="2">
        <v>0</v>
      </c>
      <c r="HF154" s="2">
        <v>1</v>
      </c>
      <c r="HH154" s="2">
        <f t="shared" si="2"/>
        <v>0</v>
      </c>
      <c r="HI154" s="2">
        <f t="shared" si="3"/>
        <v>1</v>
      </c>
      <c r="HJ154" s="2"/>
      <c r="HK154" s="2">
        <v>7</v>
      </c>
      <c r="HL154" s="2">
        <v>7</v>
      </c>
      <c r="HM154" s="2"/>
      <c r="HN154" s="2"/>
    </row>
    <row r="155" spans="1:222" ht="15.75" customHeight="1" x14ac:dyDescent="0.2">
      <c r="A155" s="3" t="e">
        <f>VLOOKUP(B155,#REF!,1,FALSE)</f>
        <v>#REF!</v>
      </c>
      <c r="B155" s="3">
        <v>44469.810373449072</v>
      </c>
      <c r="C155" s="2">
        <v>211</v>
      </c>
      <c r="D155" s="2" t="s">
        <v>185</v>
      </c>
      <c r="E155" s="2">
        <v>0</v>
      </c>
      <c r="F155" s="2" t="s">
        <v>237</v>
      </c>
      <c r="G155" s="2">
        <v>15</v>
      </c>
      <c r="H155" s="2">
        <v>0.5</v>
      </c>
      <c r="I155" s="2">
        <v>0</v>
      </c>
      <c r="J155" s="2">
        <v>2</v>
      </c>
      <c r="K155" s="2">
        <v>0</v>
      </c>
      <c r="L155" s="2">
        <v>7</v>
      </c>
      <c r="M155" s="2" t="s">
        <v>187</v>
      </c>
      <c r="N155" s="2">
        <v>3</v>
      </c>
      <c r="O155" s="2">
        <v>3</v>
      </c>
      <c r="P155" s="2">
        <v>0</v>
      </c>
      <c r="Q155" s="2">
        <v>2</v>
      </c>
      <c r="R155" s="2">
        <v>3</v>
      </c>
      <c r="S155" s="2">
        <v>0</v>
      </c>
      <c r="T155" s="2">
        <v>-1</v>
      </c>
      <c r="U155" s="2">
        <v>1</v>
      </c>
      <c r="V155" s="2">
        <v>-1</v>
      </c>
      <c r="W155" s="2">
        <v>-1</v>
      </c>
      <c r="X155" s="2"/>
      <c r="Y155" s="2">
        <v>1</v>
      </c>
      <c r="Z155" s="2">
        <v>1</v>
      </c>
      <c r="AA155" s="2">
        <v>1</v>
      </c>
      <c r="AB155" s="2">
        <v>1</v>
      </c>
      <c r="AC155" s="2">
        <v>2</v>
      </c>
      <c r="AD155" s="2">
        <v>2</v>
      </c>
      <c r="AE155" s="2">
        <v>2</v>
      </c>
      <c r="AF155" s="2">
        <v>2</v>
      </c>
      <c r="AG155" s="2">
        <v>2</v>
      </c>
      <c r="AH155" s="2">
        <v>2</v>
      </c>
      <c r="AI155" s="2">
        <v>2</v>
      </c>
      <c r="AJ155" s="2">
        <v>2</v>
      </c>
      <c r="AK155" s="2">
        <v>1</v>
      </c>
      <c r="AL155" s="2">
        <v>2</v>
      </c>
      <c r="AM155" s="2">
        <v>4</v>
      </c>
      <c r="AN155" s="2">
        <v>3</v>
      </c>
      <c r="AO155" s="2">
        <v>3</v>
      </c>
      <c r="AP155" s="2">
        <v>2</v>
      </c>
      <c r="AQ155" s="2">
        <v>2</v>
      </c>
      <c r="AR155" s="2">
        <v>1</v>
      </c>
      <c r="AS155" s="2">
        <v>0</v>
      </c>
      <c r="AT155" s="2">
        <v>0</v>
      </c>
      <c r="AU155" s="2">
        <v>1</v>
      </c>
      <c r="AV155" s="2"/>
      <c r="AW155" s="2">
        <v>1</v>
      </c>
      <c r="AX155" s="2">
        <v>1</v>
      </c>
      <c r="AY155" s="2">
        <v>0</v>
      </c>
      <c r="AZ155" s="2">
        <v>3</v>
      </c>
      <c r="BA155" s="2">
        <v>3</v>
      </c>
      <c r="BB155" s="2">
        <v>3</v>
      </c>
      <c r="BC155" s="2">
        <v>3</v>
      </c>
      <c r="BD155" s="2">
        <v>2</v>
      </c>
      <c r="BE155" s="2">
        <v>1</v>
      </c>
      <c r="BF155" s="2">
        <v>0</v>
      </c>
      <c r="BG155" s="2">
        <v>0</v>
      </c>
      <c r="BH155" s="2">
        <v>1</v>
      </c>
      <c r="BI155" s="2"/>
      <c r="BJ155" s="2">
        <v>2</v>
      </c>
      <c r="BK155" s="2">
        <v>2</v>
      </c>
      <c r="BL155" s="2">
        <v>0</v>
      </c>
      <c r="BM155" s="2">
        <v>8</v>
      </c>
      <c r="BN155" s="2">
        <v>7</v>
      </c>
      <c r="BO155" s="2">
        <v>7</v>
      </c>
      <c r="BP155" s="2" t="s">
        <v>601</v>
      </c>
      <c r="BQ155" s="2" t="s">
        <v>602</v>
      </c>
      <c r="BR155" s="2" t="s">
        <v>258</v>
      </c>
      <c r="BS155" s="2" t="s">
        <v>258</v>
      </c>
      <c r="BT155" s="2" t="s">
        <v>258</v>
      </c>
      <c r="BU155" s="2" t="s">
        <v>258</v>
      </c>
      <c r="BV155" s="2" t="s">
        <v>603</v>
      </c>
      <c r="BW155" s="2" t="s">
        <v>604</v>
      </c>
      <c r="BX155" s="2" t="s">
        <v>191</v>
      </c>
      <c r="BY155" s="2" t="s">
        <v>189</v>
      </c>
      <c r="BZ155" s="2" t="s">
        <v>190</v>
      </c>
      <c r="CA155" s="2" t="s">
        <v>190</v>
      </c>
      <c r="CB155" s="2" t="s">
        <v>191</v>
      </c>
      <c r="CC155" s="2" t="s">
        <v>190</v>
      </c>
      <c r="CD155" s="2" t="s">
        <v>189</v>
      </c>
      <c r="CE155" s="2" t="s">
        <v>189</v>
      </c>
      <c r="CF155" s="2" t="s">
        <v>190</v>
      </c>
      <c r="CG155" s="2" t="s">
        <v>190</v>
      </c>
      <c r="CH155" s="2" t="s">
        <v>191</v>
      </c>
      <c r="CI155" s="2" t="s">
        <v>190</v>
      </c>
      <c r="CJ155" s="2" t="s">
        <v>190</v>
      </c>
      <c r="CK155" s="2" t="s">
        <v>190</v>
      </c>
      <c r="CL155" s="2" t="s">
        <v>191</v>
      </c>
      <c r="CM155" s="2" t="s">
        <v>193</v>
      </c>
      <c r="CN155" s="2" t="s">
        <v>200</v>
      </c>
      <c r="CO155" s="2" t="s">
        <v>192</v>
      </c>
      <c r="CP155" s="2" t="s">
        <v>192</v>
      </c>
      <c r="CQ155" s="2" t="s">
        <v>192</v>
      </c>
      <c r="CR155" s="2" t="s">
        <v>193</v>
      </c>
      <c r="CS155" s="2" t="s">
        <v>193</v>
      </c>
      <c r="CT155" s="2" t="s">
        <v>193</v>
      </c>
      <c r="CU155" s="2" t="s">
        <v>192</v>
      </c>
      <c r="CV155" s="2" t="s">
        <v>192</v>
      </c>
      <c r="CW155" s="2" t="s">
        <v>192</v>
      </c>
      <c r="CX155" s="2" t="s">
        <v>193</v>
      </c>
      <c r="CY155" s="2" t="s">
        <v>192</v>
      </c>
      <c r="CZ155" s="2" t="s">
        <v>192</v>
      </c>
      <c r="DA155" s="2" t="s">
        <v>192</v>
      </c>
      <c r="DB155" s="2" t="s">
        <v>192</v>
      </c>
      <c r="DC155" s="2" t="s">
        <v>192</v>
      </c>
      <c r="DD155" s="2" t="s">
        <v>193</v>
      </c>
      <c r="DE155" s="2" t="s">
        <v>192</v>
      </c>
      <c r="DF155" s="2" t="s">
        <v>193</v>
      </c>
      <c r="DG155" s="2" t="s">
        <v>195</v>
      </c>
      <c r="DH155" s="2" t="s">
        <v>195</v>
      </c>
      <c r="DI155" s="2" t="s">
        <v>194</v>
      </c>
      <c r="DJ155" s="2" t="s">
        <v>194</v>
      </c>
      <c r="DK155" s="2" t="s">
        <v>194</v>
      </c>
      <c r="DL155" s="2" t="s">
        <v>195</v>
      </c>
      <c r="DM155" s="2" t="s">
        <v>194</v>
      </c>
      <c r="DN155" s="2" t="s">
        <v>195</v>
      </c>
      <c r="DO155" s="2" t="s">
        <v>194</v>
      </c>
      <c r="DP155" s="2" t="s">
        <v>194</v>
      </c>
      <c r="DQ155" s="2" t="s">
        <v>195</v>
      </c>
      <c r="DR155" s="2" t="s">
        <v>195</v>
      </c>
      <c r="DS155" s="2" t="s">
        <v>197</v>
      </c>
      <c r="DT155" s="2" t="s">
        <v>197</v>
      </c>
      <c r="DU155" s="2" t="s">
        <v>197</v>
      </c>
      <c r="DV155" s="2" t="s">
        <v>197</v>
      </c>
      <c r="DW155" s="2" t="s">
        <v>197</v>
      </c>
      <c r="DX155" s="2" t="s">
        <v>199</v>
      </c>
      <c r="DY155" s="2" t="s">
        <v>197</v>
      </c>
      <c r="DZ155" s="2"/>
      <c r="EA155" s="2">
        <v>0</v>
      </c>
      <c r="EB155" s="2">
        <v>1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1</v>
      </c>
      <c r="EJ155" s="2">
        <v>1</v>
      </c>
      <c r="EK155" s="2">
        <v>0</v>
      </c>
      <c r="EL155" s="2">
        <v>0</v>
      </c>
      <c r="EM155" s="2">
        <v>1</v>
      </c>
      <c r="EN155" s="2">
        <v>1</v>
      </c>
      <c r="EO155" s="2">
        <v>0</v>
      </c>
      <c r="EP155" s="2">
        <v>0</v>
      </c>
      <c r="EQ155" s="2">
        <v>1</v>
      </c>
      <c r="ER155" s="2">
        <v>1</v>
      </c>
      <c r="ES155" s="2">
        <v>0</v>
      </c>
      <c r="ET155" s="2">
        <v>0</v>
      </c>
      <c r="EU155" s="2">
        <v>1</v>
      </c>
      <c r="EV155" s="2">
        <v>0</v>
      </c>
      <c r="EW155" s="2">
        <v>1</v>
      </c>
      <c r="EX155" s="2">
        <v>0</v>
      </c>
      <c r="EY155" s="2">
        <v>1</v>
      </c>
      <c r="EZ155" s="2">
        <v>1</v>
      </c>
      <c r="FA155" s="2">
        <v>0</v>
      </c>
      <c r="FB155" s="2">
        <v>1</v>
      </c>
      <c r="FC155" s="2">
        <v>0</v>
      </c>
      <c r="FD155" s="2">
        <v>0</v>
      </c>
      <c r="FE155" s="2">
        <v>0</v>
      </c>
      <c r="FF155" s="2">
        <v>1</v>
      </c>
      <c r="FG155" s="2">
        <v>0</v>
      </c>
      <c r="FH155" s="2">
        <v>1</v>
      </c>
      <c r="FI155" s="2">
        <v>0</v>
      </c>
      <c r="FJ155" s="2">
        <v>1</v>
      </c>
      <c r="FK155" s="2">
        <v>0</v>
      </c>
      <c r="FL155" s="2">
        <v>1</v>
      </c>
      <c r="FM155" s="2">
        <v>0</v>
      </c>
      <c r="FN155" s="2">
        <v>0</v>
      </c>
      <c r="FO155" s="2">
        <v>1</v>
      </c>
      <c r="FP155" s="2">
        <v>0</v>
      </c>
      <c r="FQ155" s="2">
        <v>1</v>
      </c>
      <c r="FR155" s="2">
        <v>1</v>
      </c>
      <c r="FS155" s="2">
        <v>0</v>
      </c>
      <c r="FT155" s="2">
        <v>1</v>
      </c>
      <c r="FU155" s="2">
        <v>0</v>
      </c>
      <c r="FV155" s="2">
        <v>1</v>
      </c>
      <c r="FW155" s="2">
        <v>0</v>
      </c>
      <c r="FX155" s="2">
        <v>1</v>
      </c>
      <c r="FY155" s="2">
        <v>0</v>
      </c>
      <c r="FZ155" s="2"/>
      <c r="GA155" s="2">
        <v>4</v>
      </c>
      <c r="GB155" s="2">
        <v>3</v>
      </c>
      <c r="GC155" s="2">
        <v>3</v>
      </c>
      <c r="GD155" s="2">
        <v>2</v>
      </c>
      <c r="GE155" s="2">
        <v>2</v>
      </c>
      <c r="GG155" s="2">
        <v>3</v>
      </c>
      <c r="GH155" s="2">
        <v>3</v>
      </c>
      <c r="GI155" s="2">
        <v>3</v>
      </c>
      <c r="GJ155" s="2">
        <v>3</v>
      </c>
      <c r="GK155" s="2">
        <v>2</v>
      </c>
      <c r="GM155" s="2">
        <f t="shared" si="0"/>
        <v>14</v>
      </c>
      <c r="GN155" s="2">
        <f t="shared" si="1"/>
        <v>14</v>
      </c>
      <c r="GO155" s="2"/>
      <c r="GP155" s="2">
        <v>1</v>
      </c>
      <c r="GQ155" s="2">
        <v>0</v>
      </c>
      <c r="GR155" s="2">
        <v>0</v>
      </c>
      <c r="GS155" s="2">
        <v>1</v>
      </c>
      <c r="GU155" s="2">
        <v>1</v>
      </c>
      <c r="GV155" s="2">
        <v>1</v>
      </c>
      <c r="GW155" s="2">
        <v>0</v>
      </c>
      <c r="GY155" s="2">
        <v>1</v>
      </c>
      <c r="GZ155" s="2">
        <v>0</v>
      </c>
      <c r="HA155" s="2">
        <v>0</v>
      </c>
      <c r="HB155" s="2">
        <v>1</v>
      </c>
      <c r="HD155" s="2">
        <v>2</v>
      </c>
      <c r="HE155" s="2">
        <v>2</v>
      </c>
      <c r="HF155" s="2">
        <v>0</v>
      </c>
      <c r="HH155" s="2">
        <f t="shared" si="2"/>
        <v>4</v>
      </c>
      <c r="HI155" s="2">
        <f t="shared" si="3"/>
        <v>6</v>
      </c>
      <c r="HJ155" s="2"/>
      <c r="HK155" s="2">
        <v>7</v>
      </c>
      <c r="HL155" s="2">
        <v>7</v>
      </c>
      <c r="HM155" s="2"/>
      <c r="HN155" s="2"/>
    </row>
    <row r="156" spans="1:222" ht="15.75" customHeight="1" x14ac:dyDescent="0.2">
      <c r="A156" s="3" t="e">
        <f>VLOOKUP(B156,#REF!,1,FALSE)</f>
        <v>#REF!</v>
      </c>
      <c r="B156" s="3">
        <v>44470.413405486113</v>
      </c>
      <c r="C156" s="2">
        <v>213</v>
      </c>
      <c r="D156" s="2" t="s">
        <v>185</v>
      </c>
      <c r="E156" s="2">
        <v>0</v>
      </c>
      <c r="F156" s="2" t="s">
        <v>347</v>
      </c>
      <c r="G156" s="2">
        <v>2</v>
      </c>
      <c r="H156" s="2">
        <v>2</v>
      </c>
      <c r="I156" s="2">
        <v>1</v>
      </c>
      <c r="J156" s="2">
        <v>2</v>
      </c>
      <c r="K156" s="2">
        <v>0</v>
      </c>
      <c r="L156" s="2">
        <v>3</v>
      </c>
      <c r="M156" s="2" t="s">
        <v>208</v>
      </c>
      <c r="N156" s="2">
        <v>2</v>
      </c>
      <c r="O156" s="2">
        <v>4</v>
      </c>
      <c r="P156" s="2">
        <v>0</v>
      </c>
      <c r="Q156" s="2">
        <v>0</v>
      </c>
      <c r="R156" s="2">
        <v>2</v>
      </c>
      <c r="S156" s="2">
        <v>0</v>
      </c>
      <c r="T156" s="2">
        <v>0</v>
      </c>
      <c r="U156" s="2">
        <v>-1</v>
      </c>
      <c r="V156" s="2">
        <v>1</v>
      </c>
      <c r="W156" s="2">
        <v>0</v>
      </c>
      <c r="X156" s="2"/>
      <c r="Y156" s="2">
        <v>1</v>
      </c>
      <c r="Z156" s="2">
        <v>0</v>
      </c>
      <c r="AA156" s="2">
        <v>1</v>
      </c>
      <c r="AB156" s="2">
        <v>4</v>
      </c>
      <c r="AC156" s="2">
        <v>1</v>
      </c>
      <c r="AD156" s="2">
        <v>1</v>
      </c>
      <c r="AE156" s="2">
        <v>1</v>
      </c>
      <c r="AF156" s="2">
        <v>1</v>
      </c>
      <c r="AG156" s="2">
        <v>-1</v>
      </c>
      <c r="AH156" s="2">
        <v>-1</v>
      </c>
      <c r="AI156" s="2">
        <v>-1</v>
      </c>
      <c r="AJ156" s="2">
        <v>-1</v>
      </c>
      <c r="AK156" s="2">
        <v>-1</v>
      </c>
      <c r="AL156" s="2">
        <v>-1</v>
      </c>
      <c r="AM156" s="2">
        <v>2</v>
      </c>
      <c r="AN156" s="2">
        <v>2</v>
      </c>
      <c r="AO156" s="2">
        <v>2</v>
      </c>
      <c r="AP156" s="2">
        <v>2</v>
      </c>
      <c r="AQ156" s="2">
        <v>2</v>
      </c>
      <c r="AR156" s="2">
        <v>4</v>
      </c>
      <c r="AS156" s="2">
        <v>4</v>
      </c>
      <c r="AT156" s="2">
        <v>1</v>
      </c>
      <c r="AU156" s="2">
        <v>2</v>
      </c>
      <c r="AV156" s="2"/>
      <c r="AW156" s="2">
        <v>2</v>
      </c>
      <c r="AX156" s="2">
        <v>4</v>
      </c>
      <c r="AY156" s="2">
        <v>1</v>
      </c>
      <c r="AZ156" s="2">
        <v>3</v>
      </c>
      <c r="BA156" s="2">
        <v>3</v>
      </c>
      <c r="BB156" s="2">
        <v>3</v>
      </c>
      <c r="BC156" s="2">
        <v>2</v>
      </c>
      <c r="BD156" s="2">
        <v>2</v>
      </c>
      <c r="BE156" s="2">
        <v>3</v>
      </c>
      <c r="BF156" s="2">
        <v>2</v>
      </c>
      <c r="BG156" s="2">
        <v>1</v>
      </c>
      <c r="BH156" s="2">
        <v>1</v>
      </c>
      <c r="BI156" s="2"/>
      <c r="BJ156" s="2">
        <v>2</v>
      </c>
      <c r="BK156" s="2">
        <v>2</v>
      </c>
      <c r="BL156" s="2">
        <v>1</v>
      </c>
      <c r="BM156" s="2">
        <v>7</v>
      </c>
      <c r="BN156" s="2">
        <v>6</v>
      </c>
      <c r="BO156" s="2">
        <v>7</v>
      </c>
      <c r="BP156" s="2"/>
      <c r="BQ156" s="2"/>
      <c r="BR156" s="2"/>
      <c r="BS156" s="2"/>
      <c r="BT156" s="2"/>
      <c r="BU156" s="2"/>
      <c r="BV156" s="2"/>
      <c r="BW156" s="2"/>
      <c r="BX156" s="2" t="s">
        <v>190</v>
      </c>
      <c r="BY156" s="2" t="s">
        <v>190</v>
      </c>
      <c r="BZ156" s="2" t="s">
        <v>190</v>
      </c>
      <c r="CA156" s="2" t="s">
        <v>191</v>
      </c>
      <c r="CB156" s="2" t="s">
        <v>191</v>
      </c>
      <c r="CC156" s="2" t="s">
        <v>188</v>
      </c>
      <c r="CD156" s="2" t="s">
        <v>189</v>
      </c>
      <c r="CE156" s="2" t="s">
        <v>189</v>
      </c>
      <c r="CF156" s="2" t="s">
        <v>188</v>
      </c>
      <c r="CG156" s="2" t="s">
        <v>191</v>
      </c>
      <c r="CH156" s="2" t="s">
        <v>191</v>
      </c>
      <c r="CI156" s="2" t="s">
        <v>189</v>
      </c>
      <c r="CJ156" s="2" t="s">
        <v>188</v>
      </c>
      <c r="CK156" s="2" t="s">
        <v>189</v>
      </c>
      <c r="CL156" s="2" t="s">
        <v>191</v>
      </c>
      <c r="CM156" s="2" t="s">
        <v>193</v>
      </c>
      <c r="CN156" s="2" t="s">
        <v>192</v>
      </c>
      <c r="CO156" s="2" t="s">
        <v>193</v>
      </c>
      <c r="CP156" s="2" t="s">
        <v>192</v>
      </c>
      <c r="CQ156" s="2" t="s">
        <v>192</v>
      </c>
      <c r="CR156" s="2" t="s">
        <v>193</v>
      </c>
      <c r="CS156" s="2" t="s">
        <v>193</v>
      </c>
      <c r="CT156" s="2" t="s">
        <v>193</v>
      </c>
      <c r="CU156" s="2" t="s">
        <v>200</v>
      </c>
      <c r="CV156" s="2" t="s">
        <v>193</v>
      </c>
      <c r="CW156" s="2" t="s">
        <v>193</v>
      </c>
      <c r="CX156" s="2" t="s">
        <v>200</v>
      </c>
      <c r="CY156" s="2" t="s">
        <v>193</v>
      </c>
      <c r="CZ156" s="2" t="s">
        <v>193</v>
      </c>
      <c r="DA156" s="2" t="s">
        <v>200</v>
      </c>
      <c r="DB156" s="2" t="s">
        <v>200</v>
      </c>
      <c r="DC156" s="2" t="s">
        <v>192</v>
      </c>
      <c r="DD156" s="2" t="s">
        <v>193</v>
      </c>
      <c r="DE156" s="2" t="s">
        <v>192</v>
      </c>
      <c r="DF156" s="2" t="s">
        <v>193</v>
      </c>
      <c r="DG156" s="2" t="s">
        <v>195</v>
      </c>
      <c r="DH156" s="2" t="s">
        <v>195</v>
      </c>
      <c r="DI156" s="2" t="s">
        <v>195</v>
      </c>
      <c r="DJ156" s="2" t="s">
        <v>195</v>
      </c>
      <c r="DK156" s="2" t="s">
        <v>196</v>
      </c>
      <c r="DL156" s="2" t="s">
        <v>195</v>
      </c>
      <c r="DM156" s="2" t="s">
        <v>195</v>
      </c>
      <c r="DN156" s="2" t="s">
        <v>196</v>
      </c>
      <c r="DO156" s="2" t="s">
        <v>194</v>
      </c>
      <c r="DP156" s="2" t="s">
        <v>195</v>
      </c>
      <c r="DQ156" s="2" t="s">
        <v>195</v>
      </c>
      <c r="DR156" s="2" t="s">
        <v>195</v>
      </c>
      <c r="DS156" s="2" t="s">
        <v>197</v>
      </c>
      <c r="DT156" s="2" t="s">
        <v>199</v>
      </c>
      <c r="DU156" s="2" t="s">
        <v>221</v>
      </c>
      <c r="DV156" s="2" t="s">
        <v>197</v>
      </c>
      <c r="DW156" s="2" t="s">
        <v>199</v>
      </c>
      <c r="DX156" s="2" t="s">
        <v>221</v>
      </c>
      <c r="DY156" s="2" t="s">
        <v>222</v>
      </c>
      <c r="DZ156" s="2"/>
      <c r="EA156" s="2">
        <v>1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1</v>
      </c>
      <c r="EJ156" s="2">
        <v>0</v>
      </c>
      <c r="EK156" s="2">
        <v>1</v>
      </c>
      <c r="EL156" s="2">
        <v>0</v>
      </c>
      <c r="EM156" s="2">
        <v>1</v>
      </c>
      <c r="EN156" s="2">
        <v>1</v>
      </c>
      <c r="EO156" s="2">
        <v>0</v>
      </c>
      <c r="EP156" s="2">
        <v>0</v>
      </c>
      <c r="EQ156" s="2">
        <v>1</v>
      </c>
      <c r="ER156" s="2">
        <v>0</v>
      </c>
      <c r="ES156" s="2">
        <v>1</v>
      </c>
      <c r="ET156" s="2">
        <v>0</v>
      </c>
      <c r="EU156" s="2">
        <v>1</v>
      </c>
      <c r="EV156" s="2">
        <v>0</v>
      </c>
      <c r="EW156" s="2">
        <v>1</v>
      </c>
      <c r="EX156" s="2">
        <v>0</v>
      </c>
      <c r="EY156" s="2">
        <v>1</v>
      </c>
      <c r="EZ156" s="2">
        <v>0</v>
      </c>
      <c r="FA156" s="2">
        <v>1</v>
      </c>
      <c r="FB156" s="2">
        <v>0</v>
      </c>
      <c r="FC156" s="2">
        <v>1</v>
      </c>
      <c r="FD156" s="2">
        <v>0</v>
      </c>
      <c r="FE156" s="2">
        <v>0</v>
      </c>
      <c r="FF156" s="2">
        <v>0</v>
      </c>
      <c r="FG156" s="2">
        <v>1</v>
      </c>
      <c r="FH156" s="2">
        <v>0</v>
      </c>
      <c r="FI156" s="2">
        <v>1</v>
      </c>
      <c r="FJ156" s="2">
        <v>1</v>
      </c>
      <c r="FK156" s="2">
        <v>0</v>
      </c>
      <c r="FL156" s="2">
        <v>1</v>
      </c>
      <c r="FM156" s="2">
        <v>0</v>
      </c>
      <c r="FN156" s="2">
        <v>0</v>
      </c>
      <c r="FO156" s="2">
        <v>1</v>
      </c>
      <c r="FP156" s="2">
        <v>0</v>
      </c>
      <c r="FQ156" s="2">
        <v>1</v>
      </c>
      <c r="FR156" s="2">
        <v>0</v>
      </c>
      <c r="FS156" s="2">
        <v>1</v>
      </c>
      <c r="FT156" s="2">
        <v>0</v>
      </c>
      <c r="FU156" s="2">
        <v>1</v>
      </c>
      <c r="FV156" s="2">
        <v>0</v>
      </c>
      <c r="FW156" s="2">
        <v>1</v>
      </c>
      <c r="FX156" s="2">
        <v>0</v>
      </c>
      <c r="FY156" s="2">
        <v>1</v>
      </c>
      <c r="FZ156" s="2"/>
      <c r="GA156" s="2">
        <v>2</v>
      </c>
      <c r="GB156" s="2">
        <v>2</v>
      </c>
      <c r="GC156" s="2">
        <v>2</v>
      </c>
      <c r="GD156" s="2">
        <v>2</v>
      </c>
      <c r="GE156" s="2">
        <v>2</v>
      </c>
      <c r="GG156" s="2">
        <v>3</v>
      </c>
      <c r="GH156" s="2">
        <v>3</v>
      </c>
      <c r="GI156" s="2">
        <v>3</v>
      </c>
      <c r="GJ156" s="2">
        <v>2</v>
      </c>
      <c r="GK156" s="2">
        <v>2</v>
      </c>
      <c r="GM156" s="2">
        <f t="shared" si="0"/>
        <v>10</v>
      </c>
      <c r="GN156" s="2">
        <f t="shared" si="1"/>
        <v>13</v>
      </c>
      <c r="GO156" s="2"/>
      <c r="GP156" s="2">
        <v>4</v>
      </c>
      <c r="GQ156" s="2">
        <v>4</v>
      </c>
      <c r="GR156" s="2">
        <v>1</v>
      </c>
      <c r="GS156" s="2">
        <v>2</v>
      </c>
      <c r="GU156" s="2">
        <v>2</v>
      </c>
      <c r="GV156" s="2">
        <v>4</v>
      </c>
      <c r="GW156" s="2">
        <v>1</v>
      </c>
      <c r="GY156" s="2">
        <v>3</v>
      </c>
      <c r="GZ156" s="2">
        <v>2</v>
      </c>
      <c r="HA156" s="2">
        <v>1</v>
      </c>
      <c r="HB156" s="2">
        <v>1</v>
      </c>
      <c r="HD156" s="2">
        <v>2</v>
      </c>
      <c r="HE156" s="2">
        <v>2</v>
      </c>
      <c r="HF156" s="2">
        <v>1</v>
      </c>
      <c r="HH156" s="2">
        <f t="shared" si="2"/>
        <v>18</v>
      </c>
      <c r="HI156" s="2">
        <f t="shared" si="3"/>
        <v>12</v>
      </c>
      <c r="HJ156" s="2"/>
      <c r="HK156" s="2">
        <v>6</v>
      </c>
      <c r="HL156" s="2">
        <v>7</v>
      </c>
      <c r="HM156" s="2"/>
      <c r="HN156" s="2"/>
    </row>
    <row r="157" spans="1:222" ht="15.75" customHeight="1" x14ac:dyDescent="0.2">
      <c r="A157" s="3" t="e">
        <f>VLOOKUP(B157,#REF!,1,FALSE)</f>
        <v>#REF!</v>
      </c>
      <c r="B157" s="3">
        <v>44470.420082627315</v>
      </c>
      <c r="C157" s="2">
        <v>214</v>
      </c>
      <c r="D157" s="2" t="s">
        <v>185</v>
      </c>
      <c r="E157" s="2">
        <v>0</v>
      </c>
      <c r="F157" s="2" t="s">
        <v>347</v>
      </c>
      <c r="G157" s="2">
        <v>15</v>
      </c>
      <c r="H157" s="2">
        <v>0.5</v>
      </c>
      <c r="I157" s="2">
        <v>1</v>
      </c>
      <c r="J157" s="2">
        <v>5</v>
      </c>
      <c r="K157" s="2">
        <v>1</v>
      </c>
      <c r="L157" s="2">
        <v>4</v>
      </c>
      <c r="M157" s="2" t="s">
        <v>187</v>
      </c>
      <c r="N157" s="2">
        <v>3</v>
      </c>
      <c r="O157" s="2">
        <v>3</v>
      </c>
      <c r="P157" s="2">
        <v>0</v>
      </c>
      <c r="Q157" s="2">
        <v>0</v>
      </c>
      <c r="R157" s="2">
        <v>3</v>
      </c>
      <c r="S157" s="2">
        <v>1</v>
      </c>
      <c r="T157" s="2">
        <v>1</v>
      </c>
      <c r="U157" s="2">
        <v>1</v>
      </c>
      <c r="V157" s="2">
        <v>0</v>
      </c>
      <c r="W157" s="2">
        <v>1</v>
      </c>
      <c r="X157" s="2"/>
      <c r="Y157" s="2">
        <v>0</v>
      </c>
      <c r="Z157" s="2">
        <v>-1</v>
      </c>
      <c r="AA157" s="2">
        <v>0</v>
      </c>
      <c r="AB157" s="2">
        <v>2</v>
      </c>
      <c r="AC157" s="2">
        <v>1</v>
      </c>
      <c r="AD157" s="2">
        <v>4</v>
      </c>
      <c r="AE157" s="2">
        <v>2</v>
      </c>
      <c r="AF157" s="2">
        <v>2</v>
      </c>
      <c r="AG157" s="2">
        <v>1</v>
      </c>
      <c r="AH157" s="2">
        <v>2</v>
      </c>
      <c r="AI157" s="2">
        <v>2</v>
      </c>
      <c r="AJ157" s="2">
        <v>2</v>
      </c>
      <c r="AK157" s="2">
        <v>1</v>
      </c>
      <c r="AL157" s="2">
        <v>2</v>
      </c>
      <c r="AM157" s="2">
        <v>3</v>
      </c>
      <c r="AN157" s="2">
        <v>1</v>
      </c>
      <c r="AO157" s="2">
        <v>1</v>
      </c>
      <c r="AP157" s="2">
        <v>1</v>
      </c>
      <c r="AQ157" s="2">
        <v>1</v>
      </c>
      <c r="AR157" s="2">
        <v>2</v>
      </c>
      <c r="AS157" s="2">
        <v>0</v>
      </c>
      <c r="AT157" s="2">
        <v>0</v>
      </c>
      <c r="AU157" s="2">
        <v>4</v>
      </c>
      <c r="AV157" s="2"/>
      <c r="AW157" s="2">
        <v>3</v>
      </c>
      <c r="AX157" s="2">
        <v>1</v>
      </c>
      <c r="AY157" s="2">
        <v>3</v>
      </c>
      <c r="AZ157" s="2">
        <v>4</v>
      </c>
      <c r="BA157" s="2">
        <v>4</v>
      </c>
      <c r="BB157" s="2">
        <v>3</v>
      </c>
      <c r="BC157" s="2">
        <v>4</v>
      </c>
      <c r="BD157" s="2">
        <v>3</v>
      </c>
      <c r="BE157" s="2">
        <v>3</v>
      </c>
      <c r="BF157" s="2">
        <v>0</v>
      </c>
      <c r="BG157" s="2">
        <v>0</v>
      </c>
      <c r="BH157" s="2">
        <v>3</v>
      </c>
      <c r="BI157" s="2"/>
      <c r="BJ157" s="2">
        <v>1</v>
      </c>
      <c r="BK157" s="2">
        <v>1</v>
      </c>
      <c r="BL157" s="2">
        <v>3</v>
      </c>
      <c r="BM157" s="2">
        <v>7</v>
      </c>
      <c r="BN157" s="2">
        <v>8</v>
      </c>
      <c r="BO157" s="2">
        <v>8</v>
      </c>
      <c r="BP157" s="2"/>
      <c r="BQ157" s="2"/>
      <c r="BR157" s="2"/>
      <c r="BS157" s="2"/>
      <c r="BT157" s="2"/>
      <c r="BU157" s="2"/>
      <c r="BV157" s="2"/>
      <c r="BW157" s="2"/>
      <c r="BX157" s="2" t="s">
        <v>190</v>
      </c>
      <c r="BY157" s="2" t="s">
        <v>190</v>
      </c>
      <c r="BZ157" s="2" t="s">
        <v>189</v>
      </c>
      <c r="CA157" s="2" t="s">
        <v>189</v>
      </c>
      <c r="CB157" s="2" t="s">
        <v>190</v>
      </c>
      <c r="CC157" s="2" t="s">
        <v>189</v>
      </c>
      <c r="CD157" s="2" t="s">
        <v>189</v>
      </c>
      <c r="CE157" s="2" t="s">
        <v>191</v>
      </c>
      <c r="CF157" s="2" t="s">
        <v>190</v>
      </c>
      <c r="CG157" s="2" t="s">
        <v>190</v>
      </c>
      <c r="CH157" s="2" t="s">
        <v>189</v>
      </c>
      <c r="CI157" s="2" t="s">
        <v>189</v>
      </c>
      <c r="CJ157" s="2" t="s">
        <v>189</v>
      </c>
      <c r="CK157" s="2" t="s">
        <v>189</v>
      </c>
      <c r="CL157" s="2" t="s">
        <v>189</v>
      </c>
      <c r="CM157" s="2" t="s">
        <v>192</v>
      </c>
      <c r="CN157" s="2" t="s">
        <v>192</v>
      </c>
      <c r="CO157" s="2" t="s">
        <v>193</v>
      </c>
      <c r="CP157" s="2" t="s">
        <v>192</v>
      </c>
      <c r="CQ157" s="2" t="s">
        <v>192</v>
      </c>
      <c r="CR157" s="2" t="s">
        <v>193</v>
      </c>
      <c r="CS157" s="2" t="s">
        <v>193</v>
      </c>
      <c r="CT157" s="2" t="s">
        <v>192</v>
      </c>
      <c r="CU157" s="2" t="s">
        <v>192</v>
      </c>
      <c r="CV157" s="2" t="s">
        <v>200</v>
      </c>
      <c r="CW157" s="2" t="s">
        <v>200</v>
      </c>
      <c r="CX157" s="2" t="s">
        <v>193</v>
      </c>
      <c r="CY157" s="2" t="s">
        <v>193</v>
      </c>
      <c r="CZ157" s="2" t="s">
        <v>193</v>
      </c>
      <c r="DA157" s="2" t="s">
        <v>193</v>
      </c>
      <c r="DB157" s="2" t="s">
        <v>192</v>
      </c>
      <c r="DC157" s="2" t="s">
        <v>192</v>
      </c>
      <c r="DD157" s="2" t="s">
        <v>192</v>
      </c>
      <c r="DE157" s="2" t="s">
        <v>192</v>
      </c>
      <c r="DF157" s="2" t="s">
        <v>193</v>
      </c>
      <c r="DG157" s="2" t="s">
        <v>196</v>
      </c>
      <c r="DH157" s="2" t="s">
        <v>194</v>
      </c>
      <c r="DI157" s="2" t="s">
        <v>195</v>
      </c>
      <c r="DJ157" s="2" t="s">
        <v>194</v>
      </c>
      <c r="DK157" s="2" t="s">
        <v>196</v>
      </c>
      <c r="DL157" s="2" t="s">
        <v>195</v>
      </c>
      <c r="DM157" s="2" t="s">
        <v>195</v>
      </c>
      <c r="DN157" s="2" t="s">
        <v>220</v>
      </c>
      <c r="DO157" s="2" t="s">
        <v>220</v>
      </c>
      <c r="DP157" s="2" t="s">
        <v>220</v>
      </c>
      <c r="DQ157" s="2" t="s">
        <v>195</v>
      </c>
      <c r="DR157" s="2" t="s">
        <v>195</v>
      </c>
      <c r="DS157" s="2" t="s">
        <v>197</v>
      </c>
      <c r="DT157" s="2" t="s">
        <v>197</v>
      </c>
      <c r="DU157" s="2" t="s">
        <v>197</v>
      </c>
      <c r="DV157" s="2" t="s">
        <v>197</v>
      </c>
      <c r="DW157" s="2" t="s">
        <v>197</v>
      </c>
      <c r="DX157" s="2" t="s">
        <v>198</v>
      </c>
      <c r="DY157" s="2" t="s">
        <v>197</v>
      </c>
      <c r="DZ157" s="2"/>
      <c r="EA157" s="2">
        <v>1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1</v>
      </c>
      <c r="EJ157" s="2">
        <v>1</v>
      </c>
      <c r="EK157" s="2">
        <v>0</v>
      </c>
      <c r="EL157" s="2">
        <v>0</v>
      </c>
      <c r="EM157" s="2">
        <v>1</v>
      </c>
      <c r="EN157" s="2">
        <v>0</v>
      </c>
      <c r="EO157" s="2">
        <v>1</v>
      </c>
      <c r="EP157" s="2">
        <v>0</v>
      </c>
      <c r="EQ157" s="2">
        <v>1</v>
      </c>
      <c r="ER157" s="2">
        <v>0</v>
      </c>
      <c r="ES157" s="2">
        <v>1</v>
      </c>
      <c r="ET157" s="2">
        <v>1</v>
      </c>
      <c r="EU157" s="2">
        <v>1</v>
      </c>
      <c r="EV157" s="2">
        <v>1</v>
      </c>
      <c r="EW157" s="2">
        <v>0</v>
      </c>
      <c r="EX157" s="2">
        <v>0</v>
      </c>
      <c r="EY157" s="2">
        <v>1</v>
      </c>
      <c r="EZ157" s="2">
        <v>1</v>
      </c>
      <c r="FA157" s="2">
        <v>0</v>
      </c>
      <c r="FB157" s="2">
        <v>0</v>
      </c>
      <c r="FC157" s="2">
        <v>1</v>
      </c>
      <c r="FD157" s="2">
        <v>0</v>
      </c>
      <c r="FE157" s="2">
        <v>0</v>
      </c>
      <c r="FF157" s="2">
        <v>1</v>
      </c>
      <c r="FG157" s="2">
        <v>0</v>
      </c>
      <c r="FH157" s="2">
        <v>1</v>
      </c>
      <c r="FI157" s="2">
        <v>0</v>
      </c>
      <c r="FJ157" s="2">
        <v>1</v>
      </c>
      <c r="FK157" s="2">
        <v>0</v>
      </c>
      <c r="FL157" s="2">
        <v>1</v>
      </c>
      <c r="FM157" s="2">
        <v>0</v>
      </c>
      <c r="FN157" s="2">
        <v>1</v>
      </c>
      <c r="FO157" s="2">
        <v>0</v>
      </c>
      <c r="FP157" s="2">
        <v>0</v>
      </c>
      <c r="FQ157" s="2">
        <v>1</v>
      </c>
      <c r="FR157" s="2">
        <v>0</v>
      </c>
      <c r="FS157" s="2">
        <v>1</v>
      </c>
      <c r="FT157" s="2">
        <v>0</v>
      </c>
      <c r="FU157" s="2">
        <v>1</v>
      </c>
      <c r="FV157" s="2">
        <v>0</v>
      </c>
      <c r="FW157" s="2">
        <v>1</v>
      </c>
      <c r="FX157" s="2">
        <v>0</v>
      </c>
      <c r="FY157" s="2">
        <v>1</v>
      </c>
      <c r="FZ157" s="2"/>
      <c r="GA157" s="2">
        <v>3</v>
      </c>
      <c r="GB157" s="2">
        <v>1</v>
      </c>
      <c r="GC157" s="2">
        <v>1</v>
      </c>
      <c r="GD157" s="2">
        <v>1</v>
      </c>
      <c r="GE157" s="2">
        <v>1</v>
      </c>
      <c r="GG157" s="2">
        <v>4</v>
      </c>
      <c r="GH157" s="2">
        <v>4</v>
      </c>
      <c r="GI157" s="2">
        <v>3</v>
      </c>
      <c r="GJ157" s="2">
        <v>4</v>
      </c>
      <c r="GK157" s="2">
        <v>3</v>
      </c>
      <c r="GM157" s="2">
        <f t="shared" si="0"/>
        <v>7</v>
      </c>
      <c r="GN157" s="2">
        <f t="shared" si="1"/>
        <v>18</v>
      </c>
      <c r="GO157" s="2"/>
      <c r="GP157" s="2">
        <v>2</v>
      </c>
      <c r="GQ157" s="2">
        <v>0</v>
      </c>
      <c r="GR157" s="2">
        <v>0</v>
      </c>
      <c r="GS157" s="2">
        <v>4</v>
      </c>
      <c r="GU157" s="2">
        <v>3</v>
      </c>
      <c r="GV157" s="2">
        <v>1</v>
      </c>
      <c r="GW157" s="2">
        <v>3</v>
      </c>
      <c r="GY157" s="2">
        <v>3</v>
      </c>
      <c r="GZ157" s="2">
        <v>0</v>
      </c>
      <c r="HA157" s="2">
        <v>0</v>
      </c>
      <c r="HB157" s="2">
        <v>3</v>
      </c>
      <c r="HD157" s="2">
        <v>1</v>
      </c>
      <c r="HE157" s="2">
        <v>1</v>
      </c>
      <c r="HF157" s="2">
        <v>3</v>
      </c>
      <c r="HH157" s="2">
        <f t="shared" si="2"/>
        <v>13</v>
      </c>
      <c r="HI157" s="2">
        <f t="shared" si="3"/>
        <v>11</v>
      </c>
      <c r="HJ157" s="2"/>
      <c r="HK157" s="2">
        <v>8</v>
      </c>
      <c r="HL157" s="2">
        <v>8</v>
      </c>
      <c r="HM157" s="2"/>
      <c r="HN157" s="2"/>
    </row>
    <row r="158" spans="1:222" ht="15.75" customHeight="1" x14ac:dyDescent="0.2">
      <c r="A158" s="3" t="e">
        <f>VLOOKUP(B158,#REF!,1,FALSE)</f>
        <v>#REF!</v>
      </c>
      <c r="B158" s="3">
        <v>44470.44673935185</v>
      </c>
      <c r="C158" s="2">
        <v>215</v>
      </c>
      <c r="D158" s="2" t="s">
        <v>185</v>
      </c>
      <c r="E158" s="2">
        <v>0</v>
      </c>
      <c r="F158" s="2" t="s">
        <v>605</v>
      </c>
      <c r="G158" s="2">
        <v>15</v>
      </c>
      <c r="H158" s="2">
        <v>0.5</v>
      </c>
      <c r="I158" s="2">
        <v>1</v>
      </c>
      <c r="J158" s="2">
        <v>4</v>
      </c>
      <c r="K158" s="2">
        <v>0</v>
      </c>
      <c r="L158" s="2">
        <v>4</v>
      </c>
      <c r="M158" s="2" t="s">
        <v>187</v>
      </c>
      <c r="N158" s="2">
        <v>2</v>
      </c>
      <c r="O158" s="2">
        <v>4</v>
      </c>
      <c r="P158" s="2">
        <v>0</v>
      </c>
      <c r="Q158" s="2">
        <v>0</v>
      </c>
      <c r="R158" s="2">
        <v>3</v>
      </c>
      <c r="S158" s="2">
        <v>0</v>
      </c>
      <c r="T158" s="2">
        <v>0</v>
      </c>
      <c r="U158" s="2">
        <v>1</v>
      </c>
      <c r="V158" s="2">
        <v>-1</v>
      </c>
      <c r="W158" s="2">
        <v>-1</v>
      </c>
      <c r="X158" s="2"/>
      <c r="Y158" s="2">
        <v>0</v>
      </c>
      <c r="Z158" s="2">
        <v>1</v>
      </c>
      <c r="AA158" s="2">
        <v>1</v>
      </c>
      <c r="AB158" s="2">
        <v>1</v>
      </c>
      <c r="AC158" s="2">
        <v>2</v>
      </c>
      <c r="AD158" s="2">
        <v>2</v>
      </c>
      <c r="AE158" s="2">
        <v>2</v>
      </c>
      <c r="AF158" s="2">
        <v>2</v>
      </c>
      <c r="AG158" s="2">
        <v>-1</v>
      </c>
      <c r="AH158" s="2">
        <v>1</v>
      </c>
      <c r="AI158" s="2">
        <v>1</v>
      </c>
      <c r="AJ158" s="2">
        <v>1</v>
      </c>
      <c r="AK158" s="2">
        <v>2</v>
      </c>
      <c r="AL158" s="2">
        <v>2</v>
      </c>
      <c r="AM158" s="2">
        <v>4</v>
      </c>
      <c r="AN158" s="2">
        <v>4</v>
      </c>
      <c r="AO158" s="2">
        <v>3</v>
      </c>
      <c r="AP158" s="2">
        <v>3</v>
      </c>
      <c r="AQ158" s="2">
        <v>3</v>
      </c>
      <c r="AR158" s="2">
        <v>3</v>
      </c>
      <c r="AS158" s="2">
        <v>1</v>
      </c>
      <c r="AT158" s="2">
        <v>2</v>
      </c>
      <c r="AU158" s="2">
        <v>1</v>
      </c>
      <c r="AV158" s="2"/>
      <c r="AW158" s="2">
        <v>1</v>
      </c>
      <c r="AX158" s="2">
        <v>1</v>
      </c>
      <c r="AY158" s="2">
        <v>2</v>
      </c>
      <c r="AZ158" s="2">
        <v>3</v>
      </c>
      <c r="BA158" s="2">
        <v>3</v>
      </c>
      <c r="BB158" s="2">
        <v>3</v>
      </c>
      <c r="BC158" s="2">
        <v>3</v>
      </c>
      <c r="BD158" s="2">
        <v>3</v>
      </c>
      <c r="BE158" s="2">
        <v>2</v>
      </c>
      <c r="BF158" s="2">
        <v>2</v>
      </c>
      <c r="BG158" s="2">
        <v>2</v>
      </c>
      <c r="BH158" s="2">
        <v>2</v>
      </c>
      <c r="BI158" s="2"/>
      <c r="BJ158" s="2">
        <v>2</v>
      </c>
      <c r="BK158" s="2">
        <v>2</v>
      </c>
      <c r="BL158" s="2">
        <v>1</v>
      </c>
      <c r="BM158" s="2">
        <v>8</v>
      </c>
      <c r="BN158" s="2">
        <v>9</v>
      </c>
      <c r="BO158" s="2">
        <v>9</v>
      </c>
      <c r="BP158" s="2"/>
      <c r="BQ158" s="2"/>
      <c r="BR158" s="2"/>
      <c r="BS158" s="2"/>
      <c r="BT158" s="2"/>
      <c r="BU158" s="2"/>
      <c r="BV158" s="2" t="s">
        <v>606</v>
      </c>
      <c r="BW158" s="2" t="s">
        <v>607</v>
      </c>
      <c r="BX158" s="2" t="s">
        <v>191</v>
      </c>
      <c r="BY158" s="2" t="s">
        <v>190</v>
      </c>
      <c r="BZ158" s="2" t="s">
        <v>191</v>
      </c>
      <c r="CA158" s="2" t="s">
        <v>191</v>
      </c>
      <c r="CB158" s="2" t="s">
        <v>188</v>
      </c>
      <c r="CC158" s="2" t="s">
        <v>188</v>
      </c>
      <c r="CD158" s="2" t="s">
        <v>191</v>
      </c>
      <c r="CE158" s="2" t="s">
        <v>191</v>
      </c>
      <c r="CF158" s="2" t="s">
        <v>188</v>
      </c>
      <c r="CG158" s="2" t="s">
        <v>191</v>
      </c>
      <c r="CH158" s="2" t="s">
        <v>188</v>
      </c>
      <c r="CI158" s="2" t="s">
        <v>191</v>
      </c>
      <c r="CJ158" s="2" t="s">
        <v>191</v>
      </c>
      <c r="CK158" s="2" t="s">
        <v>191</v>
      </c>
      <c r="CL158" s="2" t="s">
        <v>191</v>
      </c>
      <c r="CM158" s="2" t="s">
        <v>192</v>
      </c>
      <c r="CN158" s="2" t="s">
        <v>192</v>
      </c>
      <c r="CO158" s="2" t="s">
        <v>192</v>
      </c>
      <c r="CP158" s="2" t="s">
        <v>192</v>
      </c>
      <c r="CQ158" s="2" t="s">
        <v>192</v>
      </c>
      <c r="CR158" s="2" t="s">
        <v>192</v>
      </c>
      <c r="CS158" s="2" t="s">
        <v>192</v>
      </c>
      <c r="CT158" s="2" t="s">
        <v>192</v>
      </c>
      <c r="CU158" s="2" t="s">
        <v>192</v>
      </c>
      <c r="CV158" s="2" t="s">
        <v>192</v>
      </c>
      <c r="CW158" s="2" t="s">
        <v>193</v>
      </c>
      <c r="CX158" s="2" t="s">
        <v>193</v>
      </c>
      <c r="CY158" s="2" t="s">
        <v>192</v>
      </c>
      <c r="CZ158" s="2" t="s">
        <v>193</v>
      </c>
      <c r="DA158" s="2" t="s">
        <v>193</v>
      </c>
      <c r="DB158" s="2" t="s">
        <v>192</v>
      </c>
      <c r="DC158" s="2" t="s">
        <v>192</v>
      </c>
      <c r="DD158" s="2" t="s">
        <v>192</v>
      </c>
      <c r="DE158" s="2" t="s">
        <v>192</v>
      </c>
      <c r="DF158" s="2" t="s">
        <v>192</v>
      </c>
      <c r="DG158" s="2" t="s">
        <v>196</v>
      </c>
      <c r="DH158" s="2" t="s">
        <v>194</v>
      </c>
      <c r="DI158" s="2" t="s">
        <v>196</v>
      </c>
      <c r="DJ158" s="2" t="s">
        <v>195</v>
      </c>
      <c r="DK158" s="2" t="s">
        <v>196</v>
      </c>
      <c r="DL158" s="2" t="s">
        <v>196</v>
      </c>
      <c r="DM158" s="2" t="s">
        <v>196</v>
      </c>
      <c r="DN158" s="2" t="s">
        <v>196</v>
      </c>
      <c r="DO158" s="2" t="s">
        <v>196</v>
      </c>
      <c r="DP158" s="2" t="s">
        <v>195</v>
      </c>
      <c r="DQ158" s="2" t="s">
        <v>195</v>
      </c>
      <c r="DR158" s="2" t="s">
        <v>194</v>
      </c>
      <c r="DS158" s="2"/>
      <c r="DT158" s="2"/>
      <c r="DU158" s="2"/>
      <c r="DV158" s="2"/>
      <c r="DW158" s="2"/>
      <c r="DX158" s="2"/>
      <c r="DY158" s="2"/>
      <c r="DZ158" s="2"/>
      <c r="EA158" s="2">
        <v>1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1</v>
      </c>
      <c r="EI158" s="2">
        <v>1</v>
      </c>
      <c r="EJ158" s="2">
        <v>1</v>
      </c>
      <c r="EK158" s="2">
        <v>0</v>
      </c>
      <c r="EL158" s="2">
        <v>1</v>
      </c>
      <c r="EM158" s="2">
        <v>1</v>
      </c>
      <c r="EN158" s="2">
        <v>1</v>
      </c>
      <c r="EO158" s="2">
        <v>1</v>
      </c>
      <c r="EP158" s="2">
        <v>1</v>
      </c>
      <c r="EQ158" s="2">
        <v>1</v>
      </c>
      <c r="ER158" s="2">
        <v>1</v>
      </c>
      <c r="ES158" s="2">
        <v>1</v>
      </c>
      <c r="ET158" s="2">
        <v>1</v>
      </c>
      <c r="EU158" s="2">
        <v>1</v>
      </c>
      <c r="EV158" s="2">
        <v>1</v>
      </c>
      <c r="EW158" s="2">
        <v>0</v>
      </c>
      <c r="EX158" s="2">
        <v>0</v>
      </c>
      <c r="EY158" s="2">
        <v>1</v>
      </c>
      <c r="EZ158" s="2">
        <v>0</v>
      </c>
      <c r="FA158" s="2">
        <v>0</v>
      </c>
      <c r="FB158" s="2">
        <v>1</v>
      </c>
      <c r="FC158" s="2">
        <v>1</v>
      </c>
      <c r="FD158" s="2">
        <v>0</v>
      </c>
      <c r="FE158" s="2">
        <v>0</v>
      </c>
      <c r="FF158" s="2">
        <v>0</v>
      </c>
      <c r="FG158" s="2">
        <v>0</v>
      </c>
      <c r="FH158" s="2">
        <v>1</v>
      </c>
      <c r="FI158" s="2">
        <v>1</v>
      </c>
      <c r="FJ158" s="2">
        <v>0</v>
      </c>
      <c r="FK158" s="2">
        <v>0</v>
      </c>
      <c r="FL158" s="2">
        <v>0</v>
      </c>
      <c r="FM158" s="2">
        <v>1</v>
      </c>
      <c r="FN158" s="2">
        <v>1</v>
      </c>
      <c r="FO158" s="2">
        <v>0</v>
      </c>
      <c r="FP158" s="2">
        <v>1</v>
      </c>
      <c r="FQ158" s="2">
        <v>1</v>
      </c>
      <c r="FR158" s="2">
        <v>1</v>
      </c>
      <c r="FS158" s="2">
        <v>1</v>
      </c>
      <c r="FT158" s="2">
        <v>1</v>
      </c>
      <c r="FU158" s="2">
        <v>1</v>
      </c>
      <c r="FV158" s="2">
        <v>1</v>
      </c>
      <c r="FW158" s="2">
        <v>1</v>
      </c>
      <c r="FX158" s="2">
        <v>1</v>
      </c>
      <c r="FY158" s="2">
        <v>1</v>
      </c>
      <c r="FZ158" s="2"/>
      <c r="GA158" s="2">
        <v>4</v>
      </c>
      <c r="GB158" s="2">
        <v>4</v>
      </c>
      <c r="GC158" s="2">
        <v>3</v>
      </c>
      <c r="GD158" s="2">
        <v>3</v>
      </c>
      <c r="GE158" s="2">
        <v>3</v>
      </c>
      <c r="GG158" s="2">
        <v>3</v>
      </c>
      <c r="GH158" s="2">
        <v>3</v>
      </c>
      <c r="GI158" s="2">
        <v>3</v>
      </c>
      <c r="GJ158" s="2">
        <v>3</v>
      </c>
      <c r="GK158" s="2">
        <v>3</v>
      </c>
      <c r="GM158" s="2">
        <f t="shared" si="0"/>
        <v>17</v>
      </c>
      <c r="GN158" s="2">
        <f t="shared" si="1"/>
        <v>15</v>
      </c>
      <c r="GO158" s="2"/>
      <c r="GP158" s="2">
        <v>3</v>
      </c>
      <c r="GQ158" s="2">
        <v>1</v>
      </c>
      <c r="GR158" s="2">
        <v>2</v>
      </c>
      <c r="GS158" s="2">
        <v>1</v>
      </c>
      <c r="GU158" s="2">
        <v>1</v>
      </c>
      <c r="GV158" s="2">
        <v>1</v>
      </c>
      <c r="GW158" s="2">
        <v>2</v>
      </c>
      <c r="GY158" s="2">
        <v>2</v>
      </c>
      <c r="GZ158" s="2">
        <v>2</v>
      </c>
      <c r="HA158" s="2">
        <v>2</v>
      </c>
      <c r="HB158" s="2">
        <v>2</v>
      </c>
      <c r="HD158" s="2">
        <v>2</v>
      </c>
      <c r="HE158" s="2">
        <v>2</v>
      </c>
      <c r="HF158" s="2">
        <v>1</v>
      </c>
      <c r="HH158" s="2">
        <f t="shared" si="2"/>
        <v>11</v>
      </c>
      <c r="HI158" s="2">
        <f t="shared" si="3"/>
        <v>13</v>
      </c>
      <c r="HJ158" s="2"/>
      <c r="HK158" s="2">
        <v>9</v>
      </c>
      <c r="HL158" s="2">
        <v>9</v>
      </c>
      <c r="HM158" s="2"/>
      <c r="HN158" s="2"/>
    </row>
    <row r="159" spans="1:222" ht="15.75" customHeight="1" x14ac:dyDescent="0.2">
      <c r="A159" s="3" t="e">
        <f>VLOOKUP(B159,#REF!,1,FALSE)</f>
        <v>#REF!</v>
      </c>
      <c r="B159" s="3">
        <v>44470.473409548613</v>
      </c>
      <c r="C159" s="2">
        <v>216</v>
      </c>
      <c r="D159" s="2" t="s">
        <v>185</v>
      </c>
      <c r="E159" s="2">
        <v>0</v>
      </c>
      <c r="F159" s="2" t="s">
        <v>186</v>
      </c>
      <c r="G159" s="2">
        <v>15</v>
      </c>
      <c r="H159" s="2">
        <v>2</v>
      </c>
      <c r="I159" s="2">
        <v>1</v>
      </c>
      <c r="J159" s="2">
        <v>5</v>
      </c>
      <c r="K159" s="2">
        <v>0</v>
      </c>
      <c r="L159" s="2">
        <v>5</v>
      </c>
      <c r="M159" s="2" t="s">
        <v>187</v>
      </c>
      <c r="N159" s="2">
        <v>2</v>
      </c>
      <c r="O159" s="2">
        <v>3</v>
      </c>
      <c r="P159" s="2">
        <v>0</v>
      </c>
      <c r="Q159" s="2">
        <v>3</v>
      </c>
      <c r="R159" s="2">
        <v>3</v>
      </c>
      <c r="S159" s="2">
        <v>-1</v>
      </c>
      <c r="T159" s="2">
        <v>-1</v>
      </c>
      <c r="U159" s="2">
        <v>0</v>
      </c>
      <c r="V159" s="2">
        <v>-1</v>
      </c>
      <c r="W159" s="2">
        <v>-1</v>
      </c>
      <c r="X159" s="2"/>
      <c r="Y159" s="2">
        <v>-1</v>
      </c>
      <c r="Z159" s="2">
        <v>1</v>
      </c>
      <c r="AA159" s="2">
        <v>-1</v>
      </c>
      <c r="AB159" s="2">
        <v>0</v>
      </c>
      <c r="AC159" s="2">
        <v>0</v>
      </c>
      <c r="AD159" s="2">
        <v>2</v>
      </c>
      <c r="AE159" s="2">
        <v>2</v>
      </c>
      <c r="AF159" s="2">
        <v>2</v>
      </c>
      <c r="AG159" s="2">
        <v>1</v>
      </c>
      <c r="AH159" s="2">
        <v>2</v>
      </c>
      <c r="AI159" s="2">
        <v>2</v>
      </c>
      <c r="AJ159" s="2">
        <v>2</v>
      </c>
      <c r="AK159" s="2">
        <v>-2</v>
      </c>
      <c r="AL159" s="2">
        <v>-1</v>
      </c>
      <c r="AM159" s="2">
        <v>4</v>
      </c>
      <c r="AN159" s="2">
        <v>4</v>
      </c>
      <c r="AO159" s="2">
        <v>3</v>
      </c>
      <c r="AP159" s="2">
        <v>4</v>
      </c>
      <c r="AQ159" s="2">
        <v>2</v>
      </c>
      <c r="AR159" s="2">
        <v>2</v>
      </c>
      <c r="AS159" s="2">
        <v>2</v>
      </c>
      <c r="AT159" s="2">
        <v>1</v>
      </c>
      <c r="AU159" s="2">
        <v>1</v>
      </c>
      <c r="AV159" s="2"/>
      <c r="AW159" s="2">
        <v>3</v>
      </c>
      <c r="AX159" s="2">
        <v>1</v>
      </c>
      <c r="AY159" s="2">
        <v>2</v>
      </c>
      <c r="AZ159" s="2">
        <v>3</v>
      </c>
      <c r="BA159" s="2">
        <v>4</v>
      </c>
      <c r="BB159" s="2">
        <v>2</v>
      </c>
      <c r="BC159" s="2">
        <v>3</v>
      </c>
      <c r="BD159" s="2">
        <v>2</v>
      </c>
      <c r="BE159" s="2">
        <v>2</v>
      </c>
      <c r="BF159" s="2">
        <v>2</v>
      </c>
      <c r="BG159" s="2">
        <v>3</v>
      </c>
      <c r="BH159" s="2">
        <v>2</v>
      </c>
      <c r="BI159" s="2"/>
      <c r="BJ159" s="2">
        <v>3</v>
      </c>
      <c r="BK159" s="2">
        <v>1</v>
      </c>
      <c r="BL159" s="2">
        <v>1</v>
      </c>
      <c r="BM159" s="2">
        <v>8</v>
      </c>
      <c r="BN159" s="2">
        <v>7</v>
      </c>
      <c r="BO159" s="2">
        <v>7</v>
      </c>
      <c r="BP159" s="2"/>
      <c r="BQ159" s="2"/>
      <c r="BR159" s="2"/>
      <c r="BS159" s="2"/>
      <c r="BT159" s="2"/>
      <c r="BU159" s="2"/>
      <c r="BV159" s="2"/>
      <c r="BW159" s="2"/>
      <c r="BX159" s="2" t="s">
        <v>188</v>
      </c>
      <c r="BY159" s="2" t="s">
        <v>190</v>
      </c>
      <c r="BZ159" s="2" t="s">
        <v>188</v>
      </c>
      <c r="CA159" s="2" t="s">
        <v>188</v>
      </c>
      <c r="CB159" s="2" t="s">
        <v>188</v>
      </c>
      <c r="CC159" s="2" t="s">
        <v>191</v>
      </c>
      <c r="CD159" s="2" t="s">
        <v>189</v>
      </c>
      <c r="CE159" s="2" t="s">
        <v>190</v>
      </c>
      <c r="CF159" s="2" t="s">
        <v>191</v>
      </c>
      <c r="CG159" s="2" t="s">
        <v>188</v>
      </c>
      <c r="CH159" s="2" t="s">
        <v>191</v>
      </c>
      <c r="CI159" s="2" t="s">
        <v>190</v>
      </c>
      <c r="CJ159" s="2" t="s">
        <v>190</v>
      </c>
      <c r="CK159" s="2" t="s">
        <v>190</v>
      </c>
      <c r="CL159" s="2" t="s">
        <v>191</v>
      </c>
      <c r="CM159" s="2" t="s">
        <v>193</v>
      </c>
      <c r="CN159" s="2" t="s">
        <v>192</v>
      </c>
      <c r="CO159" s="2" t="s">
        <v>192</v>
      </c>
      <c r="CP159" s="2" t="s">
        <v>192</v>
      </c>
      <c r="CQ159" s="2" t="s">
        <v>192</v>
      </c>
      <c r="CR159" s="2" t="s">
        <v>193</v>
      </c>
      <c r="CS159" s="2" t="s">
        <v>193</v>
      </c>
      <c r="CT159" s="2" t="s">
        <v>200</v>
      </c>
      <c r="CU159" s="2" t="s">
        <v>192</v>
      </c>
      <c r="CV159" s="2" t="s">
        <v>192</v>
      </c>
      <c r="CW159" s="2" t="s">
        <v>192</v>
      </c>
      <c r="CX159" s="2" t="s">
        <v>193</v>
      </c>
      <c r="CY159" s="2" t="s">
        <v>193</v>
      </c>
      <c r="CZ159" s="2" t="s">
        <v>193</v>
      </c>
      <c r="DA159" s="2" t="s">
        <v>193</v>
      </c>
      <c r="DB159" s="2" t="s">
        <v>192</v>
      </c>
      <c r="DC159" s="2" t="s">
        <v>192</v>
      </c>
      <c r="DD159" s="2" t="s">
        <v>193</v>
      </c>
      <c r="DE159" s="2" t="s">
        <v>193</v>
      </c>
      <c r="DF159" s="2" t="s">
        <v>193</v>
      </c>
      <c r="DG159" s="2" t="s">
        <v>195</v>
      </c>
      <c r="DH159" s="2" t="s">
        <v>195</v>
      </c>
      <c r="DI159" s="2" t="s">
        <v>195</v>
      </c>
      <c r="DJ159" s="2" t="s">
        <v>195</v>
      </c>
      <c r="DK159" s="2" t="s">
        <v>194</v>
      </c>
      <c r="DL159" s="2" t="s">
        <v>194</v>
      </c>
      <c r="DM159" s="2" t="s">
        <v>194</v>
      </c>
      <c r="DN159" s="2" t="s">
        <v>194</v>
      </c>
      <c r="DO159" s="2" t="s">
        <v>194</v>
      </c>
      <c r="DP159" s="2" t="s">
        <v>194</v>
      </c>
      <c r="DQ159" s="2" t="s">
        <v>195</v>
      </c>
      <c r="DR159" s="2" t="s">
        <v>195</v>
      </c>
      <c r="DS159" s="2" t="s">
        <v>197</v>
      </c>
      <c r="DT159" s="2" t="s">
        <v>198</v>
      </c>
      <c r="DU159" s="2" t="s">
        <v>198</v>
      </c>
      <c r="DV159" s="2" t="s">
        <v>197</v>
      </c>
      <c r="DW159" s="2" t="s">
        <v>197</v>
      </c>
      <c r="DX159" s="2" t="s">
        <v>199</v>
      </c>
      <c r="DY159" s="2" t="s">
        <v>197</v>
      </c>
      <c r="DZ159" s="2"/>
      <c r="EA159" s="2">
        <v>0</v>
      </c>
      <c r="EB159" s="2">
        <v>0</v>
      </c>
      <c r="EC159" s="2">
        <v>1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1</v>
      </c>
      <c r="EJ159" s="2">
        <v>0</v>
      </c>
      <c r="EK159" s="2">
        <v>1</v>
      </c>
      <c r="EL159" s="2">
        <v>0</v>
      </c>
      <c r="EM159" s="2">
        <v>1</v>
      </c>
      <c r="EN159" s="2">
        <v>1</v>
      </c>
      <c r="EO159" s="2">
        <v>0</v>
      </c>
      <c r="EP159" s="2">
        <v>1</v>
      </c>
      <c r="EQ159" s="2">
        <v>0</v>
      </c>
      <c r="ER159" s="2">
        <v>1</v>
      </c>
      <c r="ES159" s="2">
        <v>0</v>
      </c>
      <c r="ET159" s="2">
        <v>0</v>
      </c>
      <c r="EU159" s="2">
        <v>1</v>
      </c>
      <c r="EV159" s="2">
        <v>0</v>
      </c>
      <c r="EW159" s="2">
        <v>1</v>
      </c>
      <c r="EX159" s="2">
        <v>0</v>
      </c>
      <c r="EY159" s="2">
        <v>1</v>
      </c>
      <c r="EZ159" s="2">
        <v>0</v>
      </c>
      <c r="FA159" s="2">
        <v>1</v>
      </c>
      <c r="FB159" s="2">
        <v>1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1</v>
      </c>
      <c r="FK159" s="2">
        <v>0</v>
      </c>
      <c r="FL159" s="2">
        <v>1</v>
      </c>
      <c r="FM159" s="2">
        <v>0</v>
      </c>
      <c r="FN159" s="2">
        <v>1</v>
      </c>
      <c r="FO159" s="2">
        <v>0</v>
      </c>
      <c r="FP159" s="2">
        <v>0</v>
      </c>
      <c r="FQ159" s="2">
        <v>1</v>
      </c>
      <c r="FR159" s="2">
        <v>0</v>
      </c>
      <c r="FS159" s="2">
        <v>1</v>
      </c>
      <c r="FT159" s="2">
        <v>0</v>
      </c>
      <c r="FU159" s="2">
        <v>1</v>
      </c>
      <c r="FV159" s="2">
        <v>0</v>
      </c>
      <c r="FW159" s="2">
        <v>1</v>
      </c>
      <c r="FX159" s="2">
        <v>0</v>
      </c>
      <c r="FY159" s="2">
        <v>1</v>
      </c>
      <c r="FZ159" s="2"/>
      <c r="GA159" s="2">
        <v>4</v>
      </c>
      <c r="GB159" s="2">
        <v>4</v>
      </c>
      <c r="GC159" s="2">
        <v>3</v>
      </c>
      <c r="GD159" s="2">
        <v>4</v>
      </c>
      <c r="GE159" s="2">
        <v>2</v>
      </c>
      <c r="GG159" s="2">
        <v>3</v>
      </c>
      <c r="GH159" s="2">
        <v>4</v>
      </c>
      <c r="GI159" s="2">
        <v>2</v>
      </c>
      <c r="GJ159" s="2">
        <v>3</v>
      </c>
      <c r="GK159" s="2">
        <v>2</v>
      </c>
      <c r="GM159" s="2">
        <f t="shared" si="0"/>
        <v>17</v>
      </c>
      <c r="GN159" s="2">
        <f t="shared" si="1"/>
        <v>14</v>
      </c>
      <c r="GO159" s="2"/>
      <c r="GP159" s="2">
        <v>2</v>
      </c>
      <c r="GQ159" s="2">
        <v>2</v>
      </c>
      <c r="GR159" s="2">
        <v>1</v>
      </c>
      <c r="GS159" s="2">
        <v>1</v>
      </c>
      <c r="GU159" s="2">
        <v>3</v>
      </c>
      <c r="GV159" s="2">
        <v>1</v>
      </c>
      <c r="GW159" s="2">
        <v>2</v>
      </c>
      <c r="GY159" s="2">
        <v>2</v>
      </c>
      <c r="GZ159" s="2">
        <v>2</v>
      </c>
      <c r="HA159" s="2">
        <v>3</v>
      </c>
      <c r="HB159" s="2">
        <v>2</v>
      </c>
      <c r="HD159" s="2">
        <v>3</v>
      </c>
      <c r="HE159" s="2">
        <v>1</v>
      </c>
      <c r="HF159" s="2">
        <v>1</v>
      </c>
      <c r="HH159" s="2">
        <f t="shared" si="2"/>
        <v>12</v>
      </c>
      <c r="HI159" s="2">
        <f t="shared" si="3"/>
        <v>14</v>
      </c>
      <c r="HJ159" s="2"/>
      <c r="HK159" s="2">
        <v>7</v>
      </c>
      <c r="HL159" s="2">
        <v>7</v>
      </c>
      <c r="HM159" s="2"/>
      <c r="HN159" s="2"/>
    </row>
    <row r="160" spans="1:222" ht="15.75" customHeight="1" x14ac:dyDescent="0.2">
      <c r="A160" s="3" t="e">
        <f>VLOOKUP(B160,#REF!,1,FALSE)</f>
        <v>#REF!</v>
      </c>
      <c r="B160" s="3">
        <v>44470.497074050923</v>
      </c>
      <c r="C160" s="2">
        <v>217</v>
      </c>
      <c r="D160" s="2" t="s">
        <v>185</v>
      </c>
      <c r="E160" s="2">
        <v>0</v>
      </c>
      <c r="F160" s="2" t="s">
        <v>232</v>
      </c>
      <c r="G160" s="2">
        <v>15</v>
      </c>
      <c r="H160" s="2">
        <v>0.5</v>
      </c>
      <c r="I160" s="2">
        <v>1</v>
      </c>
      <c r="J160" s="2">
        <v>2</v>
      </c>
      <c r="K160" s="2">
        <v>0</v>
      </c>
      <c r="L160" s="2">
        <v>5</v>
      </c>
      <c r="M160" s="2" t="s">
        <v>187</v>
      </c>
      <c r="N160" s="2">
        <v>3</v>
      </c>
      <c r="O160" s="2">
        <v>2</v>
      </c>
      <c r="P160" s="2">
        <v>0</v>
      </c>
      <c r="Q160" s="2">
        <v>0</v>
      </c>
      <c r="R160" s="2">
        <v>3</v>
      </c>
      <c r="S160" s="2">
        <v>0</v>
      </c>
      <c r="T160" s="2">
        <v>1</v>
      </c>
      <c r="U160" s="2">
        <v>1</v>
      </c>
      <c r="V160" s="2">
        <v>0</v>
      </c>
      <c r="W160" s="2">
        <v>0</v>
      </c>
      <c r="X160" s="2"/>
      <c r="Y160" s="2">
        <v>0</v>
      </c>
      <c r="Z160" s="2">
        <v>1</v>
      </c>
      <c r="AA160" s="2">
        <v>0</v>
      </c>
      <c r="AB160" s="2">
        <v>1</v>
      </c>
      <c r="AC160" s="2">
        <v>1</v>
      </c>
      <c r="AD160" s="2">
        <v>1</v>
      </c>
      <c r="AE160" s="2">
        <v>1</v>
      </c>
      <c r="AF160" s="2">
        <v>1</v>
      </c>
      <c r="AG160" s="2">
        <v>1</v>
      </c>
      <c r="AH160" s="2">
        <v>1</v>
      </c>
      <c r="AI160" s="2">
        <v>1</v>
      </c>
      <c r="AJ160" s="2">
        <v>1</v>
      </c>
      <c r="AK160" s="2">
        <v>1</v>
      </c>
      <c r="AL160" s="2">
        <v>1</v>
      </c>
      <c r="AM160" s="2">
        <v>3</v>
      </c>
      <c r="AN160" s="2">
        <v>3</v>
      </c>
      <c r="AO160" s="2">
        <v>3</v>
      </c>
      <c r="AP160" s="2">
        <v>3</v>
      </c>
      <c r="AQ160" s="2">
        <v>3</v>
      </c>
      <c r="AR160" s="2">
        <v>2</v>
      </c>
      <c r="AS160" s="2">
        <v>2</v>
      </c>
      <c r="AT160" s="2">
        <v>2</v>
      </c>
      <c r="AU160" s="2">
        <v>2</v>
      </c>
      <c r="AV160" s="2"/>
      <c r="AW160" s="2">
        <v>2</v>
      </c>
      <c r="AX160" s="2">
        <v>2</v>
      </c>
      <c r="AY160" s="2">
        <v>0</v>
      </c>
      <c r="AZ160" s="2">
        <v>3</v>
      </c>
      <c r="BA160" s="2">
        <v>3</v>
      </c>
      <c r="BB160" s="2">
        <v>3</v>
      </c>
      <c r="BC160" s="2">
        <v>3</v>
      </c>
      <c r="BD160" s="2">
        <v>3</v>
      </c>
      <c r="BE160" s="2">
        <v>2</v>
      </c>
      <c r="BF160" s="2">
        <v>2</v>
      </c>
      <c r="BG160" s="2">
        <v>2</v>
      </c>
      <c r="BH160" s="2">
        <v>2</v>
      </c>
      <c r="BI160" s="2"/>
      <c r="BJ160" s="2">
        <v>2</v>
      </c>
      <c r="BK160" s="2">
        <v>2</v>
      </c>
      <c r="BL160" s="2">
        <v>1</v>
      </c>
      <c r="BM160" s="2">
        <v>6</v>
      </c>
      <c r="BN160" s="2">
        <v>6</v>
      </c>
      <c r="BO160" s="2">
        <v>7</v>
      </c>
      <c r="BP160" s="2"/>
      <c r="BQ160" s="2"/>
      <c r="BR160" s="2"/>
      <c r="BS160" s="2"/>
      <c r="BT160" s="2"/>
      <c r="BU160" s="2"/>
      <c r="BV160" s="2"/>
      <c r="BW160" s="2"/>
      <c r="BX160" s="2" t="s">
        <v>191</v>
      </c>
      <c r="BY160" s="2" t="s">
        <v>191</v>
      </c>
      <c r="BZ160" s="2" t="s">
        <v>191</v>
      </c>
      <c r="CA160" s="2" t="s">
        <v>191</v>
      </c>
      <c r="CB160" s="2" t="s">
        <v>191</v>
      </c>
      <c r="CC160" s="2" t="s">
        <v>191</v>
      </c>
      <c r="CD160" s="2" t="s">
        <v>191</v>
      </c>
      <c r="CE160" s="2" t="s">
        <v>191</v>
      </c>
      <c r="CF160" s="2" t="s">
        <v>191</v>
      </c>
      <c r="CG160" s="2" t="s">
        <v>191</v>
      </c>
      <c r="CH160" s="2" t="s">
        <v>191</v>
      </c>
      <c r="CI160" s="2" t="s">
        <v>191</v>
      </c>
      <c r="CJ160" s="2" t="s">
        <v>191</v>
      </c>
      <c r="CK160" s="2" t="s">
        <v>191</v>
      </c>
      <c r="CL160" s="2" t="s">
        <v>191</v>
      </c>
      <c r="CM160" s="2" t="s">
        <v>193</v>
      </c>
      <c r="CN160" s="2" t="s">
        <v>193</v>
      </c>
      <c r="CO160" s="2" t="s">
        <v>193</v>
      </c>
      <c r="CP160" s="2" t="s">
        <v>193</v>
      </c>
      <c r="CQ160" s="2" t="s">
        <v>193</v>
      </c>
      <c r="CR160" s="2" t="s">
        <v>193</v>
      </c>
      <c r="CS160" s="2" t="s">
        <v>193</v>
      </c>
      <c r="CT160" s="2" t="s">
        <v>193</v>
      </c>
      <c r="CU160" s="2" t="s">
        <v>193</v>
      </c>
      <c r="CV160" s="2" t="s">
        <v>193</v>
      </c>
      <c r="CW160" s="2" t="s">
        <v>193</v>
      </c>
      <c r="CX160" s="2" t="s">
        <v>193</v>
      </c>
      <c r="CY160" s="2" t="s">
        <v>193</v>
      </c>
      <c r="CZ160" s="2" t="s">
        <v>193</v>
      </c>
      <c r="DA160" s="2" t="s">
        <v>193</v>
      </c>
      <c r="DB160" s="2" t="s">
        <v>193</v>
      </c>
      <c r="DC160" s="2" t="s">
        <v>193</v>
      </c>
      <c r="DD160" s="2" t="s">
        <v>193</v>
      </c>
      <c r="DE160" s="2" t="s">
        <v>193</v>
      </c>
      <c r="DF160" s="2" t="s">
        <v>193</v>
      </c>
      <c r="DG160" s="2" t="s">
        <v>194</v>
      </c>
      <c r="DH160" s="2" t="s">
        <v>194</v>
      </c>
      <c r="DI160" s="2" t="s">
        <v>194</v>
      </c>
      <c r="DJ160" s="2" t="s">
        <v>194</v>
      </c>
      <c r="DK160" s="2" t="s">
        <v>194</v>
      </c>
      <c r="DL160" s="2" t="s">
        <v>194</v>
      </c>
      <c r="DM160" s="2" t="s">
        <v>194</v>
      </c>
      <c r="DN160" s="2" t="s">
        <v>194</v>
      </c>
      <c r="DO160" s="2" t="s">
        <v>194</v>
      </c>
      <c r="DP160" s="2" t="s">
        <v>194</v>
      </c>
      <c r="DQ160" s="2" t="s">
        <v>194</v>
      </c>
      <c r="DR160" s="2" t="s">
        <v>194</v>
      </c>
      <c r="DS160" s="2" t="s">
        <v>199</v>
      </c>
      <c r="DT160" s="2" t="s">
        <v>199</v>
      </c>
      <c r="DU160" s="2" t="s">
        <v>199</v>
      </c>
      <c r="DV160" s="2" t="s">
        <v>199</v>
      </c>
      <c r="DW160" s="2" t="s">
        <v>199</v>
      </c>
      <c r="DX160" s="2" t="s">
        <v>199</v>
      </c>
      <c r="DY160" s="2" t="s">
        <v>199</v>
      </c>
      <c r="DZ160" s="2"/>
      <c r="EA160" s="2">
        <v>1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1</v>
      </c>
      <c r="EJ160" s="2">
        <v>0</v>
      </c>
      <c r="EK160" s="2">
        <v>1</v>
      </c>
      <c r="EL160" s="2">
        <v>0</v>
      </c>
      <c r="EM160" s="2">
        <v>1</v>
      </c>
      <c r="EN160" s="2">
        <v>1</v>
      </c>
      <c r="EO160" s="2">
        <v>0</v>
      </c>
      <c r="EP160" s="2">
        <v>1</v>
      </c>
      <c r="EQ160" s="2">
        <v>0</v>
      </c>
      <c r="ER160" s="2">
        <v>1</v>
      </c>
      <c r="ES160" s="2">
        <v>0</v>
      </c>
      <c r="ET160" s="2">
        <v>0</v>
      </c>
      <c r="EU160" s="2">
        <v>1</v>
      </c>
      <c r="EV160" s="2">
        <v>0</v>
      </c>
      <c r="EW160" s="2">
        <v>1</v>
      </c>
      <c r="EX160" s="2">
        <v>0</v>
      </c>
      <c r="EY160" s="2">
        <v>1</v>
      </c>
      <c r="EZ160" s="2">
        <v>0</v>
      </c>
      <c r="FA160" s="2">
        <v>1</v>
      </c>
      <c r="FB160" s="2">
        <v>0</v>
      </c>
      <c r="FC160" s="2">
        <v>1</v>
      </c>
      <c r="FD160" s="2">
        <v>0</v>
      </c>
      <c r="FE160" s="2">
        <v>0</v>
      </c>
      <c r="FF160" s="2">
        <v>1</v>
      </c>
      <c r="FG160" s="2">
        <v>0</v>
      </c>
      <c r="FH160" s="2">
        <v>1</v>
      </c>
      <c r="FI160" s="2">
        <v>0</v>
      </c>
      <c r="FJ160" s="2">
        <v>1</v>
      </c>
      <c r="FK160" s="2">
        <v>0</v>
      </c>
      <c r="FL160" s="2">
        <v>1</v>
      </c>
      <c r="FM160" s="2">
        <v>0</v>
      </c>
      <c r="FN160" s="2">
        <v>1</v>
      </c>
      <c r="FO160" s="2">
        <v>0</v>
      </c>
      <c r="FP160" s="2">
        <v>0</v>
      </c>
      <c r="FQ160" s="2">
        <v>1</v>
      </c>
      <c r="FR160" s="2">
        <v>1</v>
      </c>
      <c r="FS160" s="2">
        <v>0</v>
      </c>
      <c r="FT160" s="2">
        <v>0</v>
      </c>
      <c r="FU160" s="2">
        <v>1</v>
      </c>
      <c r="FV160" s="2">
        <v>0</v>
      </c>
      <c r="FW160" s="2">
        <v>1</v>
      </c>
      <c r="FX160" s="2">
        <v>0</v>
      </c>
      <c r="FY160" s="2">
        <v>1</v>
      </c>
      <c r="FZ160" s="2"/>
      <c r="GA160" s="2">
        <v>3</v>
      </c>
      <c r="GB160" s="2">
        <v>3</v>
      </c>
      <c r="GC160" s="2">
        <v>3</v>
      </c>
      <c r="GD160" s="2">
        <v>3</v>
      </c>
      <c r="GE160" s="2">
        <v>3</v>
      </c>
      <c r="GG160" s="2">
        <v>3</v>
      </c>
      <c r="GH160" s="2">
        <v>3</v>
      </c>
      <c r="GI160" s="2">
        <v>3</v>
      </c>
      <c r="GJ160" s="2">
        <v>3</v>
      </c>
      <c r="GK160" s="2">
        <v>3</v>
      </c>
      <c r="GM160" s="2">
        <f t="shared" si="0"/>
        <v>15</v>
      </c>
      <c r="GN160" s="2">
        <f t="shared" si="1"/>
        <v>15</v>
      </c>
      <c r="GO160" s="2"/>
      <c r="GP160" s="2">
        <v>2</v>
      </c>
      <c r="GQ160" s="2">
        <v>2</v>
      </c>
      <c r="GR160" s="2">
        <v>2</v>
      </c>
      <c r="GS160" s="2">
        <v>2</v>
      </c>
      <c r="GU160" s="2">
        <v>2</v>
      </c>
      <c r="GV160" s="2">
        <v>2</v>
      </c>
      <c r="GW160" s="2">
        <v>0</v>
      </c>
      <c r="GY160" s="2">
        <v>2</v>
      </c>
      <c r="GZ160" s="2">
        <v>2</v>
      </c>
      <c r="HA160" s="2">
        <v>2</v>
      </c>
      <c r="HB160" s="2">
        <v>2</v>
      </c>
      <c r="HD160" s="2">
        <v>2</v>
      </c>
      <c r="HE160" s="2">
        <v>2</v>
      </c>
      <c r="HF160" s="2">
        <v>1</v>
      </c>
      <c r="HH160" s="2">
        <f t="shared" si="2"/>
        <v>12</v>
      </c>
      <c r="HI160" s="2">
        <f t="shared" si="3"/>
        <v>13</v>
      </c>
      <c r="HJ160" s="2"/>
      <c r="HK160" s="2">
        <v>6</v>
      </c>
      <c r="HL160" s="2">
        <v>7</v>
      </c>
      <c r="HM160" s="2"/>
      <c r="HN160" s="2"/>
    </row>
    <row r="161" spans="1:222" ht="15.75" customHeight="1" x14ac:dyDescent="0.2">
      <c r="A161" s="3" t="e">
        <f>VLOOKUP(B161,#REF!,1,FALSE)</f>
        <v>#REF!</v>
      </c>
      <c r="B161" s="3">
        <v>44470.541459664353</v>
      </c>
      <c r="C161" s="2">
        <v>218</v>
      </c>
      <c r="D161" s="2" t="s">
        <v>185</v>
      </c>
      <c r="E161" s="2">
        <v>0</v>
      </c>
      <c r="F161" s="2" t="s">
        <v>186</v>
      </c>
      <c r="G161" s="2">
        <v>2</v>
      </c>
      <c r="H161" s="2">
        <v>0.5</v>
      </c>
      <c r="I161" s="2">
        <v>1</v>
      </c>
      <c r="J161" s="2">
        <v>4</v>
      </c>
      <c r="K161" s="2">
        <v>0</v>
      </c>
      <c r="L161" s="2">
        <v>2</v>
      </c>
      <c r="M161" s="2" t="s">
        <v>213</v>
      </c>
      <c r="N161" s="2">
        <v>2</v>
      </c>
      <c r="O161" s="2">
        <v>4</v>
      </c>
      <c r="P161" s="2">
        <v>0</v>
      </c>
      <c r="Q161" s="2">
        <v>0</v>
      </c>
      <c r="R161" s="2">
        <v>3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/>
      <c r="Y161" s="2">
        <v>1</v>
      </c>
      <c r="Z161" s="2">
        <v>0</v>
      </c>
      <c r="AA161" s="2">
        <v>1</v>
      </c>
      <c r="AB161" s="2">
        <v>2</v>
      </c>
      <c r="AC161" s="2">
        <v>0</v>
      </c>
      <c r="AD161" s="2">
        <v>1</v>
      </c>
      <c r="AE161" s="2">
        <v>2</v>
      </c>
      <c r="AF161" s="2">
        <v>0</v>
      </c>
      <c r="AG161" s="2">
        <v>-1</v>
      </c>
      <c r="AH161" s="2">
        <v>1</v>
      </c>
      <c r="AI161" s="2">
        <v>1</v>
      </c>
      <c r="AJ161" s="2">
        <v>1</v>
      </c>
      <c r="AK161" s="2">
        <v>1</v>
      </c>
      <c r="AL161" s="2">
        <v>1</v>
      </c>
      <c r="AM161" s="2">
        <v>2</v>
      </c>
      <c r="AN161" s="2">
        <v>2</v>
      </c>
      <c r="AO161" s="2">
        <v>2</v>
      </c>
      <c r="AP161" s="2">
        <v>2</v>
      </c>
      <c r="AQ161" s="2">
        <v>2</v>
      </c>
      <c r="AR161" s="2">
        <v>0</v>
      </c>
      <c r="AS161" s="2">
        <v>0</v>
      </c>
      <c r="AT161" s="2">
        <v>0</v>
      </c>
      <c r="AU161" s="2">
        <v>1</v>
      </c>
      <c r="AV161" s="2"/>
      <c r="AW161" s="2">
        <v>2</v>
      </c>
      <c r="AX161" s="2">
        <v>2</v>
      </c>
      <c r="AY161" s="2">
        <v>1</v>
      </c>
      <c r="AZ161" s="2">
        <v>4</v>
      </c>
      <c r="BA161" s="2">
        <v>4</v>
      </c>
      <c r="BB161" s="2">
        <v>4</v>
      </c>
      <c r="BC161" s="2">
        <v>4</v>
      </c>
      <c r="BD161" s="2">
        <v>4</v>
      </c>
      <c r="BE161" s="2">
        <v>3</v>
      </c>
      <c r="BF161" s="2">
        <v>0</v>
      </c>
      <c r="BG161" s="2">
        <v>1</v>
      </c>
      <c r="BH161" s="2">
        <v>1</v>
      </c>
      <c r="BI161" s="2"/>
      <c r="BJ161" s="2">
        <v>1</v>
      </c>
      <c r="BK161" s="2">
        <v>2</v>
      </c>
      <c r="BL161" s="2">
        <v>2</v>
      </c>
      <c r="BM161" s="2">
        <v>8</v>
      </c>
      <c r="BN161" s="2">
        <v>8</v>
      </c>
      <c r="BO161" s="2">
        <v>8</v>
      </c>
      <c r="BP161" s="2"/>
      <c r="BQ161" s="2"/>
      <c r="BR161" s="2"/>
      <c r="BS161" s="2"/>
      <c r="BT161" s="2"/>
      <c r="BU161" s="2"/>
      <c r="BV161" s="2"/>
      <c r="BW161" s="2"/>
      <c r="BX161" s="2" t="s">
        <v>191</v>
      </c>
      <c r="BY161" s="2" t="s">
        <v>188</v>
      </c>
      <c r="BZ161" s="2" t="s">
        <v>188</v>
      </c>
      <c r="CA161" s="2" t="s">
        <v>188</v>
      </c>
      <c r="CB161" s="2" t="s">
        <v>188</v>
      </c>
      <c r="CC161" s="2" t="s">
        <v>188</v>
      </c>
      <c r="CD161" s="2" t="s">
        <v>189</v>
      </c>
      <c r="CE161" s="2" t="s">
        <v>189</v>
      </c>
      <c r="CF161" s="2" t="s">
        <v>188</v>
      </c>
      <c r="CG161" s="2" t="s">
        <v>189</v>
      </c>
      <c r="CH161" s="2" t="s">
        <v>190</v>
      </c>
      <c r="CI161" s="2" t="s">
        <v>189</v>
      </c>
      <c r="CJ161" s="2" t="s">
        <v>189</v>
      </c>
      <c r="CK161" s="2" t="s">
        <v>189</v>
      </c>
      <c r="CL161" s="2" t="s">
        <v>189</v>
      </c>
      <c r="CM161" s="2" t="s">
        <v>193</v>
      </c>
      <c r="CN161" s="2" t="s">
        <v>192</v>
      </c>
      <c r="CO161" s="2" t="s">
        <v>193</v>
      </c>
      <c r="CP161" s="2" t="s">
        <v>193</v>
      </c>
      <c r="CQ161" s="2" t="s">
        <v>193</v>
      </c>
      <c r="CR161" s="2" t="s">
        <v>192</v>
      </c>
      <c r="CS161" s="2" t="s">
        <v>192</v>
      </c>
      <c r="CT161" s="2" t="s">
        <v>192</v>
      </c>
      <c r="CU161" s="2" t="s">
        <v>192</v>
      </c>
      <c r="CV161" s="2" t="s">
        <v>193</v>
      </c>
      <c r="CW161" s="2" t="s">
        <v>192</v>
      </c>
      <c r="CX161" s="2"/>
      <c r="CY161" s="2" t="s">
        <v>192</v>
      </c>
      <c r="CZ161" s="2" t="s">
        <v>192</v>
      </c>
      <c r="DA161" s="2" t="s">
        <v>193</v>
      </c>
      <c r="DB161" s="2" t="s">
        <v>192</v>
      </c>
      <c r="DC161" s="2" t="s">
        <v>192</v>
      </c>
      <c r="DD161" s="2" t="s">
        <v>192</v>
      </c>
      <c r="DE161" s="2" t="s">
        <v>192</v>
      </c>
      <c r="DF161" s="2" t="s">
        <v>192</v>
      </c>
      <c r="DG161" s="2" t="s">
        <v>194</v>
      </c>
      <c r="DH161" s="2" t="s">
        <v>194</v>
      </c>
      <c r="DI161" s="2" t="s">
        <v>194</v>
      </c>
      <c r="DJ161" s="2" t="s">
        <v>194</v>
      </c>
      <c r="DK161" s="2" t="s">
        <v>196</v>
      </c>
      <c r="DL161" s="2" t="s">
        <v>194</v>
      </c>
      <c r="DM161" s="2" t="s">
        <v>194</v>
      </c>
      <c r="DN161" s="2" t="s">
        <v>196</v>
      </c>
      <c r="DO161" s="2" t="s">
        <v>196</v>
      </c>
      <c r="DP161" s="2" t="s">
        <v>194</v>
      </c>
      <c r="DQ161" s="2" t="s">
        <v>194</v>
      </c>
      <c r="DR161" s="2" t="s">
        <v>194</v>
      </c>
      <c r="DS161" s="2"/>
      <c r="DT161" s="2"/>
      <c r="DU161" s="2"/>
      <c r="DV161" s="2"/>
      <c r="DW161" s="2"/>
      <c r="DX161" s="2"/>
      <c r="DY161" s="2"/>
      <c r="DZ161" s="2"/>
      <c r="EA161" s="2">
        <v>1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1</v>
      </c>
      <c r="EJ161" s="2">
        <v>0</v>
      </c>
      <c r="EK161" s="2">
        <v>1</v>
      </c>
      <c r="EL161" s="2">
        <v>0</v>
      </c>
      <c r="EM161" s="2">
        <v>1</v>
      </c>
      <c r="EN161" s="2">
        <v>0</v>
      </c>
      <c r="EO161" s="2">
        <v>1</v>
      </c>
      <c r="EP161" s="2">
        <v>0</v>
      </c>
      <c r="EQ161" s="2">
        <v>1</v>
      </c>
      <c r="ER161" s="2">
        <v>0</v>
      </c>
      <c r="ES161" s="2">
        <v>1</v>
      </c>
      <c r="ET161" s="2">
        <v>0</v>
      </c>
      <c r="EU161" s="2">
        <v>1</v>
      </c>
      <c r="EV161" s="2">
        <v>1</v>
      </c>
      <c r="EW161" s="2">
        <v>0</v>
      </c>
      <c r="EX161" s="2">
        <v>0</v>
      </c>
      <c r="EY161" s="2">
        <v>1</v>
      </c>
      <c r="EZ161" s="2">
        <v>1</v>
      </c>
      <c r="FA161" s="2">
        <v>0</v>
      </c>
      <c r="FB161" s="2">
        <v>0</v>
      </c>
      <c r="FC161" s="2">
        <v>1</v>
      </c>
      <c r="FD161" s="2">
        <v>0</v>
      </c>
      <c r="FE161" s="2">
        <v>0</v>
      </c>
      <c r="FF161" s="2">
        <v>1</v>
      </c>
      <c r="FG161" s="2">
        <v>0</v>
      </c>
      <c r="FH161" s="2">
        <v>0</v>
      </c>
      <c r="FI161" s="2">
        <v>1</v>
      </c>
      <c r="FJ161" s="2">
        <v>1</v>
      </c>
      <c r="FK161" s="2">
        <v>0</v>
      </c>
      <c r="FL161" s="2">
        <v>1</v>
      </c>
      <c r="FM161" s="2">
        <v>0</v>
      </c>
      <c r="FN161" s="2">
        <v>0</v>
      </c>
      <c r="FO161" s="2">
        <v>1</v>
      </c>
      <c r="FP161" s="2">
        <v>0</v>
      </c>
      <c r="FQ161" s="2">
        <v>1</v>
      </c>
      <c r="FR161" s="2">
        <v>0</v>
      </c>
      <c r="FS161" s="2">
        <v>1</v>
      </c>
      <c r="FT161" s="2">
        <v>1</v>
      </c>
      <c r="FU161" s="2">
        <v>0</v>
      </c>
      <c r="FV161" s="2">
        <v>1</v>
      </c>
      <c r="FW161" s="2">
        <v>0</v>
      </c>
      <c r="FX161" s="2">
        <v>1</v>
      </c>
      <c r="FY161" s="2">
        <v>1</v>
      </c>
      <c r="FZ161" s="2"/>
      <c r="GA161" s="2">
        <v>2</v>
      </c>
      <c r="GB161" s="2">
        <v>2</v>
      </c>
      <c r="GC161" s="2">
        <v>2</v>
      </c>
      <c r="GD161" s="2">
        <v>2</v>
      </c>
      <c r="GE161" s="2">
        <v>2</v>
      </c>
      <c r="GG161" s="2">
        <v>4</v>
      </c>
      <c r="GH161" s="2">
        <v>4</v>
      </c>
      <c r="GI161" s="2">
        <v>4</v>
      </c>
      <c r="GJ161" s="2">
        <v>4</v>
      </c>
      <c r="GK161" s="2">
        <v>4</v>
      </c>
      <c r="GM161" s="2">
        <f t="shared" si="0"/>
        <v>10</v>
      </c>
      <c r="GN161" s="2">
        <f t="shared" si="1"/>
        <v>20</v>
      </c>
      <c r="GO161" s="2"/>
      <c r="GP161" s="2">
        <v>0</v>
      </c>
      <c r="GQ161" s="2">
        <v>0</v>
      </c>
      <c r="GR161" s="2">
        <v>0</v>
      </c>
      <c r="GS161" s="2">
        <v>1</v>
      </c>
      <c r="GU161" s="2">
        <v>2</v>
      </c>
      <c r="GV161" s="2">
        <v>2</v>
      </c>
      <c r="GW161" s="2">
        <v>1</v>
      </c>
      <c r="GY161" s="2">
        <v>3</v>
      </c>
      <c r="GZ161" s="2">
        <v>0</v>
      </c>
      <c r="HA161" s="2">
        <v>1</v>
      </c>
      <c r="HB161" s="2">
        <v>1</v>
      </c>
      <c r="HD161" s="2">
        <v>1</v>
      </c>
      <c r="HE161" s="2">
        <v>2</v>
      </c>
      <c r="HF161" s="2">
        <v>2</v>
      </c>
      <c r="HH161" s="2">
        <f t="shared" si="2"/>
        <v>6</v>
      </c>
      <c r="HI161" s="2">
        <f t="shared" si="3"/>
        <v>10</v>
      </c>
      <c r="HJ161" s="2"/>
      <c r="HK161" s="2">
        <v>8</v>
      </c>
      <c r="HL161" s="2">
        <v>8</v>
      </c>
      <c r="HM161" s="2"/>
      <c r="HN161" s="2"/>
    </row>
    <row r="162" spans="1:222" ht="15.75" customHeight="1" x14ac:dyDescent="0.2">
      <c r="A162" s="3" t="e">
        <f>VLOOKUP(B162,#REF!,1,FALSE)</f>
        <v>#REF!</v>
      </c>
      <c r="B162" s="3">
        <v>44470.620358657405</v>
      </c>
      <c r="C162" s="2">
        <v>219</v>
      </c>
      <c r="D162" s="2" t="s">
        <v>185</v>
      </c>
      <c r="E162" s="2">
        <v>0</v>
      </c>
      <c r="F162" s="2" t="s">
        <v>186</v>
      </c>
      <c r="G162" s="2">
        <v>2</v>
      </c>
      <c r="H162" s="2">
        <v>0.5</v>
      </c>
      <c r="I162" s="2">
        <v>1</v>
      </c>
      <c r="J162" s="2">
        <v>2</v>
      </c>
      <c r="K162" s="2">
        <v>0</v>
      </c>
      <c r="L162" s="2">
        <v>2</v>
      </c>
      <c r="M162" s="2" t="s">
        <v>187</v>
      </c>
      <c r="N162" s="2">
        <v>2</v>
      </c>
      <c r="O162" s="2">
        <v>4</v>
      </c>
      <c r="P162" s="2">
        <v>0</v>
      </c>
      <c r="Q162" s="2" t="s">
        <v>426</v>
      </c>
      <c r="R162" s="2">
        <v>3</v>
      </c>
      <c r="S162" s="2">
        <v>1</v>
      </c>
      <c r="T162" s="2">
        <v>1</v>
      </c>
      <c r="U162" s="2">
        <v>1</v>
      </c>
      <c r="V162" s="2">
        <v>0</v>
      </c>
      <c r="W162" s="2">
        <v>1</v>
      </c>
      <c r="X162" s="2"/>
      <c r="Y162" s="2">
        <v>1</v>
      </c>
      <c r="Z162" s="2">
        <v>-1</v>
      </c>
      <c r="AA162" s="2">
        <v>1</v>
      </c>
      <c r="AB162" s="2">
        <v>4</v>
      </c>
      <c r="AC162" s="2">
        <v>1</v>
      </c>
      <c r="AD162" s="2">
        <v>1</v>
      </c>
      <c r="AE162" s="2">
        <v>2</v>
      </c>
      <c r="AF162" s="2">
        <v>0</v>
      </c>
      <c r="AG162" s="2">
        <v>-1</v>
      </c>
      <c r="AH162" s="2">
        <v>-1</v>
      </c>
      <c r="AI162" s="2">
        <v>-1</v>
      </c>
      <c r="AJ162" s="2">
        <v>1</v>
      </c>
      <c r="AK162" s="2">
        <v>-1</v>
      </c>
      <c r="AL162" s="2">
        <v>-1</v>
      </c>
      <c r="AM162" s="2">
        <v>3</v>
      </c>
      <c r="AN162" s="2">
        <v>3</v>
      </c>
      <c r="AO162" s="2">
        <v>3</v>
      </c>
      <c r="AP162" s="2">
        <v>3</v>
      </c>
      <c r="AQ162" s="2">
        <v>4</v>
      </c>
      <c r="AR162" s="2">
        <v>0</v>
      </c>
      <c r="AS162" s="2">
        <v>0</v>
      </c>
      <c r="AT162" s="2">
        <v>2</v>
      </c>
      <c r="AU162" s="2">
        <v>1</v>
      </c>
      <c r="AV162" s="2"/>
      <c r="AW162" s="2">
        <v>2</v>
      </c>
      <c r="AX162" s="2">
        <v>3</v>
      </c>
      <c r="AY162" s="2">
        <v>0</v>
      </c>
      <c r="AZ162" s="2">
        <v>2</v>
      </c>
      <c r="BA162" s="2">
        <v>2</v>
      </c>
      <c r="BB162" s="2">
        <v>2</v>
      </c>
      <c r="BC162" s="2">
        <v>1</v>
      </c>
      <c r="BD162" s="2">
        <v>0</v>
      </c>
      <c r="BE162" s="2">
        <v>0</v>
      </c>
      <c r="BF162" s="2">
        <v>0</v>
      </c>
      <c r="BG162" s="2">
        <v>0</v>
      </c>
      <c r="BH162" s="2">
        <v>1</v>
      </c>
      <c r="BI162" s="2"/>
      <c r="BJ162" s="2">
        <v>3</v>
      </c>
      <c r="BK162" s="2">
        <v>3</v>
      </c>
      <c r="BL162" s="2">
        <v>0</v>
      </c>
      <c r="BM162" s="2">
        <v>8</v>
      </c>
      <c r="BN162" s="2">
        <v>8</v>
      </c>
      <c r="BO162" s="2">
        <v>7</v>
      </c>
      <c r="BP162" s="2" t="s">
        <v>608</v>
      </c>
      <c r="BQ162" s="2"/>
      <c r="BR162" s="2"/>
      <c r="BS162" s="2"/>
      <c r="BT162" s="2" t="s">
        <v>258</v>
      </c>
      <c r="BU162" s="2" t="s">
        <v>258</v>
      </c>
      <c r="BV162" s="2" t="s">
        <v>609</v>
      </c>
      <c r="BW162" s="2" t="s">
        <v>610</v>
      </c>
      <c r="BX162" s="2" t="s">
        <v>188</v>
      </c>
      <c r="BY162" s="2" t="s">
        <v>188</v>
      </c>
      <c r="BZ162" s="2" t="s">
        <v>188</v>
      </c>
      <c r="CA162" s="2" t="s">
        <v>188</v>
      </c>
      <c r="CB162" s="2" t="s">
        <v>188</v>
      </c>
      <c r="CC162" s="2" t="s">
        <v>188</v>
      </c>
      <c r="CD162" s="2" t="s">
        <v>190</v>
      </c>
      <c r="CE162" s="2" t="s">
        <v>190</v>
      </c>
      <c r="CF162" s="2" t="s">
        <v>191</v>
      </c>
      <c r="CG162" s="2" t="s">
        <v>190</v>
      </c>
      <c r="CH162" s="2" t="s">
        <v>188</v>
      </c>
      <c r="CI162" s="2" t="s">
        <v>190</v>
      </c>
      <c r="CJ162" s="2" t="s">
        <v>190</v>
      </c>
      <c r="CK162" s="2" t="s">
        <v>188</v>
      </c>
      <c r="CL162" s="2" t="s">
        <v>190</v>
      </c>
      <c r="CM162" s="2" t="s">
        <v>200</v>
      </c>
      <c r="CN162" s="2" t="s">
        <v>192</v>
      </c>
      <c r="CO162" s="2" t="s">
        <v>193</v>
      </c>
      <c r="CP162" s="2" t="s">
        <v>200</v>
      </c>
      <c r="CQ162" s="2" t="s">
        <v>193</v>
      </c>
      <c r="CR162" s="2" t="s">
        <v>193</v>
      </c>
      <c r="CS162" s="2" t="s">
        <v>193</v>
      </c>
      <c r="CT162" s="2" t="s">
        <v>193</v>
      </c>
      <c r="CU162" s="2" t="s">
        <v>192</v>
      </c>
      <c r="CV162" s="2" t="s">
        <v>192</v>
      </c>
      <c r="CW162" s="2" t="s">
        <v>200</v>
      </c>
      <c r="CX162" s="2" t="s">
        <v>193</v>
      </c>
      <c r="CY162" s="2" t="s">
        <v>192</v>
      </c>
      <c r="CZ162" s="2" t="s">
        <v>193</v>
      </c>
      <c r="DA162" s="2" t="s">
        <v>193</v>
      </c>
      <c r="DB162" s="2" t="s">
        <v>192</v>
      </c>
      <c r="DC162" s="2" t="s">
        <v>192</v>
      </c>
      <c r="DD162" s="2" t="s">
        <v>193</v>
      </c>
      <c r="DE162" s="2" t="s">
        <v>193</v>
      </c>
      <c r="DF162" s="2" t="s">
        <v>200</v>
      </c>
      <c r="DG162" s="2" t="s">
        <v>196</v>
      </c>
      <c r="DH162" s="2" t="s">
        <v>195</v>
      </c>
      <c r="DI162" s="2" t="s">
        <v>195</v>
      </c>
      <c r="DJ162" s="2" t="s">
        <v>195</v>
      </c>
      <c r="DK162" s="2" t="s">
        <v>194</v>
      </c>
      <c r="DL162" s="2" t="s">
        <v>194</v>
      </c>
      <c r="DM162" s="2" t="s">
        <v>194</v>
      </c>
      <c r="DN162" s="2" t="s">
        <v>194</v>
      </c>
      <c r="DO162" s="2" t="s">
        <v>194</v>
      </c>
      <c r="DP162" s="2" t="s">
        <v>195</v>
      </c>
      <c r="DQ162" s="2" t="s">
        <v>194</v>
      </c>
      <c r="DR162" s="2" t="s">
        <v>194</v>
      </c>
      <c r="DS162" s="2" t="s">
        <v>197</v>
      </c>
      <c r="DT162" s="2" t="s">
        <v>197</v>
      </c>
      <c r="DU162" s="2" t="s">
        <v>198</v>
      </c>
      <c r="DV162" s="2" t="s">
        <v>197</v>
      </c>
      <c r="DW162" s="2" t="s">
        <v>199</v>
      </c>
      <c r="DX162" s="2" t="s">
        <v>197</v>
      </c>
      <c r="DY162" s="2" t="s">
        <v>197</v>
      </c>
      <c r="DZ162" s="2"/>
      <c r="EA162" s="2">
        <v>0</v>
      </c>
      <c r="EB162" s="2">
        <v>0</v>
      </c>
      <c r="EC162" s="2">
        <v>0</v>
      </c>
      <c r="ED162" s="2">
        <v>0</v>
      </c>
      <c r="EE162" s="2">
        <v>1</v>
      </c>
      <c r="EF162" s="2">
        <v>0</v>
      </c>
      <c r="EG162" s="2">
        <v>0</v>
      </c>
      <c r="EH162" s="2">
        <v>0</v>
      </c>
      <c r="EI162" s="2">
        <v>1</v>
      </c>
      <c r="EJ162" s="2">
        <v>1</v>
      </c>
      <c r="EK162" s="2">
        <v>0</v>
      </c>
      <c r="EL162" s="2">
        <v>1</v>
      </c>
      <c r="EM162" s="2">
        <v>0</v>
      </c>
      <c r="EN162" s="2">
        <v>1</v>
      </c>
      <c r="EO162" s="2">
        <v>0</v>
      </c>
      <c r="EP162" s="2">
        <v>0</v>
      </c>
      <c r="EQ162" s="2">
        <v>1</v>
      </c>
      <c r="ER162" s="2">
        <v>0</v>
      </c>
      <c r="ES162" s="2">
        <v>1</v>
      </c>
      <c r="ET162" s="2">
        <v>0</v>
      </c>
      <c r="EU162" s="2">
        <v>1</v>
      </c>
      <c r="EV162" s="2">
        <v>1</v>
      </c>
      <c r="EW162" s="2">
        <v>0</v>
      </c>
      <c r="EX162" s="2">
        <v>0</v>
      </c>
      <c r="EY162" s="2">
        <v>1</v>
      </c>
      <c r="EZ162" s="2">
        <v>1</v>
      </c>
      <c r="FA162" s="2">
        <v>0</v>
      </c>
      <c r="FB162" s="2">
        <v>0</v>
      </c>
      <c r="FC162" s="2">
        <v>1</v>
      </c>
      <c r="FD162" s="2">
        <v>0</v>
      </c>
      <c r="FE162" s="2">
        <v>0</v>
      </c>
      <c r="FF162" s="2">
        <v>0</v>
      </c>
      <c r="FG162" s="2">
        <v>1</v>
      </c>
      <c r="FH162" s="2">
        <v>1</v>
      </c>
      <c r="FI162" s="2">
        <v>0</v>
      </c>
      <c r="FJ162" s="2">
        <v>1</v>
      </c>
      <c r="FK162" s="2">
        <v>0</v>
      </c>
      <c r="FL162" s="2">
        <v>1</v>
      </c>
      <c r="FM162" s="2">
        <v>0</v>
      </c>
      <c r="FN162" s="2">
        <v>1</v>
      </c>
      <c r="FO162" s="2">
        <v>0</v>
      </c>
      <c r="FP162" s="2">
        <v>0</v>
      </c>
      <c r="FQ162" s="2">
        <v>1</v>
      </c>
      <c r="FR162" s="2">
        <v>0</v>
      </c>
      <c r="FS162" s="2">
        <v>1</v>
      </c>
      <c r="FT162" s="2">
        <v>0</v>
      </c>
      <c r="FU162" s="2">
        <v>1</v>
      </c>
      <c r="FV162" s="2">
        <v>0</v>
      </c>
      <c r="FW162" s="2">
        <v>1</v>
      </c>
      <c r="FX162" s="2">
        <v>0</v>
      </c>
      <c r="FY162" s="2">
        <v>1</v>
      </c>
      <c r="FZ162" s="2"/>
      <c r="GA162" s="2">
        <v>3</v>
      </c>
      <c r="GB162" s="2">
        <v>3</v>
      </c>
      <c r="GC162" s="2">
        <v>3</v>
      </c>
      <c r="GD162" s="2">
        <v>3</v>
      </c>
      <c r="GE162" s="2">
        <v>4</v>
      </c>
      <c r="GG162" s="2">
        <v>2</v>
      </c>
      <c r="GH162" s="2">
        <v>2</v>
      </c>
      <c r="GI162" s="2">
        <v>2</v>
      </c>
      <c r="GJ162" s="2">
        <v>1</v>
      </c>
      <c r="GK162" s="2">
        <v>0</v>
      </c>
      <c r="GM162" s="2">
        <f t="shared" si="0"/>
        <v>16</v>
      </c>
      <c r="GN162" s="2">
        <f t="shared" si="1"/>
        <v>7</v>
      </c>
      <c r="GO162" s="2"/>
      <c r="GP162" s="2">
        <v>0</v>
      </c>
      <c r="GQ162" s="2">
        <v>0</v>
      </c>
      <c r="GR162" s="2">
        <v>2</v>
      </c>
      <c r="GS162" s="2">
        <v>1</v>
      </c>
      <c r="GU162" s="2">
        <v>2</v>
      </c>
      <c r="GV162" s="2">
        <v>3</v>
      </c>
      <c r="GW162" s="2">
        <v>0</v>
      </c>
      <c r="GY162" s="2">
        <v>0</v>
      </c>
      <c r="GZ162" s="2">
        <v>0</v>
      </c>
      <c r="HA162" s="2">
        <v>0</v>
      </c>
      <c r="HB162" s="2">
        <v>1</v>
      </c>
      <c r="HD162" s="2">
        <v>3</v>
      </c>
      <c r="HE162" s="2">
        <v>3</v>
      </c>
      <c r="HF162" s="2">
        <v>0</v>
      </c>
      <c r="HH162" s="2">
        <f t="shared" si="2"/>
        <v>8</v>
      </c>
      <c r="HI162" s="2">
        <f t="shared" si="3"/>
        <v>7</v>
      </c>
      <c r="HJ162" s="2"/>
      <c r="HK162" s="2">
        <v>8</v>
      </c>
      <c r="HL162" s="2">
        <v>7</v>
      </c>
      <c r="HM162" s="2"/>
      <c r="HN162" s="2"/>
    </row>
    <row r="163" spans="1:222" ht="15.75" customHeight="1" x14ac:dyDescent="0.2">
      <c r="A163" s="3" t="e">
        <f>VLOOKUP(B163,#REF!,1,FALSE)</f>
        <v>#REF!</v>
      </c>
      <c r="B163" s="3">
        <v>44470.626553090275</v>
      </c>
      <c r="C163" s="2">
        <v>220</v>
      </c>
      <c r="D163" s="2" t="s">
        <v>185</v>
      </c>
      <c r="E163" s="2">
        <v>0</v>
      </c>
      <c r="F163" s="2" t="s">
        <v>611</v>
      </c>
      <c r="G163" s="2">
        <v>15</v>
      </c>
      <c r="H163" s="2">
        <v>2</v>
      </c>
      <c r="I163" s="2">
        <v>1</v>
      </c>
      <c r="J163" s="2">
        <v>5</v>
      </c>
      <c r="K163" s="2">
        <v>0</v>
      </c>
      <c r="L163" s="2">
        <v>6</v>
      </c>
      <c r="M163" s="2" t="s">
        <v>213</v>
      </c>
      <c r="N163" s="2">
        <v>4</v>
      </c>
      <c r="O163" s="2">
        <v>3</v>
      </c>
      <c r="P163" s="2">
        <v>0</v>
      </c>
      <c r="Q163" s="2" t="s">
        <v>266</v>
      </c>
      <c r="R163" s="2">
        <v>3</v>
      </c>
      <c r="S163" s="2">
        <v>1</v>
      </c>
      <c r="T163" s="2">
        <v>1</v>
      </c>
      <c r="U163" s="2">
        <v>1</v>
      </c>
      <c r="V163" s="2">
        <v>0</v>
      </c>
      <c r="W163" s="2">
        <v>1</v>
      </c>
      <c r="X163" s="2"/>
      <c r="Y163" s="2">
        <v>-1</v>
      </c>
      <c r="Z163" s="2">
        <v>1</v>
      </c>
      <c r="AA163" s="2">
        <v>1</v>
      </c>
      <c r="AB163" s="2">
        <v>4</v>
      </c>
      <c r="AC163" s="2">
        <v>2</v>
      </c>
      <c r="AD163" s="2">
        <v>2</v>
      </c>
      <c r="AE163" s="2">
        <v>4</v>
      </c>
      <c r="AF163" s="2">
        <v>2</v>
      </c>
      <c r="AG163" s="2">
        <v>1</v>
      </c>
      <c r="AH163" s="2">
        <v>2</v>
      </c>
      <c r="AI163" s="2">
        <v>1</v>
      </c>
      <c r="AJ163" s="2">
        <v>2</v>
      </c>
      <c r="AK163" s="2">
        <v>2</v>
      </c>
      <c r="AL163" s="2">
        <v>1</v>
      </c>
      <c r="AM163" s="2">
        <v>4</v>
      </c>
      <c r="AN163" s="2">
        <v>4</v>
      </c>
      <c r="AO163" s="2">
        <v>4</v>
      </c>
      <c r="AP163" s="2">
        <v>3</v>
      </c>
      <c r="AQ163" s="2">
        <v>4</v>
      </c>
      <c r="AR163" s="2">
        <v>4</v>
      </c>
      <c r="AS163" s="2">
        <v>0</v>
      </c>
      <c r="AT163" s="2">
        <v>0</v>
      </c>
      <c r="AU163" s="2">
        <v>1</v>
      </c>
      <c r="AV163" s="2"/>
      <c r="AW163" s="2">
        <v>1</v>
      </c>
      <c r="AX163" s="2">
        <v>2</v>
      </c>
      <c r="AY163" s="2">
        <v>2</v>
      </c>
      <c r="AZ163" s="2">
        <v>4</v>
      </c>
      <c r="BA163" s="2">
        <v>4</v>
      </c>
      <c r="BB163" s="2">
        <v>3</v>
      </c>
      <c r="BC163" s="2">
        <v>4</v>
      </c>
      <c r="BD163" s="2">
        <v>3</v>
      </c>
      <c r="BE163" s="2">
        <v>4</v>
      </c>
      <c r="BF163" s="2">
        <v>0</v>
      </c>
      <c r="BG163" s="2">
        <v>0</v>
      </c>
      <c r="BH163" s="2">
        <v>1</v>
      </c>
      <c r="BI163" s="2"/>
      <c r="BJ163" s="2">
        <v>1</v>
      </c>
      <c r="BK163" s="2">
        <v>1</v>
      </c>
      <c r="BL163" s="2">
        <v>2</v>
      </c>
      <c r="BM163" s="2">
        <v>8</v>
      </c>
      <c r="BN163" s="2">
        <v>9</v>
      </c>
      <c r="BO163" s="2">
        <v>8</v>
      </c>
      <c r="BP163" s="2" t="s">
        <v>612</v>
      </c>
      <c r="BQ163" s="2" t="s">
        <v>224</v>
      </c>
      <c r="BR163" s="2" t="s">
        <v>224</v>
      </c>
      <c r="BS163" s="2" t="s">
        <v>224</v>
      </c>
      <c r="BT163" s="2" t="s">
        <v>224</v>
      </c>
      <c r="BU163" s="2" t="s">
        <v>224</v>
      </c>
      <c r="BV163" s="2" t="s">
        <v>613</v>
      </c>
      <c r="BW163" s="2" t="s">
        <v>614</v>
      </c>
      <c r="BX163" s="2" t="s">
        <v>188</v>
      </c>
      <c r="BY163" s="2" t="s">
        <v>188</v>
      </c>
      <c r="BZ163" s="2" t="s">
        <v>188</v>
      </c>
      <c r="CA163" s="2" t="s">
        <v>190</v>
      </c>
      <c r="CB163" s="2" t="s">
        <v>188</v>
      </c>
      <c r="CC163" s="2" t="s">
        <v>188</v>
      </c>
      <c r="CD163" s="2" t="s">
        <v>189</v>
      </c>
      <c r="CE163" s="2" t="s">
        <v>190</v>
      </c>
      <c r="CF163" s="2" t="s">
        <v>189</v>
      </c>
      <c r="CG163" s="2" t="s">
        <v>190</v>
      </c>
      <c r="CH163" s="2" t="s">
        <v>190</v>
      </c>
      <c r="CI163" s="2" t="s">
        <v>190</v>
      </c>
      <c r="CJ163" s="2" t="s">
        <v>190</v>
      </c>
      <c r="CK163" s="2" t="s">
        <v>190</v>
      </c>
      <c r="CL163" s="2" t="s">
        <v>190</v>
      </c>
      <c r="CM163" s="2" t="s">
        <v>193</v>
      </c>
      <c r="CN163" s="2" t="s">
        <v>193</v>
      </c>
      <c r="CO163" s="2" t="s">
        <v>193</v>
      </c>
      <c r="CP163" s="2" t="s">
        <v>193</v>
      </c>
      <c r="CQ163" s="2" t="s">
        <v>193</v>
      </c>
      <c r="CR163" s="2" t="s">
        <v>193</v>
      </c>
      <c r="CS163" s="2" t="s">
        <v>200</v>
      </c>
      <c r="CT163" s="2" t="s">
        <v>200</v>
      </c>
      <c r="CU163" s="2" t="s">
        <v>192</v>
      </c>
      <c r="CV163" s="2" t="s">
        <v>193</v>
      </c>
      <c r="CW163" s="2" t="s">
        <v>192</v>
      </c>
      <c r="CX163" s="2" t="s">
        <v>193</v>
      </c>
      <c r="CY163" s="2" t="s">
        <v>193</v>
      </c>
      <c r="CZ163" s="2" t="s">
        <v>193</v>
      </c>
      <c r="DA163" s="2" t="s">
        <v>200</v>
      </c>
      <c r="DB163" s="2" t="s">
        <v>192</v>
      </c>
      <c r="DC163" s="2" t="s">
        <v>192</v>
      </c>
      <c r="DD163" s="2" t="s">
        <v>193</v>
      </c>
      <c r="DE163" s="2" t="s">
        <v>192</v>
      </c>
      <c r="DF163" s="2" t="s">
        <v>193</v>
      </c>
      <c r="DG163" s="2" t="s">
        <v>195</v>
      </c>
      <c r="DH163" s="2" t="s">
        <v>201</v>
      </c>
      <c r="DI163" s="2" t="s">
        <v>195</v>
      </c>
      <c r="DJ163" s="2" t="s">
        <v>201</v>
      </c>
      <c r="DK163" s="2" t="s">
        <v>194</v>
      </c>
      <c r="DL163" s="2" t="s">
        <v>195</v>
      </c>
      <c r="DM163" s="2" t="s">
        <v>195</v>
      </c>
      <c r="DN163" s="2" t="s">
        <v>220</v>
      </c>
      <c r="DO163" s="2" t="s">
        <v>220</v>
      </c>
      <c r="DP163" s="2" t="s">
        <v>194</v>
      </c>
      <c r="DQ163" s="2" t="s">
        <v>195</v>
      </c>
      <c r="DR163" s="2" t="s">
        <v>195</v>
      </c>
      <c r="DS163" s="2" t="s">
        <v>197</v>
      </c>
      <c r="DT163" s="2" t="s">
        <v>198</v>
      </c>
      <c r="DU163" s="2" t="s">
        <v>197</v>
      </c>
      <c r="DV163" s="2" t="s">
        <v>197</v>
      </c>
      <c r="DW163" s="2" t="s">
        <v>198</v>
      </c>
      <c r="DX163" s="2" t="s">
        <v>199</v>
      </c>
      <c r="DY163" s="2" t="s">
        <v>197</v>
      </c>
      <c r="DZ163" s="2"/>
      <c r="EA163" s="2">
        <v>1</v>
      </c>
      <c r="EB163" s="2">
        <v>1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1</v>
      </c>
      <c r="EI163" s="2">
        <v>1</v>
      </c>
      <c r="EJ163" s="2">
        <v>1</v>
      </c>
      <c r="EK163" s="2">
        <v>1</v>
      </c>
      <c r="EL163" s="2">
        <v>1</v>
      </c>
      <c r="EM163" s="2">
        <v>1</v>
      </c>
      <c r="EN163" s="2">
        <v>1</v>
      </c>
      <c r="EO163" s="2">
        <v>0</v>
      </c>
      <c r="EP163" s="2">
        <v>1</v>
      </c>
      <c r="EQ163" s="2">
        <v>1</v>
      </c>
      <c r="ER163" s="2">
        <v>1</v>
      </c>
      <c r="ES163" s="2">
        <v>1</v>
      </c>
      <c r="ET163" s="2">
        <v>1</v>
      </c>
      <c r="EU163" s="2">
        <v>1</v>
      </c>
      <c r="EV163" s="2">
        <v>1</v>
      </c>
      <c r="EW163" s="2">
        <v>1</v>
      </c>
      <c r="EX163" s="2">
        <v>1</v>
      </c>
      <c r="EY163" s="2">
        <v>1</v>
      </c>
      <c r="EZ163" s="2">
        <v>0</v>
      </c>
      <c r="FA163" s="2">
        <v>0</v>
      </c>
      <c r="FB163" s="2">
        <v>1</v>
      </c>
      <c r="FC163" s="2">
        <v>1</v>
      </c>
      <c r="FD163" s="2">
        <v>0</v>
      </c>
      <c r="FE163" s="2">
        <v>0</v>
      </c>
      <c r="FF163" s="2">
        <v>0</v>
      </c>
      <c r="FG163" s="2">
        <v>0</v>
      </c>
      <c r="FH163" s="2">
        <v>1</v>
      </c>
      <c r="FI163" s="2">
        <v>1</v>
      </c>
      <c r="FJ163" s="2">
        <v>0</v>
      </c>
      <c r="FK163" s="2">
        <v>0</v>
      </c>
      <c r="FL163" s="2">
        <v>0</v>
      </c>
      <c r="FM163" s="2">
        <v>0</v>
      </c>
      <c r="FN163" s="2">
        <v>1</v>
      </c>
      <c r="FO163" s="2">
        <v>0</v>
      </c>
      <c r="FP163" s="2">
        <v>1</v>
      </c>
      <c r="FQ163" s="2">
        <v>1</v>
      </c>
      <c r="FR163" s="2">
        <v>1</v>
      </c>
      <c r="FS163" s="2">
        <v>1</v>
      </c>
      <c r="FT163" s="2">
        <v>1</v>
      </c>
      <c r="FU163" s="2">
        <v>1</v>
      </c>
      <c r="FV163" s="2">
        <v>1</v>
      </c>
      <c r="FW163" s="2">
        <v>1</v>
      </c>
      <c r="FX163" s="2">
        <v>1</v>
      </c>
      <c r="FY163" s="2">
        <v>1</v>
      </c>
      <c r="FZ163" s="2"/>
      <c r="GA163" s="2">
        <v>4</v>
      </c>
      <c r="GB163" s="2">
        <v>4</v>
      </c>
      <c r="GC163" s="2">
        <v>4</v>
      </c>
      <c r="GD163" s="2">
        <v>3</v>
      </c>
      <c r="GE163" s="2">
        <v>4</v>
      </c>
      <c r="GG163" s="2">
        <v>4</v>
      </c>
      <c r="GH163" s="2">
        <v>4</v>
      </c>
      <c r="GI163" s="2">
        <v>3</v>
      </c>
      <c r="GJ163" s="2">
        <v>4</v>
      </c>
      <c r="GK163" s="2">
        <v>3</v>
      </c>
      <c r="GM163" s="2">
        <f t="shared" si="0"/>
        <v>19</v>
      </c>
      <c r="GN163" s="2">
        <f t="shared" si="1"/>
        <v>18</v>
      </c>
      <c r="GO163" s="2"/>
      <c r="GP163" s="2">
        <v>4</v>
      </c>
      <c r="GQ163" s="2">
        <v>0</v>
      </c>
      <c r="GR163" s="2">
        <v>0</v>
      </c>
      <c r="GS163" s="2">
        <v>1</v>
      </c>
      <c r="GU163" s="2">
        <v>1</v>
      </c>
      <c r="GV163" s="2">
        <v>2</v>
      </c>
      <c r="GW163" s="2">
        <v>2</v>
      </c>
      <c r="GY163" s="2">
        <v>4</v>
      </c>
      <c r="GZ163" s="2">
        <v>0</v>
      </c>
      <c r="HA163" s="2">
        <v>0</v>
      </c>
      <c r="HB163" s="2">
        <v>1</v>
      </c>
      <c r="HD163" s="2">
        <v>1</v>
      </c>
      <c r="HE163" s="2">
        <v>1</v>
      </c>
      <c r="HF163" s="2">
        <v>2</v>
      </c>
      <c r="HH163" s="2">
        <f t="shared" si="2"/>
        <v>10</v>
      </c>
      <c r="HI163" s="2">
        <f t="shared" si="3"/>
        <v>9</v>
      </c>
      <c r="HJ163" s="2"/>
      <c r="HK163" s="2">
        <v>9</v>
      </c>
      <c r="HL163" s="2">
        <v>8</v>
      </c>
      <c r="HM163" s="2"/>
      <c r="HN163" s="2"/>
    </row>
    <row r="164" spans="1:222" ht="15.75" customHeight="1" x14ac:dyDescent="0.2">
      <c r="A164" s="3" t="e">
        <f>VLOOKUP(B164,#REF!,1,FALSE)</f>
        <v>#REF!</v>
      </c>
      <c r="B164" s="3">
        <v>44471.011710011575</v>
      </c>
      <c r="C164" s="2">
        <v>221</v>
      </c>
      <c r="D164" s="2" t="s">
        <v>185</v>
      </c>
      <c r="E164" s="2">
        <v>0</v>
      </c>
      <c r="F164" s="2" t="s">
        <v>605</v>
      </c>
      <c r="G164" s="2">
        <v>15</v>
      </c>
      <c r="H164" s="2">
        <v>2</v>
      </c>
      <c r="I164" s="2">
        <v>1</v>
      </c>
      <c r="J164" s="2">
        <v>3</v>
      </c>
      <c r="K164" s="2">
        <v>0</v>
      </c>
      <c r="L164" s="2">
        <v>5</v>
      </c>
      <c r="M164" s="2" t="s">
        <v>187</v>
      </c>
      <c r="N164" s="2">
        <v>3</v>
      </c>
      <c r="O164" s="2">
        <v>3</v>
      </c>
      <c r="P164" s="2">
        <v>0</v>
      </c>
      <c r="Q164" s="2">
        <v>3</v>
      </c>
      <c r="R164" s="2">
        <v>3</v>
      </c>
      <c r="S164" s="2">
        <v>-1</v>
      </c>
      <c r="T164" s="2">
        <v>-1</v>
      </c>
      <c r="U164" s="2">
        <v>-1</v>
      </c>
      <c r="V164" s="2">
        <v>0</v>
      </c>
      <c r="W164" s="2">
        <v>0</v>
      </c>
      <c r="X164" s="2"/>
      <c r="Y164" s="2">
        <v>0</v>
      </c>
      <c r="Z164" s="2">
        <v>0</v>
      </c>
      <c r="AA164" s="2">
        <v>1</v>
      </c>
      <c r="AB164" s="2">
        <v>2</v>
      </c>
      <c r="AC164" s="2">
        <v>1</v>
      </c>
      <c r="AD164" s="2">
        <v>1</v>
      </c>
      <c r="AE164" s="2">
        <v>1</v>
      </c>
      <c r="AF164" s="2">
        <v>2</v>
      </c>
      <c r="AG164" s="2">
        <v>1</v>
      </c>
      <c r="AH164" s="2">
        <v>1</v>
      </c>
      <c r="AI164" s="2">
        <v>1</v>
      </c>
      <c r="AJ164" s="2">
        <v>1</v>
      </c>
      <c r="AK164" s="2">
        <v>1</v>
      </c>
      <c r="AL164" s="2">
        <v>1</v>
      </c>
      <c r="AM164" s="2">
        <v>4</v>
      </c>
      <c r="AN164" s="2">
        <v>4</v>
      </c>
      <c r="AO164" s="2">
        <v>4</v>
      </c>
      <c r="AP164" s="2">
        <v>3</v>
      </c>
      <c r="AQ164" s="2">
        <v>3</v>
      </c>
      <c r="AR164" s="2"/>
      <c r="AS164" s="2"/>
      <c r="AT164" s="2"/>
      <c r="AU164" s="2"/>
      <c r="AV164" s="2"/>
      <c r="AW164" s="2"/>
      <c r="AX164" s="2"/>
      <c r="AY164" s="2">
        <v>0</v>
      </c>
      <c r="AZ164" s="2">
        <v>2</v>
      </c>
      <c r="BA164" s="2">
        <v>3</v>
      </c>
      <c r="BB164" s="2">
        <v>2</v>
      </c>
      <c r="BC164" s="2">
        <v>3</v>
      </c>
      <c r="BD164" s="2">
        <v>3</v>
      </c>
      <c r="BE164" s="2">
        <v>2</v>
      </c>
      <c r="BF164" s="2">
        <v>2</v>
      </c>
      <c r="BG164" s="2">
        <v>2</v>
      </c>
      <c r="BH164" s="2">
        <v>2</v>
      </c>
      <c r="BI164" s="2"/>
      <c r="BJ164" s="2">
        <v>2</v>
      </c>
      <c r="BK164" s="2">
        <v>2</v>
      </c>
      <c r="BL164" s="2">
        <v>0</v>
      </c>
      <c r="BM164" s="2">
        <v>7</v>
      </c>
      <c r="BN164" s="2">
        <v>7</v>
      </c>
      <c r="BO164" s="2">
        <v>7</v>
      </c>
      <c r="BP164" s="2"/>
      <c r="BQ164" s="2"/>
      <c r="BR164" s="2"/>
      <c r="BS164" s="2"/>
      <c r="BT164" s="2"/>
      <c r="BU164" s="2"/>
      <c r="BV164" s="2"/>
      <c r="BW164" s="2"/>
      <c r="BX164" s="2" t="s">
        <v>191</v>
      </c>
      <c r="BY164" s="2" t="s">
        <v>188</v>
      </c>
      <c r="BZ164" s="2" t="s">
        <v>191</v>
      </c>
      <c r="CA164" s="2" t="s">
        <v>191</v>
      </c>
      <c r="CB164" s="2" t="s">
        <v>191</v>
      </c>
      <c r="CC164" s="2" t="s">
        <v>191</v>
      </c>
      <c r="CD164" s="2" t="s">
        <v>189</v>
      </c>
      <c r="CE164" s="2" t="s">
        <v>191</v>
      </c>
      <c r="CF164" s="2" t="s">
        <v>188</v>
      </c>
      <c r="CG164" s="2" t="s">
        <v>190</v>
      </c>
      <c r="CH164" s="2" t="s">
        <v>191</v>
      </c>
      <c r="CI164" s="2" t="s">
        <v>190</v>
      </c>
      <c r="CJ164" s="2" t="s">
        <v>190</v>
      </c>
      <c r="CK164" s="2" t="s">
        <v>190</v>
      </c>
      <c r="CL164" s="2" t="s">
        <v>190</v>
      </c>
      <c r="CM164" s="2" t="s">
        <v>192</v>
      </c>
      <c r="CN164" s="2" t="s">
        <v>192</v>
      </c>
      <c r="CO164" s="2" t="s">
        <v>200</v>
      </c>
      <c r="CP164" s="2" t="s">
        <v>193</v>
      </c>
      <c r="CQ164" s="2" t="s">
        <v>192</v>
      </c>
      <c r="CR164" s="2" t="s">
        <v>193</v>
      </c>
      <c r="CS164" s="2" t="s">
        <v>193</v>
      </c>
      <c r="CT164" s="2" t="s">
        <v>193</v>
      </c>
      <c r="CU164" s="2" t="s">
        <v>193</v>
      </c>
      <c r="CV164" s="2" t="s">
        <v>193</v>
      </c>
      <c r="CW164" s="2" t="s">
        <v>193</v>
      </c>
      <c r="CX164" s="2" t="s">
        <v>200</v>
      </c>
      <c r="CY164" s="2" t="s">
        <v>200</v>
      </c>
      <c r="CZ164" s="2" t="s">
        <v>193</v>
      </c>
      <c r="DA164" s="2" t="s">
        <v>200</v>
      </c>
      <c r="DB164" s="2" t="s">
        <v>193</v>
      </c>
      <c r="DC164" s="2" t="s">
        <v>192</v>
      </c>
      <c r="DD164" s="2" t="s">
        <v>193</v>
      </c>
      <c r="DE164" s="2" t="s">
        <v>193</v>
      </c>
      <c r="DF164" s="2" t="s">
        <v>192</v>
      </c>
      <c r="DG164" s="2" t="s">
        <v>195</v>
      </c>
      <c r="DH164" s="2" t="s">
        <v>195</v>
      </c>
      <c r="DI164" s="2" t="s">
        <v>195</v>
      </c>
      <c r="DJ164" s="2" t="s">
        <v>195</v>
      </c>
      <c r="DK164" s="2" t="s">
        <v>194</v>
      </c>
      <c r="DL164" s="2" t="s">
        <v>195</v>
      </c>
      <c r="DM164" s="2" t="s">
        <v>195</v>
      </c>
      <c r="DN164" s="2" t="s">
        <v>194</v>
      </c>
      <c r="DO164" s="2" t="s">
        <v>195</v>
      </c>
      <c r="DP164" s="2" t="s">
        <v>195</v>
      </c>
      <c r="DQ164" s="2" t="s">
        <v>195</v>
      </c>
      <c r="DR164" s="2" t="s">
        <v>195</v>
      </c>
      <c r="DS164" s="2" t="s">
        <v>197</v>
      </c>
      <c r="DT164" s="2" t="s">
        <v>198</v>
      </c>
      <c r="DU164" s="2" t="s">
        <v>197</v>
      </c>
      <c r="DV164" s="2" t="s">
        <v>197</v>
      </c>
      <c r="DW164" s="2" t="s">
        <v>197</v>
      </c>
      <c r="DX164" s="2" t="s">
        <v>198</v>
      </c>
      <c r="DY164" s="2" t="s">
        <v>198</v>
      </c>
      <c r="DZ164" s="2"/>
      <c r="EA164" s="2">
        <v>0</v>
      </c>
      <c r="EB164" s="2">
        <v>0</v>
      </c>
      <c r="EC164" s="2">
        <v>1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1</v>
      </c>
      <c r="EJ164" s="2">
        <v>1</v>
      </c>
      <c r="EK164" s="2">
        <v>0</v>
      </c>
      <c r="EL164" s="2">
        <v>0</v>
      </c>
      <c r="EM164" s="2">
        <v>1</v>
      </c>
      <c r="EN164" s="2">
        <v>1</v>
      </c>
      <c r="EO164" s="2">
        <v>0</v>
      </c>
      <c r="EP164" s="2">
        <v>1</v>
      </c>
      <c r="EQ164" s="2">
        <v>0</v>
      </c>
      <c r="ER164" s="2">
        <v>0</v>
      </c>
      <c r="ES164" s="2">
        <v>1</v>
      </c>
      <c r="ET164" s="2">
        <v>0</v>
      </c>
      <c r="EU164" s="2">
        <v>1</v>
      </c>
      <c r="EV164" s="2">
        <v>0</v>
      </c>
      <c r="EW164" s="2">
        <v>1</v>
      </c>
      <c r="EX164" s="2">
        <v>0</v>
      </c>
      <c r="EY164" s="2">
        <v>1</v>
      </c>
      <c r="EZ164" s="2">
        <v>0</v>
      </c>
      <c r="FA164" s="2">
        <v>0</v>
      </c>
      <c r="FB164" s="2">
        <v>1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1</v>
      </c>
      <c r="FJ164" s="2">
        <v>1</v>
      </c>
      <c r="FK164" s="2">
        <v>0</v>
      </c>
      <c r="FL164" s="2">
        <v>1</v>
      </c>
      <c r="FM164" s="2">
        <v>0</v>
      </c>
      <c r="FN164" s="2">
        <v>1</v>
      </c>
      <c r="FO164" s="2">
        <v>0</v>
      </c>
      <c r="FP164" s="2">
        <v>0</v>
      </c>
      <c r="FQ164" s="2">
        <v>1</v>
      </c>
      <c r="FR164" s="2">
        <v>0</v>
      </c>
      <c r="FS164" s="2">
        <v>1</v>
      </c>
      <c r="FT164" s="2">
        <v>0</v>
      </c>
      <c r="FU164" s="2">
        <v>1</v>
      </c>
      <c r="FV164" s="2">
        <v>0</v>
      </c>
      <c r="FW164" s="2">
        <v>1</v>
      </c>
      <c r="FX164" s="2">
        <v>0</v>
      </c>
      <c r="FY164" s="2">
        <v>1</v>
      </c>
      <c r="FZ164" s="2"/>
      <c r="GA164" s="2">
        <v>4</v>
      </c>
      <c r="GB164" s="2">
        <v>4</v>
      </c>
      <c r="GC164" s="2">
        <v>4</v>
      </c>
      <c r="GD164" s="2">
        <v>3</v>
      </c>
      <c r="GE164" s="2">
        <v>3</v>
      </c>
      <c r="GG164" s="2">
        <v>2</v>
      </c>
      <c r="GH164" s="2">
        <v>3</v>
      </c>
      <c r="GI164" s="2">
        <v>2</v>
      </c>
      <c r="GJ164" s="2">
        <v>3</v>
      </c>
      <c r="GK164" s="2">
        <v>3</v>
      </c>
      <c r="GM164" s="2">
        <f t="shared" si="0"/>
        <v>18</v>
      </c>
      <c r="GN164" s="2">
        <f t="shared" si="1"/>
        <v>13</v>
      </c>
      <c r="GO164" s="2"/>
      <c r="GP164" s="7"/>
      <c r="GQ164" s="7"/>
      <c r="GR164" s="7"/>
      <c r="GS164" s="7"/>
      <c r="GT164" s="7"/>
      <c r="GU164" s="7"/>
      <c r="GV164" s="7"/>
      <c r="GW164" s="7">
        <v>0</v>
      </c>
      <c r="GX164" s="7"/>
      <c r="GY164" s="7">
        <v>2</v>
      </c>
      <c r="GZ164" s="7">
        <v>2</v>
      </c>
      <c r="HA164" s="7">
        <v>2</v>
      </c>
      <c r="HB164" s="7">
        <v>2</v>
      </c>
      <c r="HC164" s="7"/>
      <c r="HD164" s="7">
        <v>2</v>
      </c>
      <c r="HE164" s="7">
        <v>2</v>
      </c>
      <c r="HF164" s="7">
        <v>0</v>
      </c>
      <c r="HG164" s="7"/>
      <c r="HH164" s="7">
        <f t="shared" si="2"/>
        <v>0</v>
      </c>
      <c r="HI164" s="7">
        <f t="shared" si="3"/>
        <v>12</v>
      </c>
      <c r="HJ164" s="7"/>
      <c r="HK164" s="2">
        <v>7</v>
      </c>
      <c r="HL164" s="2">
        <v>7</v>
      </c>
      <c r="HM164" s="2"/>
      <c r="HN164" s="2"/>
    </row>
    <row r="165" spans="1:222" ht="15.75" customHeight="1" x14ac:dyDescent="0.2">
      <c r="A165" s="3" t="e">
        <f>VLOOKUP(B165,#REF!,1,FALSE)</f>
        <v>#REF!</v>
      </c>
      <c r="B165" s="3">
        <v>44472.04431636574</v>
      </c>
      <c r="C165" s="2">
        <v>222</v>
      </c>
      <c r="D165" s="2" t="s">
        <v>185</v>
      </c>
      <c r="E165" s="2">
        <v>0</v>
      </c>
      <c r="F165" s="2" t="s">
        <v>186</v>
      </c>
      <c r="G165" s="2">
        <v>8</v>
      </c>
      <c r="H165" s="2">
        <v>2</v>
      </c>
      <c r="I165" s="2">
        <v>1</v>
      </c>
      <c r="J165" s="2">
        <v>4</v>
      </c>
      <c r="K165" s="2">
        <v>0</v>
      </c>
      <c r="L165" s="2">
        <v>4</v>
      </c>
      <c r="M165" s="2" t="s">
        <v>187</v>
      </c>
      <c r="N165" s="2">
        <v>2</v>
      </c>
      <c r="O165" s="2">
        <v>3</v>
      </c>
      <c r="P165" s="2">
        <v>0</v>
      </c>
      <c r="Q165" s="2" t="s">
        <v>266</v>
      </c>
      <c r="R165" s="2">
        <v>3</v>
      </c>
      <c r="S165" s="2">
        <v>0</v>
      </c>
      <c r="T165" s="2">
        <v>0</v>
      </c>
      <c r="U165" s="2">
        <v>1</v>
      </c>
      <c r="V165" s="2">
        <v>-1</v>
      </c>
      <c r="W165" s="2">
        <v>1</v>
      </c>
      <c r="X165" s="2"/>
      <c r="Y165" s="2">
        <v>1</v>
      </c>
      <c r="Z165" s="2">
        <v>0</v>
      </c>
      <c r="AA165" s="2">
        <v>-1</v>
      </c>
      <c r="AB165" s="2">
        <v>1</v>
      </c>
      <c r="AC165" s="2">
        <v>1</v>
      </c>
      <c r="AD165" s="2">
        <v>1</v>
      </c>
      <c r="AE165" s="2">
        <v>2</v>
      </c>
      <c r="AF165" s="2">
        <v>0</v>
      </c>
      <c r="AG165" s="2">
        <v>2</v>
      </c>
      <c r="AH165" s="2">
        <v>1</v>
      </c>
      <c r="AI165" s="2">
        <v>-1</v>
      </c>
      <c r="AJ165" s="2">
        <v>1</v>
      </c>
      <c r="AK165" s="2">
        <v>2</v>
      </c>
      <c r="AL165" s="2">
        <v>3</v>
      </c>
      <c r="AM165" s="2">
        <v>4</v>
      </c>
      <c r="AN165" s="2">
        <v>2</v>
      </c>
      <c r="AO165" s="2">
        <v>4</v>
      </c>
      <c r="AP165" s="2">
        <v>2</v>
      </c>
      <c r="AQ165" s="2">
        <v>4</v>
      </c>
      <c r="AR165" s="2">
        <v>3</v>
      </c>
      <c r="AS165" s="2">
        <v>2</v>
      </c>
      <c r="AT165" s="2">
        <v>1</v>
      </c>
      <c r="AU165" s="2">
        <v>2</v>
      </c>
      <c r="AV165" s="2"/>
      <c r="AW165" s="2">
        <v>3</v>
      </c>
      <c r="AX165" s="2">
        <v>1</v>
      </c>
      <c r="AY165" s="2">
        <v>0</v>
      </c>
      <c r="AZ165" s="2">
        <v>1</v>
      </c>
      <c r="BA165" s="2">
        <v>3</v>
      </c>
      <c r="BB165" s="2">
        <v>2</v>
      </c>
      <c r="BC165" s="2">
        <v>5</v>
      </c>
      <c r="BD165" s="2">
        <v>3</v>
      </c>
      <c r="BE165" s="2">
        <v>0</v>
      </c>
      <c r="BF165" s="2">
        <v>2</v>
      </c>
      <c r="BG165" s="2">
        <v>1</v>
      </c>
      <c r="BH165" s="2">
        <v>1</v>
      </c>
      <c r="BI165" s="2"/>
      <c r="BJ165" s="2">
        <v>3</v>
      </c>
      <c r="BK165" s="2">
        <v>1</v>
      </c>
      <c r="BL165" s="2">
        <v>-1</v>
      </c>
      <c r="BM165" s="2">
        <v>7</v>
      </c>
      <c r="BN165" s="2">
        <v>8</v>
      </c>
      <c r="BO165" s="2">
        <v>6</v>
      </c>
      <c r="BP165" s="2" t="s">
        <v>615</v>
      </c>
      <c r="BQ165" s="2" t="s">
        <v>616</v>
      </c>
      <c r="BR165" s="2"/>
      <c r="BS165" s="2"/>
      <c r="BT165" s="2" t="s">
        <v>617</v>
      </c>
      <c r="BU165" s="2"/>
      <c r="BV165" s="2" t="s">
        <v>618</v>
      </c>
      <c r="BW165" s="2" t="s">
        <v>619</v>
      </c>
      <c r="BX165" s="2" t="s">
        <v>190</v>
      </c>
      <c r="BY165" s="2" t="s">
        <v>190</v>
      </c>
      <c r="BZ165" s="2" t="s">
        <v>190</v>
      </c>
      <c r="CA165" s="2" t="s">
        <v>189</v>
      </c>
      <c r="CB165" s="2" t="s">
        <v>191</v>
      </c>
      <c r="CC165" s="2" t="s">
        <v>190</v>
      </c>
      <c r="CD165" s="2" t="s">
        <v>189</v>
      </c>
      <c r="CE165" s="2" t="s">
        <v>189</v>
      </c>
      <c r="CF165" s="2" t="s">
        <v>191</v>
      </c>
      <c r="CG165" s="2" t="s">
        <v>189</v>
      </c>
      <c r="CH165" s="2" t="s">
        <v>191</v>
      </c>
      <c r="CI165" s="2" t="s">
        <v>189</v>
      </c>
      <c r="CJ165" s="2" t="s">
        <v>190</v>
      </c>
      <c r="CK165" s="2" t="s">
        <v>189</v>
      </c>
      <c r="CL165" s="2" t="s">
        <v>191</v>
      </c>
      <c r="CM165" s="2" t="s">
        <v>192</v>
      </c>
      <c r="CN165" s="2" t="s">
        <v>192</v>
      </c>
      <c r="CO165" s="2" t="s">
        <v>193</v>
      </c>
      <c r="CP165" s="2" t="s">
        <v>193</v>
      </c>
      <c r="CQ165" s="2" t="s">
        <v>192</v>
      </c>
      <c r="CR165" s="2" t="s">
        <v>200</v>
      </c>
      <c r="CS165" s="2" t="s">
        <v>193</v>
      </c>
      <c r="CT165" s="2" t="s">
        <v>192</v>
      </c>
      <c r="CU165" s="2" t="s">
        <v>192</v>
      </c>
      <c r="CV165" s="2" t="s">
        <v>192</v>
      </c>
      <c r="CW165" s="2" t="s">
        <v>193</v>
      </c>
      <c r="CX165" s="2" t="s">
        <v>200</v>
      </c>
      <c r="CY165" s="2" t="s">
        <v>192</v>
      </c>
      <c r="CZ165" s="2" t="s">
        <v>192</v>
      </c>
      <c r="DA165" s="2" t="s">
        <v>192</v>
      </c>
      <c r="DB165" s="2" t="s">
        <v>192</v>
      </c>
      <c r="DC165" s="2" t="s">
        <v>192</v>
      </c>
      <c r="DD165" s="2" t="s">
        <v>200</v>
      </c>
      <c r="DE165" s="2" t="s">
        <v>193</v>
      </c>
      <c r="DF165" s="2" t="s">
        <v>192</v>
      </c>
      <c r="DG165" s="2" t="s">
        <v>195</v>
      </c>
      <c r="DH165" s="2" t="s">
        <v>201</v>
      </c>
      <c r="DI165" s="2" t="s">
        <v>195</v>
      </c>
      <c r="DJ165" s="2" t="s">
        <v>194</v>
      </c>
      <c r="DK165" s="2" t="s">
        <v>194</v>
      </c>
      <c r="DL165" s="2" t="s">
        <v>194</v>
      </c>
      <c r="DM165" s="2" t="s">
        <v>194</v>
      </c>
      <c r="DN165" s="2" t="s">
        <v>194</v>
      </c>
      <c r="DO165" s="2" t="s">
        <v>194</v>
      </c>
      <c r="DP165" s="2" t="s">
        <v>220</v>
      </c>
      <c r="DQ165" s="2" t="s">
        <v>195</v>
      </c>
      <c r="DR165" s="2" t="s">
        <v>201</v>
      </c>
      <c r="DS165" s="2" t="s">
        <v>197</v>
      </c>
      <c r="DT165" s="2" t="s">
        <v>198</v>
      </c>
      <c r="DU165" s="2" t="s">
        <v>198</v>
      </c>
      <c r="DV165" s="2" t="s">
        <v>197</v>
      </c>
      <c r="DW165" s="2" t="s">
        <v>198</v>
      </c>
      <c r="DX165" s="2" t="s">
        <v>197</v>
      </c>
      <c r="DY165" s="2" t="s">
        <v>197</v>
      </c>
      <c r="DZ165" s="2"/>
      <c r="EA165" s="2">
        <v>1</v>
      </c>
      <c r="EB165" s="2">
        <v>1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1</v>
      </c>
      <c r="EI165" s="2">
        <v>1</v>
      </c>
      <c r="EJ165" s="2">
        <v>1</v>
      </c>
      <c r="EK165" s="2">
        <v>0</v>
      </c>
      <c r="EL165" s="2">
        <v>1</v>
      </c>
      <c r="EM165" s="2">
        <v>1</v>
      </c>
      <c r="EN165" s="2">
        <v>0</v>
      </c>
      <c r="EO165" s="2">
        <v>0</v>
      </c>
      <c r="EP165" s="2">
        <v>1</v>
      </c>
      <c r="EQ165" s="2">
        <v>0</v>
      </c>
      <c r="ER165" s="2">
        <v>1</v>
      </c>
      <c r="ES165" s="2">
        <v>1</v>
      </c>
      <c r="ET165" s="2">
        <v>1</v>
      </c>
      <c r="EU165" s="2">
        <v>1</v>
      </c>
      <c r="EV165" s="2">
        <v>1</v>
      </c>
      <c r="EW165" s="2">
        <v>0</v>
      </c>
      <c r="EX165" s="2">
        <v>0</v>
      </c>
      <c r="EY165" s="2">
        <v>1</v>
      </c>
      <c r="EZ165" s="2">
        <v>0</v>
      </c>
      <c r="FA165" s="2">
        <v>1</v>
      </c>
      <c r="FB165" s="2">
        <v>1</v>
      </c>
      <c r="FC165" s="2">
        <v>0</v>
      </c>
      <c r="FD165" s="2">
        <v>0</v>
      </c>
      <c r="FE165" s="2">
        <v>0</v>
      </c>
      <c r="FF165" s="2">
        <v>1</v>
      </c>
      <c r="FG165" s="2">
        <v>1</v>
      </c>
      <c r="FH165" s="2">
        <v>0</v>
      </c>
      <c r="FI165" s="2">
        <v>1</v>
      </c>
      <c r="FJ165" s="2">
        <v>0</v>
      </c>
      <c r="FK165" s="2">
        <v>0</v>
      </c>
      <c r="FL165" s="2">
        <v>0</v>
      </c>
      <c r="FM165" s="2">
        <v>1</v>
      </c>
      <c r="FN165" s="2">
        <v>1</v>
      </c>
      <c r="FO165" s="2">
        <v>0</v>
      </c>
      <c r="FP165" s="2">
        <v>1</v>
      </c>
      <c r="FQ165" s="2">
        <v>1</v>
      </c>
      <c r="FR165" s="2">
        <v>1</v>
      </c>
      <c r="FS165" s="2">
        <v>1</v>
      </c>
      <c r="FT165" s="2">
        <v>1</v>
      </c>
      <c r="FU165" s="2">
        <v>1</v>
      </c>
      <c r="FV165" s="2">
        <v>1</v>
      </c>
      <c r="FW165" s="2">
        <v>1</v>
      </c>
      <c r="FX165" s="2">
        <v>1</v>
      </c>
      <c r="FY165" s="2">
        <v>1</v>
      </c>
      <c r="FZ165" s="2"/>
      <c r="GA165" s="2">
        <v>4</v>
      </c>
      <c r="GB165" s="2">
        <v>2</v>
      </c>
      <c r="GC165" s="2">
        <v>4</v>
      </c>
      <c r="GD165" s="2">
        <v>2</v>
      </c>
      <c r="GE165" s="2">
        <v>4</v>
      </c>
      <c r="GG165" s="2">
        <v>1</v>
      </c>
      <c r="GH165" s="2">
        <v>3</v>
      </c>
      <c r="GI165" s="2">
        <v>2</v>
      </c>
      <c r="GJ165" s="2">
        <v>5</v>
      </c>
      <c r="GK165" s="2">
        <v>3</v>
      </c>
      <c r="GM165" s="2">
        <f t="shared" si="0"/>
        <v>16</v>
      </c>
      <c r="GN165" s="2">
        <f t="shared" si="1"/>
        <v>14</v>
      </c>
      <c r="GO165" s="2"/>
      <c r="GP165" s="2">
        <v>3</v>
      </c>
      <c r="GQ165" s="2">
        <v>2</v>
      </c>
      <c r="GR165" s="2">
        <v>1</v>
      </c>
      <c r="GS165" s="2">
        <v>2</v>
      </c>
      <c r="GU165" s="2">
        <v>3</v>
      </c>
      <c r="GV165" s="2">
        <v>1</v>
      </c>
      <c r="GW165" s="2">
        <v>0</v>
      </c>
      <c r="GY165" s="2">
        <v>0</v>
      </c>
      <c r="GZ165" s="2">
        <v>2</v>
      </c>
      <c r="HA165" s="2">
        <v>1</v>
      </c>
      <c r="HB165" s="2">
        <v>1</v>
      </c>
      <c r="HD165" s="2">
        <v>3</v>
      </c>
      <c r="HE165" s="2">
        <v>1</v>
      </c>
      <c r="HF165" s="2">
        <v>-1</v>
      </c>
      <c r="HH165" s="2">
        <f t="shared" si="2"/>
        <v>12</v>
      </c>
      <c r="HI165" s="2">
        <f t="shared" si="3"/>
        <v>7</v>
      </c>
      <c r="HJ165" s="2"/>
      <c r="HK165" s="2">
        <v>8</v>
      </c>
      <c r="HL165" s="2">
        <v>6</v>
      </c>
      <c r="HM165" s="2"/>
      <c r="HN165" s="2"/>
    </row>
    <row r="166" spans="1:222" ht="15.75" customHeight="1" x14ac:dyDescent="0.2">
      <c r="A166" s="3" t="e">
        <f>VLOOKUP(B166,#REF!,1,FALSE)</f>
        <v>#REF!</v>
      </c>
      <c r="B166" s="3">
        <v>44473.449538900466</v>
      </c>
      <c r="C166" s="2">
        <v>223</v>
      </c>
      <c r="D166" s="2" t="s">
        <v>185</v>
      </c>
      <c r="E166" s="2">
        <v>0</v>
      </c>
      <c r="F166" s="2" t="s">
        <v>186</v>
      </c>
      <c r="G166" s="2">
        <v>2</v>
      </c>
      <c r="H166" s="2">
        <v>2</v>
      </c>
      <c r="I166" s="2">
        <v>1</v>
      </c>
      <c r="J166" s="2">
        <v>3</v>
      </c>
      <c r="K166" s="2">
        <v>0</v>
      </c>
      <c r="L166" s="2">
        <v>3</v>
      </c>
      <c r="M166" s="2" t="s">
        <v>187</v>
      </c>
      <c r="N166" s="2">
        <v>2</v>
      </c>
      <c r="O166" s="2">
        <v>4</v>
      </c>
      <c r="P166" s="2">
        <v>0</v>
      </c>
      <c r="Q166" s="2">
        <v>0</v>
      </c>
      <c r="R166" s="2">
        <v>3</v>
      </c>
      <c r="S166" s="2">
        <v>1</v>
      </c>
      <c r="T166" s="2">
        <v>1</v>
      </c>
      <c r="U166" s="2">
        <v>1</v>
      </c>
      <c r="V166" s="2">
        <v>-1</v>
      </c>
      <c r="W166" s="2">
        <v>-1</v>
      </c>
      <c r="X166" s="2"/>
      <c r="Y166" s="2">
        <v>-1</v>
      </c>
      <c r="Z166" s="2">
        <v>1</v>
      </c>
      <c r="AA166" s="2">
        <v>1</v>
      </c>
      <c r="AB166" s="2">
        <v>4</v>
      </c>
      <c r="AC166" s="2">
        <v>0</v>
      </c>
      <c r="AD166" s="2">
        <v>0</v>
      </c>
      <c r="AE166" s="2">
        <v>2</v>
      </c>
      <c r="AF166" s="2">
        <v>4</v>
      </c>
      <c r="AG166" s="2">
        <v>2</v>
      </c>
      <c r="AH166" s="2">
        <v>2</v>
      </c>
      <c r="AI166" s="2">
        <v>2</v>
      </c>
      <c r="AJ166" s="2">
        <v>3</v>
      </c>
      <c r="AK166" s="2">
        <v>3</v>
      </c>
      <c r="AL166" s="2">
        <v>2</v>
      </c>
      <c r="AM166" s="2">
        <v>5</v>
      </c>
      <c r="AN166" s="2">
        <v>5</v>
      </c>
      <c r="AO166" s="2">
        <v>5</v>
      </c>
      <c r="AP166" s="2">
        <v>5</v>
      </c>
      <c r="AQ166" s="2">
        <v>5</v>
      </c>
      <c r="AR166" s="2">
        <v>2</v>
      </c>
      <c r="AS166" s="2">
        <v>2</v>
      </c>
      <c r="AT166" s="2">
        <v>3</v>
      </c>
      <c r="AU166" s="2">
        <v>0</v>
      </c>
      <c r="AV166" s="2"/>
      <c r="AW166" s="2">
        <v>3</v>
      </c>
      <c r="AX166" s="2">
        <v>0</v>
      </c>
      <c r="AY166" s="2">
        <v>1</v>
      </c>
      <c r="AZ166" s="2">
        <v>2</v>
      </c>
      <c r="BA166" s="2">
        <v>3</v>
      </c>
      <c r="BB166" s="2">
        <v>1</v>
      </c>
      <c r="BC166" s="2">
        <v>1</v>
      </c>
      <c r="BD166" s="2">
        <v>0</v>
      </c>
      <c r="BE166" s="2">
        <v>0</v>
      </c>
      <c r="BF166" s="2">
        <v>2</v>
      </c>
      <c r="BG166" s="2">
        <v>3</v>
      </c>
      <c r="BH166" s="2">
        <v>2</v>
      </c>
      <c r="BI166" s="2"/>
      <c r="BJ166" s="2">
        <v>2</v>
      </c>
      <c r="BK166" s="2">
        <v>0</v>
      </c>
      <c r="BL166" s="2">
        <v>-1</v>
      </c>
      <c r="BM166" s="2">
        <v>8</v>
      </c>
      <c r="BN166" s="2">
        <v>7</v>
      </c>
      <c r="BO166" s="2">
        <v>5</v>
      </c>
      <c r="BP166" s="2"/>
      <c r="BQ166" s="2"/>
      <c r="BR166" s="2"/>
      <c r="BS166" s="2" t="s">
        <v>620</v>
      </c>
      <c r="BT166" s="2"/>
      <c r="BU166" s="2"/>
      <c r="BV166" s="2" t="s">
        <v>621</v>
      </c>
      <c r="BW166" s="2" t="s">
        <v>622</v>
      </c>
      <c r="BX166" s="2" t="s">
        <v>190</v>
      </c>
      <c r="BY166" s="2" t="s">
        <v>188</v>
      </c>
      <c r="BZ166" s="2" t="s">
        <v>188</v>
      </c>
      <c r="CA166" s="2" t="s">
        <v>191</v>
      </c>
      <c r="CB166" s="2" t="s">
        <v>189</v>
      </c>
      <c r="CC166" s="2" t="s">
        <v>191</v>
      </c>
      <c r="CD166" s="2" t="s">
        <v>189</v>
      </c>
      <c r="CE166" s="2" t="s">
        <v>190</v>
      </c>
      <c r="CF166" s="2" t="s">
        <v>191</v>
      </c>
      <c r="CG166" s="2" t="s">
        <v>189</v>
      </c>
      <c r="CH166" s="2" t="s">
        <v>188</v>
      </c>
      <c r="CI166" s="2" t="s">
        <v>189</v>
      </c>
      <c r="CJ166" s="2" t="s">
        <v>189</v>
      </c>
      <c r="CK166" s="2" t="s">
        <v>189</v>
      </c>
      <c r="CL166" s="2" t="s">
        <v>190</v>
      </c>
      <c r="CM166" s="2" t="s">
        <v>192</v>
      </c>
      <c r="CN166" s="2" t="s">
        <v>192</v>
      </c>
      <c r="CO166" s="2" t="s">
        <v>193</v>
      </c>
      <c r="CP166" s="2" t="s">
        <v>193</v>
      </c>
      <c r="CQ166" s="2" t="s">
        <v>192</v>
      </c>
      <c r="CR166" s="2" t="s">
        <v>192</v>
      </c>
      <c r="CS166" s="2" t="s">
        <v>193</v>
      </c>
      <c r="CT166" s="2" t="s">
        <v>192</v>
      </c>
      <c r="CU166" s="2" t="s">
        <v>192</v>
      </c>
      <c r="CV166" s="2" t="s">
        <v>192</v>
      </c>
      <c r="CW166" s="2" t="s">
        <v>192</v>
      </c>
      <c r="CX166" s="2" t="s">
        <v>193</v>
      </c>
      <c r="CY166" s="2" t="s">
        <v>192</v>
      </c>
      <c r="CZ166" s="2" t="s">
        <v>192</v>
      </c>
      <c r="DA166" s="2" t="s">
        <v>200</v>
      </c>
      <c r="DB166" s="2" t="s">
        <v>193</v>
      </c>
      <c r="DC166" s="2" t="s">
        <v>192</v>
      </c>
      <c r="DD166" s="2" t="s">
        <v>193</v>
      </c>
      <c r="DE166" s="2" t="s">
        <v>200</v>
      </c>
      <c r="DF166" s="2" t="s">
        <v>192</v>
      </c>
      <c r="DG166" s="2" t="s">
        <v>194</v>
      </c>
      <c r="DH166" s="2" t="s">
        <v>201</v>
      </c>
      <c r="DI166" s="2" t="s">
        <v>196</v>
      </c>
      <c r="DJ166" s="2" t="s">
        <v>196</v>
      </c>
      <c r="DK166" s="2" t="s">
        <v>195</v>
      </c>
      <c r="DL166" s="2" t="s">
        <v>194</v>
      </c>
      <c r="DM166" s="2" t="s">
        <v>194</v>
      </c>
      <c r="DN166" s="2" t="s">
        <v>194</v>
      </c>
      <c r="DO166" s="2" t="s">
        <v>194</v>
      </c>
      <c r="DP166" s="2" t="s">
        <v>194</v>
      </c>
      <c r="DQ166" s="2" t="s">
        <v>196</v>
      </c>
      <c r="DR166" s="2" t="s">
        <v>194</v>
      </c>
      <c r="DS166" s="2" t="s">
        <v>197</v>
      </c>
      <c r="DT166" s="2" t="s">
        <v>197</v>
      </c>
      <c r="DU166" s="2" t="s">
        <v>199</v>
      </c>
      <c r="DV166" s="2" t="s">
        <v>198</v>
      </c>
      <c r="DW166" s="2" t="s">
        <v>198</v>
      </c>
      <c r="DX166" s="2" t="s">
        <v>198</v>
      </c>
      <c r="DY166" s="2" t="s">
        <v>198</v>
      </c>
      <c r="DZ166" s="2"/>
      <c r="EA166" s="2">
        <v>1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1</v>
      </c>
      <c r="EJ166" s="2">
        <v>0</v>
      </c>
      <c r="EK166" s="2">
        <v>1</v>
      </c>
      <c r="EL166" s="2">
        <v>0</v>
      </c>
      <c r="EM166" s="2">
        <v>1</v>
      </c>
      <c r="EN166" s="2">
        <v>0</v>
      </c>
      <c r="EO166" s="2">
        <v>1</v>
      </c>
      <c r="EP166" s="2">
        <v>0</v>
      </c>
      <c r="EQ166" s="2">
        <v>1</v>
      </c>
      <c r="ER166" s="2">
        <v>0</v>
      </c>
      <c r="ES166" s="2">
        <v>1</v>
      </c>
      <c r="ET166" s="2">
        <v>0</v>
      </c>
      <c r="EU166" s="2">
        <v>1</v>
      </c>
      <c r="EV166" s="2">
        <v>0</v>
      </c>
      <c r="EW166" s="2">
        <v>1</v>
      </c>
      <c r="EX166" s="2">
        <v>0</v>
      </c>
      <c r="EY166" s="2">
        <v>1</v>
      </c>
      <c r="EZ166" s="2">
        <v>0</v>
      </c>
      <c r="FA166" s="2">
        <v>0</v>
      </c>
      <c r="FB166" s="2">
        <v>0</v>
      </c>
      <c r="FC166" s="2">
        <v>1</v>
      </c>
      <c r="FD166" s="2">
        <v>0</v>
      </c>
      <c r="FE166" s="2">
        <v>0</v>
      </c>
      <c r="FF166" s="2">
        <v>0</v>
      </c>
      <c r="FG166" s="2">
        <v>1</v>
      </c>
      <c r="FH166" s="2">
        <v>1</v>
      </c>
      <c r="FI166" s="2">
        <v>0</v>
      </c>
      <c r="FJ166" s="2">
        <v>1</v>
      </c>
      <c r="FK166" s="2">
        <v>0</v>
      </c>
      <c r="FL166" s="2">
        <v>1</v>
      </c>
      <c r="FM166" s="2">
        <v>0</v>
      </c>
      <c r="FN166" s="2">
        <v>1</v>
      </c>
      <c r="FO166" s="2">
        <v>0</v>
      </c>
      <c r="FP166" s="2">
        <v>0</v>
      </c>
      <c r="FQ166" s="2">
        <v>1</v>
      </c>
      <c r="FR166" s="2">
        <v>0</v>
      </c>
      <c r="FS166" s="2">
        <v>1</v>
      </c>
      <c r="FT166" s="2">
        <v>0</v>
      </c>
      <c r="FU166" s="2">
        <v>1</v>
      </c>
      <c r="FV166" s="2">
        <v>0</v>
      </c>
      <c r="FW166" s="2">
        <v>1</v>
      </c>
      <c r="FX166" s="2">
        <v>0</v>
      </c>
      <c r="FY166" s="2">
        <v>1</v>
      </c>
      <c r="FZ166" s="2"/>
      <c r="GA166" s="2">
        <v>5</v>
      </c>
      <c r="GB166" s="2">
        <v>5</v>
      </c>
      <c r="GC166" s="2">
        <v>5</v>
      </c>
      <c r="GD166" s="2">
        <v>5</v>
      </c>
      <c r="GE166" s="2">
        <v>5</v>
      </c>
      <c r="GG166" s="2">
        <v>2</v>
      </c>
      <c r="GH166" s="2">
        <v>3</v>
      </c>
      <c r="GI166" s="2">
        <v>1</v>
      </c>
      <c r="GJ166" s="2">
        <v>1</v>
      </c>
      <c r="GK166" s="2">
        <v>0</v>
      </c>
      <c r="GM166" s="2">
        <f t="shared" si="0"/>
        <v>25</v>
      </c>
      <c r="GN166" s="2">
        <f t="shared" si="1"/>
        <v>7</v>
      </c>
      <c r="GO166" s="2"/>
      <c r="GP166" s="2">
        <v>2</v>
      </c>
      <c r="GQ166" s="2">
        <v>2</v>
      </c>
      <c r="GR166" s="2">
        <v>3</v>
      </c>
      <c r="GS166" s="2">
        <v>0</v>
      </c>
      <c r="GU166" s="2">
        <v>3</v>
      </c>
      <c r="GV166" s="2">
        <v>0</v>
      </c>
      <c r="GW166" s="2">
        <v>1</v>
      </c>
      <c r="GY166" s="2">
        <v>0</v>
      </c>
      <c r="GZ166" s="2">
        <v>2</v>
      </c>
      <c r="HA166" s="2">
        <v>3</v>
      </c>
      <c r="HB166" s="2">
        <v>2</v>
      </c>
      <c r="HD166" s="2">
        <v>2</v>
      </c>
      <c r="HE166" s="2">
        <v>0</v>
      </c>
      <c r="HF166" s="2">
        <v>-1</v>
      </c>
      <c r="HH166" s="2">
        <f t="shared" si="2"/>
        <v>11</v>
      </c>
      <c r="HI166" s="2">
        <f t="shared" si="3"/>
        <v>8</v>
      </c>
      <c r="HJ166" s="2"/>
      <c r="HK166" s="2">
        <v>7</v>
      </c>
      <c r="HL166" s="2">
        <v>5</v>
      </c>
      <c r="HM166" s="2"/>
      <c r="HN166" s="2"/>
    </row>
    <row r="167" spans="1:222" ht="15.75" customHeight="1" x14ac:dyDescent="0.2">
      <c r="A167" s="3" t="e">
        <f>VLOOKUP(B167,#REF!,1,FALSE)</f>
        <v>#REF!</v>
      </c>
      <c r="B167" s="3">
        <v>44473.469730289355</v>
      </c>
      <c r="C167" s="2">
        <v>224</v>
      </c>
      <c r="D167" s="2" t="s">
        <v>185</v>
      </c>
      <c r="E167" s="2">
        <v>0</v>
      </c>
      <c r="F167" s="2" t="s">
        <v>186</v>
      </c>
      <c r="G167" s="2">
        <v>2</v>
      </c>
      <c r="H167" s="2">
        <v>0.5</v>
      </c>
      <c r="I167" s="2">
        <v>1</v>
      </c>
      <c r="J167" s="2">
        <v>1</v>
      </c>
      <c r="K167" s="2">
        <v>0</v>
      </c>
      <c r="L167" s="2">
        <v>2</v>
      </c>
      <c r="M167" s="2" t="s">
        <v>187</v>
      </c>
      <c r="N167" s="2">
        <v>2</v>
      </c>
      <c r="O167" s="2">
        <v>3</v>
      </c>
      <c r="P167" s="2">
        <v>0</v>
      </c>
      <c r="Q167" s="2">
        <v>0</v>
      </c>
      <c r="R167" s="2">
        <v>3</v>
      </c>
      <c r="S167" s="2">
        <v>0</v>
      </c>
      <c r="T167" s="2">
        <v>-1</v>
      </c>
      <c r="U167" s="2">
        <v>0</v>
      </c>
      <c r="V167" s="2">
        <v>-1</v>
      </c>
      <c r="W167" s="2">
        <v>0</v>
      </c>
      <c r="X167" s="2"/>
      <c r="Y167" s="2">
        <v>1</v>
      </c>
      <c r="Z167" s="2">
        <v>-1</v>
      </c>
      <c r="AA167" s="2">
        <v>1</v>
      </c>
      <c r="AB167" s="2">
        <v>4</v>
      </c>
      <c r="AC167" s="2">
        <v>0</v>
      </c>
      <c r="AD167" s="2">
        <v>1</v>
      </c>
      <c r="AE167" s="2">
        <v>2</v>
      </c>
      <c r="AF167" s="2">
        <v>4</v>
      </c>
      <c r="AG167" s="2">
        <v>2</v>
      </c>
      <c r="AH167" s="2">
        <v>3</v>
      </c>
      <c r="AI167" s="2">
        <v>3</v>
      </c>
      <c r="AJ167" s="2">
        <v>3</v>
      </c>
      <c r="AK167" s="2">
        <v>2</v>
      </c>
      <c r="AL167" s="2">
        <v>2</v>
      </c>
      <c r="AM167" s="2">
        <v>4</v>
      </c>
      <c r="AN167" s="2">
        <v>4</v>
      </c>
      <c r="AO167" s="2">
        <v>5</v>
      </c>
      <c r="AP167" s="2">
        <v>5</v>
      </c>
      <c r="AQ167" s="2">
        <v>5</v>
      </c>
      <c r="AR167" s="2">
        <v>2</v>
      </c>
      <c r="AS167" s="2">
        <v>1</v>
      </c>
      <c r="AT167" s="2">
        <v>1</v>
      </c>
      <c r="AU167" s="2">
        <v>2</v>
      </c>
      <c r="AV167" s="2"/>
      <c r="AW167" s="2">
        <v>1</v>
      </c>
      <c r="AX167" s="2">
        <v>0</v>
      </c>
      <c r="AY167" s="2">
        <v>2</v>
      </c>
      <c r="AZ167" s="2">
        <v>2</v>
      </c>
      <c r="BA167" s="2">
        <v>2</v>
      </c>
      <c r="BB167" s="2">
        <v>0</v>
      </c>
      <c r="BC167" s="2">
        <v>4</v>
      </c>
      <c r="BD167" s="2">
        <v>0</v>
      </c>
      <c r="BE167" s="2">
        <v>0</v>
      </c>
      <c r="BF167" s="2">
        <v>4</v>
      </c>
      <c r="BG167" s="2">
        <v>3</v>
      </c>
      <c r="BH167" s="2">
        <v>2</v>
      </c>
      <c r="BI167" s="2"/>
      <c r="BJ167" s="2">
        <v>3</v>
      </c>
      <c r="BK167" s="2">
        <v>0</v>
      </c>
      <c r="BL167" s="2">
        <v>2</v>
      </c>
      <c r="BM167" s="2">
        <v>8</v>
      </c>
      <c r="BN167" s="2">
        <v>9</v>
      </c>
      <c r="BO167" s="2">
        <v>3</v>
      </c>
      <c r="BP167" s="2"/>
      <c r="BQ167" s="2"/>
      <c r="BR167" s="2"/>
      <c r="BS167" s="2" t="s">
        <v>623</v>
      </c>
      <c r="BT167" s="2" t="s">
        <v>624</v>
      </c>
      <c r="BU167" s="2"/>
      <c r="BV167" s="2"/>
      <c r="BW167" s="2" t="s">
        <v>625</v>
      </c>
      <c r="BX167" s="2" t="s">
        <v>188</v>
      </c>
      <c r="BY167" s="2" t="s">
        <v>189</v>
      </c>
      <c r="BZ167" s="2" t="s">
        <v>188</v>
      </c>
      <c r="CA167" s="2" t="s">
        <v>190</v>
      </c>
      <c r="CB167" s="2" t="s">
        <v>188</v>
      </c>
      <c r="CC167" s="2" t="s">
        <v>190</v>
      </c>
      <c r="CD167" s="2" t="s">
        <v>190</v>
      </c>
      <c r="CE167" s="2" t="s">
        <v>188</v>
      </c>
      <c r="CF167" s="2" t="s">
        <v>188</v>
      </c>
      <c r="CG167" s="2" t="s">
        <v>191</v>
      </c>
      <c r="CH167" s="2" t="s">
        <v>188</v>
      </c>
      <c r="CI167" s="2" t="s">
        <v>188</v>
      </c>
      <c r="CJ167" s="2" t="s">
        <v>191</v>
      </c>
      <c r="CK167" s="2" t="s">
        <v>189</v>
      </c>
      <c r="CL167" s="2" t="s">
        <v>190</v>
      </c>
      <c r="CM167" s="2" t="s">
        <v>193</v>
      </c>
      <c r="CN167" s="2" t="s">
        <v>192</v>
      </c>
      <c r="CO167" s="2" t="s">
        <v>192</v>
      </c>
      <c r="CP167" s="2" t="s">
        <v>192</v>
      </c>
      <c r="CQ167" s="2" t="s">
        <v>193</v>
      </c>
      <c r="CR167" s="2" t="s">
        <v>192</v>
      </c>
      <c r="CS167" s="2" t="s">
        <v>200</v>
      </c>
      <c r="CT167" s="2" t="s">
        <v>193</v>
      </c>
      <c r="CU167" s="2" t="s">
        <v>192</v>
      </c>
      <c r="CV167" s="2" t="s">
        <v>192</v>
      </c>
      <c r="CW167" s="2" t="s">
        <v>192</v>
      </c>
      <c r="CX167" s="2" t="s">
        <v>200</v>
      </c>
      <c r="CY167" s="2" t="s">
        <v>192</v>
      </c>
      <c r="CZ167" s="2" t="s">
        <v>200</v>
      </c>
      <c r="DA167" s="2" t="s">
        <v>192</v>
      </c>
      <c r="DB167" s="2" t="s">
        <v>192</v>
      </c>
      <c r="DC167" s="2" t="s">
        <v>192</v>
      </c>
      <c r="DD167" s="2" t="s">
        <v>200</v>
      </c>
      <c r="DE167" s="2" t="s">
        <v>193</v>
      </c>
      <c r="DF167" s="2" t="s">
        <v>192</v>
      </c>
      <c r="DG167" s="2" t="s">
        <v>195</v>
      </c>
      <c r="DH167" s="2" t="s">
        <v>201</v>
      </c>
      <c r="DI167" s="2" t="s">
        <v>195</v>
      </c>
      <c r="DJ167" s="2" t="s">
        <v>195</v>
      </c>
      <c r="DK167" s="2" t="s">
        <v>195</v>
      </c>
      <c r="DL167" s="2" t="s">
        <v>195</v>
      </c>
      <c r="DM167" s="2" t="s">
        <v>201</v>
      </c>
      <c r="DN167" s="2" t="s">
        <v>194</v>
      </c>
      <c r="DO167" s="2" t="s">
        <v>194</v>
      </c>
      <c r="DP167" s="2" t="s">
        <v>195</v>
      </c>
      <c r="DQ167" s="2" t="s">
        <v>201</v>
      </c>
      <c r="DR167" s="2" t="s">
        <v>195</v>
      </c>
      <c r="DS167" s="2" t="s">
        <v>197</v>
      </c>
      <c r="DT167" s="2" t="s">
        <v>198</v>
      </c>
      <c r="DU167" s="2" t="s">
        <v>197</v>
      </c>
      <c r="DV167" s="2" t="s">
        <v>197</v>
      </c>
      <c r="DW167" s="2" t="s">
        <v>198</v>
      </c>
      <c r="DX167" s="2" t="s">
        <v>198</v>
      </c>
      <c r="DY167" s="2" t="s">
        <v>197</v>
      </c>
      <c r="DZ167" s="2"/>
      <c r="EA167" s="2">
        <v>1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1</v>
      </c>
      <c r="EI167" s="2">
        <v>1</v>
      </c>
      <c r="EJ167" s="2">
        <v>1</v>
      </c>
      <c r="EK167" s="2">
        <v>0</v>
      </c>
      <c r="EL167" s="2">
        <v>1</v>
      </c>
      <c r="EM167" s="2">
        <v>1</v>
      </c>
      <c r="EN167" s="2">
        <v>1</v>
      </c>
      <c r="EO167" s="2">
        <v>0</v>
      </c>
      <c r="EP167" s="2">
        <v>1</v>
      </c>
      <c r="EQ167" s="2">
        <v>0</v>
      </c>
      <c r="ER167" s="2">
        <v>1</v>
      </c>
      <c r="ES167" s="2">
        <v>0</v>
      </c>
      <c r="ET167" s="2">
        <v>1</v>
      </c>
      <c r="EU167" s="2">
        <v>1</v>
      </c>
      <c r="EV167" s="2">
        <v>0</v>
      </c>
      <c r="EW167" s="2">
        <v>0</v>
      </c>
      <c r="EX167" s="2">
        <v>0</v>
      </c>
      <c r="EY167" s="2">
        <v>1</v>
      </c>
      <c r="EZ167" s="2">
        <v>0</v>
      </c>
      <c r="FA167" s="2">
        <v>0</v>
      </c>
      <c r="FB167" s="2">
        <v>0</v>
      </c>
      <c r="FC167" s="2">
        <v>1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1</v>
      </c>
      <c r="FQ167" s="2">
        <v>1</v>
      </c>
      <c r="FR167" s="2">
        <v>1</v>
      </c>
      <c r="FS167" s="2">
        <v>1</v>
      </c>
      <c r="FT167" s="2">
        <v>1</v>
      </c>
      <c r="FU167" s="2">
        <v>1</v>
      </c>
      <c r="FV167" s="2">
        <v>1</v>
      </c>
      <c r="FW167" s="2">
        <v>0</v>
      </c>
      <c r="FX167" s="2">
        <v>1</v>
      </c>
      <c r="FY167" s="2">
        <v>1</v>
      </c>
      <c r="FZ167" s="2"/>
      <c r="GA167" s="2">
        <v>4</v>
      </c>
      <c r="GB167" s="2">
        <v>4</v>
      </c>
      <c r="GC167" s="2">
        <v>5</v>
      </c>
      <c r="GD167" s="2">
        <v>5</v>
      </c>
      <c r="GE167" s="2">
        <v>5</v>
      </c>
      <c r="GG167" s="2">
        <v>2</v>
      </c>
      <c r="GH167" s="2">
        <v>2</v>
      </c>
      <c r="GI167" s="2">
        <v>0</v>
      </c>
      <c r="GJ167" s="2">
        <v>4</v>
      </c>
      <c r="GK167" s="2">
        <v>0</v>
      </c>
      <c r="GM167" s="2">
        <f t="shared" si="0"/>
        <v>23</v>
      </c>
      <c r="GN167" s="2">
        <f t="shared" si="1"/>
        <v>8</v>
      </c>
      <c r="GO167" s="2"/>
      <c r="GP167" s="2">
        <v>2</v>
      </c>
      <c r="GQ167" s="2">
        <v>1</v>
      </c>
      <c r="GR167" s="2">
        <v>1</v>
      </c>
      <c r="GS167" s="2">
        <v>2</v>
      </c>
      <c r="GU167" s="2">
        <v>1</v>
      </c>
      <c r="GV167" s="2">
        <v>0</v>
      </c>
      <c r="GW167" s="2">
        <v>2</v>
      </c>
      <c r="GY167" s="2">
        <v>0</v>
      </c>
      <c r="GZ167" s="2">
        <v>4</v>
      </c>
      <c r="HA167" s="2">
        <v>3</v>
      </c>
      <c r="HB167" s="2">
        <v>2</v>
      </c>
      <c r="HD167" s="2">
        <v>3</v>
      </c>
      <c r="HE167" s="2">
        <v>0</v>
      </c>
      <c r="HF167" s="2">
        <v>2</v>
      </c>
      <c r="HH167" s="2">
        <f t="shared" si="2"/>
        <v>9</v>
      </c>
      <c r="HI167" s="2">
        <f t="shared" si="3"/>
        <v>14</v>
      </c>
      <c r="HJ167" s="2"/>
      <c r="HK167" s="2">
        <v>9</v>
      </c>
      <c r="HL167" s="2">
        <v>3</v>
      </c>
      <c r="HM167" s="2"/>
      <c r="HN167" s="2"/>
    </row>
    <row r="168" spans="1:222" ht="15.75" customHeight="1" x14ac:dyDescent="0.2">
      <c r="A168" s="3" t="e">
        <f>VLOOKUP(B168,#REF!,1,FALSE)</f>
        <v>#REF!</v>
      </c>
      <c r="B168" s="3">
        <v>44473.92378740741</v>
      </c>
      <c r="C168" s="2">
        <v>225</v>
      </c>
      <c r="D168" s="2" t="s">
        <v>185</v>
      </c>
      <c r="E168" s="2">
        <v>0</v>
      </c>
      <c r="F168" s="2" t="s">
        <v>626</v>
      </c>
      <c r="G168" s="2">
        <v>8</v>
      </c>
      <c r="H168" s="2">
        <v>2</v>
      </c>
      <c r="I168" s="2">
        <v>1</v>
      </c>
      <c r="J168" s="2">
        <v>5</v>
      </c>
      <c r="K168" s="2">
        <v>0</v>
      </c>
      <c r="L168" s="2">
        <v>5</v>
      </c>
      <c r="M168" s="2" t="s">
        <v>187</v>
      </c>
      <c r="N168" s="2">
        <v>2</v>
      </c>
      <c r="O168" s="2">
        <v>4</v>
      </c>
      <c r="P168" s="2">
        <v>0</v>
      </c>
      <c r="Q168" s="2">
        <v>2</v>
      </c>
      <c r="R168" s="2">
        <v>3</v>
      </c>
      <c r="S168" s="2">
        <v>1</v>
      </c>
      <c r="T168" s="2">
        <v>1</v>
      </c>
      <c r="U168" s="2">
        <v>1</v>
      </c>
      <c r="V168" s="2">
        <v>0</v>
      </c>
      <c r="W168" s="2">
        <v>1</v>
      </c>
      <c r="X168" s="2"/>
      <c r="Y168" s="2">
        <v>1</v>
      </c>
      <c r="Z168" s="2">
        <v>-1</v>
      </c>
      <c r="AA168" s="2">
        <v>1</v>
      </c>
      <c r="AB168" s="2">
        <v>2</v>
      </c>
      <c r="AC168" s="2">
        <v>1</v>
      </c>
      <c r="AD168" s="2">
        <v>4</v>
      </c>
      <c r="AE168" s="2">
        <v>4</v>
      </c>
      <c r="AF168" s="2">
        <v>4</v>
      </c>
      <c r="AG168" s="2">
        <v>-3</v>
      </c>
      <c r="AH168" s="2">
        <v>1</v>
      </c>
      <c r="AI168" s="2">
        <v>-2</v>
      </c>
      <c r="AJ168" s="2">
        <v>3</v>
      </c>
      <c r="AK168" s="2">
        <v>3</v>
      </c>
      <c r="AL168" s="2">
        <v>1</v>
      </c>
      <c r="AM168" s="2">
        <v>4</v>
      </c>
      <c r="AN168" s="2">
        <v>4</v>
      </c>
      <c r="AO168" s="2">
        <v>4</v>
      </c>
      <c r="AP168" s="2">
        <v>4</v>
      </c>
      <c r="AQ168" s="2">
        <v>4</v>
      </c>
      <c r="AR168" s="2">
        <v>4</v>
      </c>
      <c r="AS168" s="2">
        <v>0</v>
      </c>
      <c r="AT168" s="2">
        <v>0</v>
      </c>
      <c r="AU168" s="2">
        <v>0</v>
      </c>
      <c r="AV168" s="2"/>
      <c r="AW168" s="2">
        <v>1</v>
      </c>
      <c r="AX168" s="2">
        <v>4</v>
      </c>
      <c r="AY168" s="2">
        <v>3</v>
      </c>
      <c r="AZ168" s="2">
        <v>4</v>
      </c>
      <c r="BA168" s="2">
        <v>4</v>
      </c>
      <c r="BB168" s="2">
        <v>4</v>
      </c>
      <c r="BC168" s="2">
        <v>4</v>
      </c>
      <c r="BD168" s="2">
        <v>4</v>
      </c>
      <c r="BE168" s="2">
        <v>2</v>
      </c>
      <c r="BF168" s="2">
        <v>2</v>
      </c>
      <c r="BG168" s="2">
        <v>2</v>
      </c>
      <c r="BH168" s="2">
        <v>2</v>
      </c>
      <c r="BI168" s="2"/>
      <c r="BJ168" s="2">
        <v>2</v>
      </c>
      <c r="BK168" s="2">
        <v>2</v>
      </c>
      <c r="BL168" s="2">
        <v>0</v>
      </c>
      <c r="BM168" s="2">
        <v>8</v>
      </c>
      <c r="BN168" s="2">
        <v>10</v>
      </c>
      <c r="BO168" s="2">
        <v>9</v>
      </c>
      <c r="BP168" s="2"/>
      <c r="BQ168" s="2"/>
      <c r="BR168" s="2"/>
      <c r="BS168" s="2"/>
      <c r="BT168" s="2"/>
      <c r="BU168" s="2"/>
      <c r="BV168" s="2"/>
      <c r="BW168" s="2"/>
      <c r="BX168" s="2" t="s">
        <v>191</v>
      </c>
      <c r="BY168" s="2" t="s">
        <v>191</v>
      </c>
      <c r="BZ168" s="2" t="s">
        <v>191</v>
      </c>
      <c r="CA168" s="2" t="s">
        <v>191</v>
      </c>
      <c r="CB168" s="2" t="s">
        <v>191</v>
      </c>
      <c r="CC168" s="2" t="s">
        <v>191</v>
      </c>
      <c r="CD168" s="2" t="s">
        <v>191</v>
      </c>
      <c r="CE168" s="2" t="s">
        <v>191</v>
      </c>
      <c r="CF168" s="2" t="s">
        <v>191</v>
      </c>
      <c r="CG168" s="2" t="s">
        <v>191</v>
      </c>
      <c r="CH168" s="2" t="s">
        <v>191</v>
      </c>
      <c r="CI168" s="2" t="s">
        <v>191</v>
      </c>
      <c r="CJ168" s="2" t="s">
        <v>191</v>
      </c>
      <c r="CK168" s="2" t="s">
        <v>191</v>
      </c>
      <c r="CL168" s="2" t="s">
        <v>190</v>
      </c>
      <c r="CM168" s="2" t="s">
        <v>193</v>
      </c>
      <c r="CN168" s="2" t="s">
        <v>193</v>
      </c>
      <c r="CO168" s="2" t="s">
        <v>193</v>
      </c>
      <c r="CP168" s="2" t="s">
        <v>193</v>
      </c>
      <c r="CQ168" s="2" t="s">
        <v>193</v>
      </c>
      <c r="CR168" s="2" t="s">
        <v>193</v>
      </c>
      <c r="CS168" s="2" t="s">
        <v>193</v>
      </c>
      <c r="CT168" s="2" t="s">
        <v>193</v>
      </c>
      <c r="CU168" s="2" t="s">
        <v>193</v>
      </c>
      <c r="CV168" s="2" t="s">
        <v>193</v>
      </c>
      <c r="CW168" s="2" t="s">
        <v>193</v>
      </c>
      <c r="CX168" s="2" t="s">
        <v>193</v>
      </c>
      <c r="CY168" s="2" t="s">
        <v>193</v>
      </c>
      <c r="CZ168" s="2" t="s">
        <v>193</v>
      </c>
      <c r="DA168" s="2" t="s">
        <v>193</v>
      </c>
      <c r="DB168" s="2" t="s">
        <v>193</v>
      </c>
      <c r="DC168" s="2" t="s">
        <v>193</v>
      </c>
      <c r="DD168" s="2" t="s">
        <v>193</v>
      </c>
      <c r="DE168" s="2" t="s">
        <v>193</v>
      </c>
      <c r="DF168" s="2" t="s">
        <v>193</v>
      </c>
      <c r="DG168" s="2" t="s">
        <v>196</v>
      </c>
      <c r="DH168" s="2" t="s">
        <v>196</v>
      </c>
      <c r="DI168" s="2" t="s">
        <v>196</v>
      </c>
      <c r="DJ168" s="2" t="s">
        <v>196</v>
      </c>
      <c r="DK168" s="2" t="s">
        <v>196</v>
      </c>
      <c r="DL168" s="2" t="s">
        <v>196</v>
      </c>
      <c r="DM168" s="2" t="s">
        <v>194</v>
      </c>
      <c r="DN168" s="2" t="s">
        <v>194</v>
      </c>
      <c r="DO168" s="2" t="s">
        <v>194</v>
      </c>
      <c r="DP168" s="2" t="s">
        <v>194</v>
      </c>
      <c r="DQ168" s="2" t="s">
        <v>194</v>
      </c>
      <c r="DR168" s="2" t="s">
        <v>194</v>
      </c>
      <c r="DS168" s="2" t="s">
        <v>197</v>
      </c>
      <c r="DT168" s="2" t="s">
        <v>197</v>
      </c>
      <c r="DU168" s="2" t="s">
        <v>197</v>
      </c>
      <c r="DV168" s="2" t="s">
        <v>197</v>
      </c>
      <c r="DW168" s="2" t="s">
        <v>198</v>
      </c>
      <c r="DX168" s="2" t="s">
        <v>198</v>
      </c>
      <c r="DY168" s="2" t="s">
        <v>198</v>
      </c>
      <c r="DZ168" s="2"/>
      <c r="EA168" s="2">
        <v>0</v>
      </c>
      <c r="EB168" s="2">
        <v>1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1</v>
      </c>
      <c r="EJ168" s="2">
        <v>1</v>
      </c>
      <c r="EK168" s="2">
        <v>0</v>
      </c>
      <c r="EL168" s="2">
        <v>0</v>
      </c>
      <c r="EM168" s="2">
        <v>1</v>
      </c>
      <c r="EN168" s="2">
        <v>1</v>
      </c>
      <c r="EO168" s="2">
        <v>0</v>
      </c>
      <c r="EP168" s="2">
        <v>1</v>
      </c>
      <c r="EQ168" s="2">
        <v>0</v>
      </c>
      <c r="ER168" s="2">
        <v>0</v>
      </c>
      <c r="ES168" s="2">
        <v>1</v>
      </c>
      <c r="ET168" s="2">
        <v>0</v>
      </c>
      <c r="EU168" s="2">
        <v>1</v>
      </c>
      <c r="EV168" s="2">
        <v>1</v>
      </c>
      <c r="EW168" s="2">
        <v>0</v>
      </c>
      <c r="EX168" s="2">
        <v>0</v>
      </c>
      <c r="EY168" s="2">
        <v>1</v>
      </c>
      <c r="EZ168" s="2">
        <v>1</v>
      </c>
      <c r="FA168" s="2">
        <v>0</v>
      </c>
      <c r="FB168" s="2">
        <v>0</v>
      </c>
      <c r="FC168" s="2">
        <v>1</v>
      </c>
      <c r="FD168" s="2">
        <v>0</v>
      </c>
      <c r="FE168" s="2">
        <v>0</v>
      </c>
      <c r="FF168" s="2">
        <v>1</v>
      </c>
      <c r="FG168" s="2">
        <v>0</v>
      </c>
      <c r="FH168" s="2">
        <v>1</v>
      </c>
      <c r="FI168" s="2">
        <v>0</v>
      </c>
      <c r="FJ168" s="2">
        <v>1</v>
      </c>
      <c r="FK168" s="2">
        <v>0</v>
      </c>
      <c r="FL168" s="2">
        <v>1</v>
      </c>
      <c r="FM168" s="2">
        <v>0</v>
      </c>
      <c r="FN168" s="2">
        <v>0</v>
      </c>
      <c r="FO168" s="2">
        <v>1</v>
      </c>
      <c r="FP168" s="2">
        <v>0</v>
      </c>
      <c r="FQ168" s="2">
        <v>1</v>
      </c>
      <c r="FR168" s="2">
        <v>0</v>
      </c>
      <c r="FS168" s="2">
        <v>1</v>
      </c>
      <c r="FT168" s="2">
        <v>0</v>
      </c>
      <c r="FU168" s="2">
        <v>1</v>
      </c>
      <c r="FV168" s="2">
        <v>0</v>
      </c>
      <c r="FW168" s="2">
        <v>1</v>
      </c>
      <c r="FX168" s="2">
        <v>0</v>
      </c>
      <c r="FY168" s="2">
        <v>1</v>
      </c>
      <c r="FZ168" s="2"/>
      <c r="GA168" s="2">
        <v>4</v>
      </c>
      <c r="GB168" s="2">
        <v>4</v>
      </c>
      <c r="GC168" s="2">
        <v>4</v>
      </c>
      <c r="GD168" s="2">
        <v>4</v>
      </c>
      <c r="GE168" s="2">
        <v>4</v>
      </c>
      <c r="GG168" s="2">
        <v>4</v>
      </c>
      <c r="GH168" s="2">
        <v>4</v>
      </c>
      <c r="GI168" s="2">
        <v>4</v>
      </c>
      <c r="GJ168" s="2">
        <v>4</v>
      </c>
      <c r="GK168" s="2">
        <v>4</v>
      </c>
      <c r="GM168" s="2">
        <f t="shared" si="0"/>
        <v>20</v>
      </c>
      <c r="GN168" s="2">
        <f t="shared" si="1"/>
        <v>20</v>
      </c>
      <c r="GO168" s="2"/>
      <c r="GP168" s="2">
        <v>4</v>
      </c>
      <c r="GQ168" s="2">
        <v>0</v>
      </c>
      <c r="GR168" s="2">
        <v>0</v>
      </c>
      <c r="GS168" s="2">
        <v>0</v>
      </c>
      <c r="GU168" s="2">
        <v>1</v>
      </c>
      <c r="GV168" s="2">
        <v>4</v>
      </c>
      <c r="GW168" s="2">
        <v>3</v>
      </c>
      <c r="GY168" s="2">
        <v>2</v>
      </c>
      <c r="GZ168" s="2">
        <v>2</v>
      </c>
      <c r="HA168" s="2">
        <v>2</v>
      </c>
      <c r="HB168" s="2">
        <v>2</v>
      </c>
      <c r="HD168" s="2">
        <v>2</v>
      </c>
      <c r="HE168" s="2">
        <v>2</v>
      </c>
      <c r="HF168" s="2">
        <v>0</v>
      </c>
      <c r="HH168" s="2">
        <f t="shared" si="2"/>
        <v>12</v>
      </c>
      <c r="HI168" s="2">
        <f t="shared" si="3"/>
        <v>12</v>
      </c>
      <c r="HJ168" s="2"/>
      <c r="HK168" s="2">
        <v>10</v>
      </c>
      <c r="HL168" s="2">
        <v>9</v>
      </c>
      <c r="HM168" s="2"/>
      <c r="HN168" s="2"/>
    </row>
    <row r="169" spans="1:222" ht="15.75" customHeight="1" x14ac:dyDescent="0.2">
      <c r="A169" s="3" t="e">
        <f>VLOOKUP(B169,#REF!,1,FALSE)</f>
        <v>#REF!</v>
      </c>
      <c r="B169" s="3">
        <v>44473.938515949078</v>
      </c>
      <c r="C169" s="2">
        <v>226</v>
      </c>
      <c r="D169" s="2" t="s">
        <v>185</v>
      </c>
      <c r="E169" s="2">
        <v>0</v>
      </c>
      <c r="F169" s="2" t="s">
        <v>237</v>
      </c>
      <c r="G169" s="2">
        <v>2</v>
      </c>
      <c r="H169" s="2">
        <v>2</v>
      </c>
      <c r="I169" s="2">
        <v>1</v>
      </c>
      <c r="J169" s="2">
        <v>4</v>
      </c>
      <c r="K169" s="2">
        <v>0</v>
      </c>
      <c r="L169" s="2">
        <v>3</v>
      </c>
      <c r="M169" s="2" t="s">
        <v>213</v>
      </c>
      <c r="N169" s="2">
        <v>2</v>
      </c>
      <c r="O169" s="2">
        <v>4</v>
      </c>
      <c r="P169" s="2">
        <v>0</v>
      </c>
      <c r="Q169" s="2">
        <v>0</v>
      </c>
      <c r="R169" s="2">
        <v>3</v>
      </c>
      <c r="S169" s="2">
        <v>1</v>
      </c>
      <c r="T169" s="2">
        <v>0</v>
      </c>
      <c r="U169" s="2">
        <v>1</v>
      </c>
      <c r="V169" s="2">
        <v>-1</v>
      </c>
      <c r="W169" s="2">
        <v>-1</v>
      </c>
      <c r="X169" s="2"/>
      <c r="Y169" s="2">
        <v>1</v>
      </c>
      <c r="Z169" s="2">
        <v>-1</v>
      </c>
      <c r="AA169" s="2">
        <v>1</v>
      </c>
      <c r="AB169" s="2">
        <v>1</v>
      </c>
      <c r="AC169" s="2">
        <v>0</v>
      </c>
      <c r="AD169" s="2">
        <v>0</v>
      </c>
      <c r="AE169" s="2">
        <v>2</v>
      </c>
      <c r="AF169" s="2">
        <v>1</v>
      </c>
      <c r="AG169" s="2">
        <v>-2</v>
      </c>
      <c r="AH169" s="2">
        <v>-1</v>
      </c>
      <c r="AI169" s="2">
        <v>-1</v>
      </c>
      <c r="AJ169" s="2">
        <v>-1</v>
      </c>
      <c r="AK169" s="2">
        <v>-1</v>
      </c>
      <c r="AL169" s="2">
        <v>-1</v>
      </c>
      <c r="AM169" s="2">
        <v>1</v>
      </c>
      <c r="AN169" s="2">
        <v>1</v>
      </c>
      <c r="AO169" s="2">
        <v>1</v>
      </c>
      <c r="AP169" s="2">
        <v>1</v>
      </c>
      <c r="AQ169" s="2">
        <v>1</v>
      </c>
      <c r="AR169" s="2">
        <v>0</v>
      </c>
      <c r="AS169" s="2">
        <v>0</v>
      </c>
      <c r="AT169" s="2">
        <v>0</v>
      </c>
      <c r="AU169" s="2">
        <v>2</v>
      </c>
      <c r="AV169" s="2"/>
      <c r="AW169" s="2">
        <v>2</v>
      </c>
      <c r="AX169" s="2">
        <v>0</v>
      </c>
      <c r="AY169" s="2">
        <v>0</v>
      </c>
      <c r="AZ169" s="2">
        <v>1</v>
      </c>
      <c r="BA169" s="2">
        <v>1</v>
      </c>
      <c r="BB169" s="2">
        <v>1</v>
      </c>
      <c r="BC169" s="2">
        <v>1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/>
      <c r="BJ169" s="2">
        <v>2</v>
      </c>
      <c r="BK169" s="2">
        <v>0</v>
      </c>
      <c r="BL169" s="2">
        <v>0</v>
      </c>
      <c r="BM169" s="2">
        <v>8</v>
      </c>
      <c r="BN169" s="2">
        <v>7</v>
      </c>
      <c r="BO169" s="2">
        <v>8</v>
      </c>
      <c r="BP169" s="2" t="s">
        <v>627</v>
      </c>
      <c r="BQ169" s="2"/>
      <c r="BR169" s="2"/>
      <c r="BS169" s="2"/>
      <c r="BT169" s="2"/>
      <c r="BU169" s="2"/>
      <c r="BV169" s="2" t="s">
        <v>628</v>
      </c>
      <c r="BW169" s="2" t="s">
        <v>629</v>
      </c>
      <c r="BX169" s="2" t="s">
        <v>190</v>
      </c>
      <c r="BY169" s="2" t="s">
        <v>188</v>
      </c>
      <c r="BZ169" s="2" t="s">
        <v>188</v>
      </c>
      <c r="CA169" s="2" t="s">
        <v>190</v>
      </c>
      <c r="CB169" s="2" t="s">
        <v>190</v>
      </c>
      <c r="CC169" s="2" t="s">
        <v>190</v>
      </c>
      <c r="CD169" s="2" t="s">
        <v>189</v>
      </c>
      <c r="CE169" s="2" t="s">
        <v>188</v>
      </c>
      <c r="CF169" s="2" t="s">
        <v>188</v>
      </c>
      <c r="CG169" s="2" t="s">
        <v>188</v>
      </c>
      <c r="CH169" s="2" t="s">
        <v>188</v>
      </c>
      <c r="CI169" s="2" t="s">
        <v>190</v>
      </c>
      <c r="CJ169" s="2" t="s">
        <v>188</v>
      </c>
      <c r="CK169" s="2" t="s">
        <v>190</v>
      </c>
      <c r="CL169" s="2" t="s">
        <v>190</v>
      </c>
      <c r="CM169" s="2" t="s">
        <v>193</v>
      </c>
      <c r="CN169" s="2" t="s">
        <v>192</v>
      </c>
      <c r="CO169" s="2" t="s">
        <v>200</v>
      </c>
      <c r="CP169" s="2" t="s">
        <v>193</v>
      </c>
      <c r="CQ169" s="2" t="s">
        <v>193</v>
      </c>
      <c r="CR169" s="2" t="s">
        <v>193</v>
      </c>
      <c r="CS169" s="2" t="s">
        <v>193</v>
      </c>
      <c r="CT169" s="2" t="s">
        <v>192</v>
      </c>
      <c r="CU169" s="2" t="s">
        <v>192</v>
      </c>
      <c r="CV169" s="2" t="s">
        <v>200</v>
      </c>
      <c r="CW169" s="2" t="s">
        <v>200</v>
      </c>
      <c r="CX169" s="2" t="s">
        <v>200</v>
      </c>
      <c r="CY169" s="2" t="s">
        <v>200</v>
      </c>
      <c r="CZ169" s="2" t="s">
        <v>200</v>
      </c>
      <c r="DA169" s="2" t="s">
        <v>200</v>
      </c>
      <c r="DB169" s="2" t="s">
        <v>193</v>
      </c>
      <c r="DC169" s="2" t="s">
        <v>192</v>
      </c>
      <c r="DD169" s="2" t="s">
        <v>193</v>
      </c>
      <c r="DE169" s="2" t="s">
        <v>193</v>
      </c>
      <c r="DF169" s="2" t="s">
        <v>200</v>
      </c>
      <c r="DG169" s="2" t="s">
        <v>196</v>
      </c>
      <c r="DH169" s="2" t="s">
        <v>194</v>
      </c>
      <c r="DI169" s="2" t="s">
        <v>195</v>
      </c>
      <c r="DJ169" s="2" t="s">
        <v>195</v>
      </c>
      <c r="DK169" s="2" t="s">
        <v>194</v>
      </c>
      <c r="DL169" s="2" t="s">
        <v>195</v>
      </c>
      <c r="DM169" s="2" t="s">
        <v>195</v>
      </c>
      <c r="DN169" s="2" t="s">
        <v>196</v>
      </c>
      <c r="DO169" s="2" t="s">
        <v>196</v>
      </c>
      <c r="DP169" s="2" t="s">
        <v>194</v>
      </c>
      <c r="DQ169" s="2" t="s">
        <v>195</v>
      </c>
      <c r="DR169" s="2" t="s">
        <v>195</v>
      </c>
      <c r="DS169" s="2" t="s">
        <v>197</v>
      </c>
      <c r="DT169" s="2" t="s">
        <v>197</v>
      </c>
      <c r="DU169" s="2" t="s">
        <v>197</v>
      </c>
      <c r="DV169" s="2" t="s">
        <v>197</v>
      </c>
      <c r="DW169" s="2" t="s">
        <v>197</v>
      </c>
      <c r="DX169" s="2" t="s">
        <v>197</v>
      </c>
      <c r="DY169" s="2" t="s">
        <v>197</v>
      </c>
      <c r="DZ169" s="2"/>
      <c r="EA169" s="2">
        <v>1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1</v>
      </c>
      <c r="EI169" s="2">
        <v>0</v>
      </c>
      <c r="EJ169" s="2">
        <v>1</v>
      </c>
      <c r="EK169" s="2">
        <v>0</v>
      </c>
      <c r="EL169" s="2">
        <v>0</v>
      </c>
      <c r="EM169" s="2">
        <v>0</v>
      </c>
      <c r="EN169" s="2">
        <v>1</v>
      </c>
      <c r="EO169" s="2">
        <v>0</v>
      </c>
      <c r="EP169" s="2">
        <v>1</v>
      </c>
      <c r="EQ169" s="2">
        <v>0</v>
      </c>
      <c r="ER169" s="2">
        <v>1</v>
      </c>
      <c r="ES169" s="2">
        <v>0</v>
      </c>
      <c r="ET169" s="2">
        <v>0</v>
      </c>
      <c r="EU169" s="2">
        <v>1</v>
      </c>
      <c r="EV169" s="2">
        <v>1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1</v>
      </c>
      <c r="FJ169" s="2">
        <v>0</v>
      </c>
      <c r="FK169" s="2">
        <v>0</v>
      </c>
      <c r="FL169" s="2">
        <v>0</v>
      </c>
      <c r="FM169" s="2">
        <v>0</v>
      </c>
      <c r="FN169" s="2">
        <v>1</v>
      </c>
      <c r="FO169" s="2">
        <v>0</v>
      </c>
      <c r="FP169" s="2">
        <v>0</v>
      </c>
      <c r="FQ169" s="2">
        <v>1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/>
      <c r="GA169" s="2">
        <v>1</v>
      </c>
      <c r="GB169" s="2">
        <v>1</v>
      </c>
      <c r="GC169" s="2">
        <v>1</v>
      </c>
      <c r="GD169" s="2">
        <v>1</v>
      </c>
      <c r="GE169" s="2">
        <v>1</v>
      </c>
      <c r="GG169" s="2">
        <v>1</v>
      </c>
      <c r="GH169" s="2">
        <v>1</v>
      </c>
      <c r="GI169" s="2">
        <v>1</v>
      </c>
      <c r="GJ169" s="2">
        <v>1</v>
      </c>
      <c r="GK169" s="2">
        <v>0</v>
      </c>
      <c r="GM169" s="2">
        <f t="shared" si="0"/>
        <v>5</v>
      </c>
      <c r="GN169" s="2">
        <f t="shared" si="1"/>
        <v>4</v>
      </c>
      <c r="GO169" s="2"/>
      <c r="GP169" s="2">
        <v>0</v>
      </c>
      <c r="GQ169" s="2">
        <v>0</v>
      </c>
      <c r="GR169" s="2">
        <v>0</v>
      </c>
      <c r="GS169" s="2">
        <v>2</v>
      </c>
      <c r="GU169" s="2">
        <v>2</v>
      </c>
      <c r="GV169" s="2">
        <v>0</v>
      </c>
      <c r="GW169" s="2">
        <v>0</v>
      </c>
      <c r="GY169" s="2">
        <v>0</v>
      </c>
      <c r="GZ169" s="2">
        <v>0</v>
      </c>
      <c r="HA169" s="2">
        <v>0</v>
      </c>
      <c r="HB169" s="2">
        <v>0</v>
      </c>
      <c r="HD169" s="2">
        <v>2</v>
      </c>
      <c r="HE169" s="2">
        <v>0</v>
      </c>
      <c r="HF169" s="2">
        <v>0</v>
      </c>
      <c r="HH169" s="2">
        <f t="shared" si="2"/>
        <v>4</v>
      </c>
      <c r="HI169" s="2">
        <f t="shared" si="3"/>
        <v>2</v>
      </c>
      <c r="HJ169" s="2"/>
      <c r="HK169" s="2">
        <v>7</v>
      </c>
      <c r="HL169" s="2">
        <v>8</v>
      </c>
      <c r="HM169" s="2"/>
      <c r="HN169" s="2"/>
    </row>
    <row r="170" spans="1:222" ht="15.75" customHeight="1" x14ac:dyDescent="0.2">
      <c r="A170" s="3" t="e">
        <f>VLOOKUP(B170,#REF!,1,FALSE)</f>
        <v>#REF!</v>
      </c>
      <c r="B170" s="3">
        <v>44474.402809490741</v>
      </c>
      <c r="C170" s="2">
        <v>227</v>
      </c>
      <c r="D170" s="2" t="s">
        <v>185</v>
      </c>
      <c r="E170" s="2">
        <v>0</v>
      </c>
      <c r="F170" s="2" t="s">
        <v>630</v>
      </c>
      <c r="G170" s="2">
        <v>15</v>
      </c>
      <c r="H170" s="2">
        <v>2</v>
      </c>
      <c r="I170" s="2">
        <v>1</v>
      </c>
      <c r="J170" s="2">
        <v>2</v>
      </c>
      <c r="K170" s="2">
        <v>0</v>
      </c>
      <c r="L170" s="2">
        <v>7</v>
      </c>
      <c r="M170" s="2" t="s">
        <v>187</v>
      </c>
      <c r="N170" s="2">
        <v>3</v>
      </c>
      <c r="O170" s="2">
        <v>4</v>
      </c>
      <c r="P170" s="2">
        <v>0</v>
      </c>
      <c r="Q170" s="2" t="s">
        <v>457</v>
      </c>
      <c r="R170" s="2">
        <v>3</v>
      </c>
      <c r="S170" s="2">
        <v>1</v>
      </c>
      <c r="T170" s="2">
        <v>-1</v>
      </c>
      <c r="U170" s="2">
        <v>1</v>
      </c>
      <c r="V170" s="2">
        <v>1</v>
      </c>
      <c r="W170" s="2">
        <v>-1</v>
      </c>
      <c r="X170" s="2"/>
      <c r="Y170" s="2">
        <v>-1</v>
      </c>
      <c r="Z170" s="2">
        <v>1</v>
      </c>
      <c r="AA170" s="2">
        <v>1</v>
      </c>
      <c r="AB170" s="2">
        <v>4</v>
      </c>
      <c r="AC170" s="2">
        <v>4</v>
      </c>
      <c r="AD170" s="2">
        <v>4</v>
      </c>
      <c r="AE170" s="2">
        <v>4</v>
      </c>
      <c r="AF170" s="2">
        <v>4</v>
      </c>
      <c r="AG170" s="2">
        <v>3</v>
      </c>
      <c r="AH170" s="2">
        <v>3</v>
      </c>
      <c r="AI170" s="2">
        <v>3</v>
      </c>
      <c r="AJ170" s="2">
        <v>2</v>
      </c>
      <c r="AK170" s="2">
        <v>3</v>
      </c>
      <c r="AL170" s="2">
        <v>3</v>
      </c>
      <c r="AM170" s="2">
        <v>4</v>
      </c>
      <c r="AN170" s="2">
        <v>4</v>
      </c>
      <c r="AO170" s="2">
        <v>4</v>
      </c>
      <c r="AP170" s="2">
        <v>4</v>
      </c>
      <c r="AQ170" s="2">
        <v>4</v>
      </c>
      <c r="AR170" s="2">
        <v>3</v>
      </c>
      <c r="AS170" s="2">
        <v>0</v>
      </c>
      <c r="AT170" s="2">
        <v>1</v>
      </c>
      <c r="AU170" s="2">
        <v>0</v>
      </c>
      <c r="AV170" s="2"/>
      <c r="AW170" s="2">
        <v>0</v>
      </c>
      <c r="AX170" s="2">
        <v>0</v>
      </c>
      <c r="AY170" s="2">
        <v>0</v>
      </c>
      <c r="AZ170" s="2">
        <v>2</v>
      </c>
      <c r="BA170" s="2">
        <v>2</v>
      </c>
      <c r="BB170" s="2">
        <v>2</v>
      </c>
      <c r="BC170" s="2">
        <v>2</v>
      </c>
      <c r="BD170" s="2">
        <v>2</v>
      </c>
      <c r="BE170" s="2">
        <v>2</v>
      </c>
      <c r="BF170" s="2">
        <v>2</v>
      </c>
      <c r="BG170" s="2">
        <v>2</v>
      </c>
      <c r="BH170" s="2">
        <v>2</v>
      </c>
      <c r="BI170" s="2"/>
      <c r="BJ170" s="2">
        <v>2</v>
      </c>
      <c r="BK170" s="2">
        <v>2</v>
      </c>
      <c r="BL170" s="2">
        <v>1</v>
      </c>
      <c r="BM170" s="2">
        <v>7</v>
      </c>
      <c r="BN170" s="2">
        <v>9</v>
      </c>
      <c r="BO170" s="2">
        <v>8</v>
      </c>
      <c r="BP170" s="2"/>
      <c r="BQ170" s="2"/>
      <c r="BR170" s="2"/>
      <c r="BS170" s="2"/>
      <c r="BT170" s="2"/>
      <c r="BU170" s="2"/>
      <c r="BV170" s="2"/>
      <c r="BW170" s="2"/>
      <c r="BX170" s="2" t="s">
        <v>191</v>
      </c>
      <c r="BY170" s="2" t="s">
        <v>191</v>
      </c>
      <c r="BZ170" s="2" t="s">
        <v>190</v>
      </c>
      <c r="CA170" s="2" t="s">
        <v>191</v>
      </c>
      <c r="CB170" s="2" t="s">
        <v>190</v>
      </c>
      <c r="CC170" s="2" t="s">
        <v>190</v>
      </c>
      <c r="CD170" s="2" t="s">
        <v>190</v>
      </c>
      <c r="CE170" s="2" t="s">
        <v>190</v>
      </c>
      <c r="CF170" s="2" t="s">
        <v>190</v>
      </c>
      <c r="CG170" s="2" t="s">
        <v>188</v>
      </c>
      <c r="CH170" s="2" t="s">
        <v>190</v>
      </c>
      <c r="CI170" s="2" t="s">
        <v>190</v>
      </c>
      <c r="CJ170" s="2" t="s">
        <v>190</v>
      </c>
      <c r="CK170" s="2" t="s">
        <v>190</v>
      </c>
      <c r="CL170" s="2" t="s">
        <v>190</v>
      </c>
      <c r="CM170" s="2" t="s">
        <v>192</v>
      </c>
      <c r="CN170" s="2" t="s">
        <v>192</v>
      </c>
      <c r="CO170" s="2" t="s">
        <v>192</v>
      </c>
      <c r="CP170" s="2" t="s">
        <v>192</v>
      </c>
      <c r="CQ170" s="2" t="s">
        <v>192</v>
      </c>
      <c r="CR170" s="2" t="s">
        <v>193</v>
      </c>
      <c r="CS170" s="2" t="s">
        <v>200</v>
      </c>
      <c r="CT170" s="2" t="s">
        <v>193</v>
      </c>
      <c r="CU170" s="2" t="s">
        <v>193</v>
      </c>
      <c r="CV170" s="2" t="s">
        <v>192</v>
      </c>
      <c r="CW170" s="2" t="s">
        <v>192</v>
      </c>
      <c r="CX170" s="2" t="s">
        <v>200</v>
      </c>
      <c r="CY170" s="2" t="s">
        <v>192</v>
      </c>
      <c r="CZ170" s="2" t="s">
        <v>200</v>
      </c>
      <c r="DA170" s="2" t="s">
        <v>192</v>
      </c>
      <c r="DB170" s="2" t="s">
        <v>192</v>
      </c>
      <c r="DC170" s="2" t="s">
        <v>192</v>
      </c>
      <c r="DD170" s="2" t="s">
        <v>193</v>
      </c>
      <c r="DE170" s="2" t="s">
        <v>192</v>
      </c>
      <c r="DF170" s="2" t="s">
        <v>192</v>
      </c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>
        <v>0</v>
      </c>
      <c r="EB170" s="2">
        <v>1</v>
      </c>
      <c r="EC170" s="2">
        <v>1</v>
      </c>
      <c r="ED170" s="2">
        <v>0</v>
      </c>
      <c r="EE170" s="2">
        <v>1</v>
      </c>
      <c r="EF170" s="2">
        <v>0</v>
      </c>
      <c r="EG170" s="2">
        <v>0</v>
      </c>
      <c r="EH170" s="2">
        <v>0</v>
      </c>
      <c r="EI170" s="2">
        <v>1</v>
      </c>
      <c r="EJ170" s="2">
        <v>1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1</v>
      </c>
      <c r="EQ170" s="2">
        <v>0</v>
      </c>
      <c r="ER170" s="2">
        <v>0</v>
      </c>
      <c r="ES170" s="2">
        <v>1</v>
      </c>
      <c r="ET170" s="2">
        <v>0</v>
      </c>
      <c r="EU170" s="2">
        <v>1</v>
      </c>
      <c r="EV170" s="2">
        <v>1</v>
      </c>
      <c r="EW170" s="2">
        <v>0</v>
      </c>
      <c r="EX170" s="2">
        <v>0</v>
      </c>
      <c r="EY170" s="2">
        <v>1</v>
      </c>
      <c r="EZ170" s="2">
        <v>1</v>
      </c>
      <c r="FA170" s="2">
        <v>0</v>
      </c>
      <c r="FB170" s="2">
        <v>0</v>
      </c>
      <c r="FC170" s="2">
        <v>1</v>
      </c>
      <c r="FD170" s="2">
        <v>0</v>
      </c>
      <c r="FE170" s="2">
        <v>0</v>
      </c>
      <c r="FF170" s="2">
        <v>1</v>
      </c>
      <c r="FG170" s="2">
        <v>0</v>
      </c>
      <c r="FH170" s="2">
        <v>1</v>
      </c>
      <c r="FI170" s="2">
        <v>0</v>
      </c>
      <c r="FJ170" s="2">
        <v>1</v>
      </c>
      <c r="FK170" s="2">
        <v>0</v>
      </c>
      <c r="FL170" s="2">
        <v>1</v>
      </c>
      <c r="FM170" s="2">
        <v>0</v>
      </c>
      <c r="FN170" s="2">
        <v>0</v>
      </c>
      <c r="FO170" s="2">
        <v>1</v>
      </c>
      <c r="FP170" s="2">
        <v>0</v>
      </c>
      <c r="FQ170" s="2">
        <v>1</v>
      </c>
      <c r="FR170" s="2">
        <v>0</v>
      </c>
      <c r="FS170" s="2">
        <v>1</v>
      </c>
      <c r="FT170" s="2">
        <v>0</v>
      </c>
      <c r="FU170" s="2">
        <v>1</v>
      </c>
      <c r="FV170" s="2">
        <v>0</v>
      </c>
      <c r="FW170" s="2">
        <v>1</v>
      </c>
      <c r="FX170" s="2">
        <v>0</v>
      </c>
      <c r="FY170" s="2">
        <v>1</v>
      </c>
      <c r="FZ170" s="2"/>
      <c r="GA170" s="2">
        <v>4</v>
      </c>
      <c r="GB170" s="2">
        <v>4</v>
      </c>
      <c r="GC170" s="2">
        <v>4</v>
      </c>
      <c r="GD170" s="2">
        <v>4</v>
      </c>
      <c r="GE170" s="2">
        <v>4</v>
      </c>
      <c r="GG170" s="2">
        <v>2</v>
      </c>
      <c r="GH170" s="2">
        <v>2</v>
      </c>
      <c r="GI170" s="2">
        <v>2</v>
      </c>
      <c r="GJ170" s="2">
        <v>2</v>
      </c>
      <c r="GK170" s="2">
        <v>2</v>
      </c>
      <c r="GM170" s="2">
        <f t="shared" si="0"/>
        <v>20</v>
      </c>
      <c r="GN170" s="2">
        <f t="shared" si="1"/>
        <v>10</v>
      </c>
      <c r="GO170" s="2"/>
      <c r="GP170" s="2">
        <v>3</v>
      </c>
      <c r="GQ170" s="2">
        <v>0</v>
      </c>
      <c r="GR170" s="2">
        <v>1</v>
      </c>
      <c r="GS170" s="2">
        <v>0</v>
      </c>
      <c r="GU170" s="2">
        <v>0</v>
      </c>
      <c r="GV170" s="2">
        <v>0</v>
      </c>
      <c r="GW170" s="2">
        <v>0</v>
      </c>
      <c r="GY170" s="2">
        <v>2</v>
      </c>
      <c r="GZ170" s="2">
        <v>2</v>
      </c>
      <c r="HA170" s="2">
        <v>2</v>
      </c>
      <c r="HB170" s="2">
        <v>2</v>
      </c>
      <c r="HD170" s="2">
        <v>2</v>
      </c>
      <c r="HE170" s="2">
        <v>2</v>
      </c>
      <c r="HF170" s="2">
        <v>1</v>
      </c>
      <c r="HH170" s="2">
        <f t="shared" si="2"/>
        <v>4</v>
      </c>
      <c r="HI170" s="2">
        <f t="shared" si="3"/>
        <v>13</v>
      </c>
      <c r="HJ170" s="2"/>
      <c r="HK170" s="2">
        <v>9</v>
      </c>
      <c r="HL170" s="2">
        <v>8</v>
      </c>
      <c r="HM170" s="2"/>
      <c r="HN170" s="2"/>
    </row>
    <row r="171" spans="1:222" ht="15.75" customHeight="1" x14ac:dyDescent="0.2">
      <c r="A171" s="3" t="e">
        <f>VLOOKUP(B171,#REF!,1,FALSE)</f>
        <v>#REF!</v>
      </c>
      <c r="B171" s="3">
        <v>44474.627036979167</v>
      </c>
      <c r="C171" s="2">
        <v>228</v>
      </c>
      <c r="D171" s="2" t="s">
        <v>185</v>
      </c>
      <c r="E171" s="2">
        <v>0</v>
      </c>
      <c r="F171" s="2" t="s">
        <v>232</v>
      </c>
      <c r="G171" s="2">
        <v>15</v>
      </c>
      <c r="H171" s="2">
        <v>2</v>
      </c>
      <c r="I171" s="2">
        <v>1</v>
      </c>
      <c r="J171" s="2">
        <v>4</v>
      </c>
      <c r="K171" s="2">
        <v>1</v>
      </c>
      <c r="L171" s="2">
        <v>5</v>
      </c>
      <c r="M171" s="2" t="s">
        <v>187</v>
      </c>
      <c r="N171" s="2">
        <v>3</v>
      </c>
      <c r="O171" s="2">
        <v>1</v>
      </c>
      <c r="P171" s="2">
        <v>0</v>
      </c>
      <c r="Q171" s="2">
        <v>0</v>
      </c>
      <c r="R171" s="2">
        <v>2</v>
      </c>
      <c r="S171" s="2">
        <v>-1</v>
      </c>
      <c r="T171" s="2">
        <v>-1</v>
      </c>
      <c r="U171" s="2">
        <v>1</v>
      </c>
      <c r="V171" s="2">
        <v>-1</v>
      </c>
      <c r="W171" s="2">
        <v>-1</v>
      </c>
      <c r="X171" s="2"/>
      <c r="Y171" s="2">
        <v>-1</v>
      </c>
      <c r="Z171" s="2">
        <v>0</v>
      </c>
      <c r="AA171" s="2">
        <v>1</v>
      </c>
      <c r="AB171" s="2">
        <v>1</v>
      </c>
      <c r="AC171" s="2">
        <v>-99</v>
      </c>
      <c r="AD171" s="2">
        <v>-99</v>
      </c>
      <c r="AE171" s="2">
        <v>1</v>
      </c>
      <c r="AF171" s="2">
        <v>4</v>
      </c>
      <c r="AG171" s="2">
        <v>1</v>
      </c>
      <c r="AH171" s="2">
        <v>1</v>
      </c>
      <c r="AI171" s="2">
        <v>1</v>
      </c>
      <c r="AJ171" s="2">
        <v>1</v>
      </c>
      <c r="AK171" s="2">
        <v>3</v>
      </c>
      <c r="AL171" s="2">
        <v>3</v>
      </c>
      <c r="AM171" s="2">
        <v>1</v>
      </c>
      <c r="AN171" s="2">
        <v>1</v>
      </c>
      <c r="AO171" s="2">
        <v>4</v>
      </c>
      <c r="AP171" s="2">
        <v>1</v>
      </c>
      <c r="AQ171" s="2">
        <v>1</v>
      </c>
      <c r="AR171" s="2">
        <v>1</v>
      </c>
      <c r="AS171" s="2">
        <v>1</v>
      </c>
      <c r="AT171" s="2">
        <v>3</v>
      </c>
      <c r="AU171" s="2">
        <v>1</v>
      </c>
      <c r="AV171" s="2"/>
      <c r="AW171" s="2">
        <v>2</v>
      </c>
      <c r="AX171" s="2">
        <v>1</v>
      </c>
      <c r="AY171" s="2">
        <v>3</v>
      </c>
      <c r="AZ171" s="2">
        <v>3</v>
      </c>
      <c r="BA171" s="2">
        <v>5</v>
      </c>
      <c r="BB171" s="2">
        <v>1</v>
      </c>
      <c r="BC171" s="2">
        <v>3</v>
      </c>
      <c r="BD171" s="2">
        <v>2</v>
      </c>
      <c r="BE171" s="2">
        <v>3</v>
      </c>
      <c r="BF171" s="2">
        <v>1</v>
      </c>
      <c r="BG171" s="2">
        <v>3</v>
      </c>
      <c r="BH171" s="2">
        <v>1</v>
      </c>
      <c r="BI171" s="2"/>
      <c r="BJ171" s="2">
        <v>3</v>
      </c>
      <c r="BK171" s="2">
        <v>1</v>
      </c>
      <c r="BL171" s="2">
        <v>2</v>
      </c>
      <c r="BM171" s="2">
        <v>4</v>
      </c>
      <c r="BN171" s="2">
        <v>6</v>
      </c>
      <c r="BO171" s="2">
        <v>3</v>
      </c>
      <c r="BP171" s="2"/>
      <c r="BQ171" s="2" t="s">
        <v>631</v>
      </c>
      <c r="BR171" s="2"/>
      <c r="BS171" s="2" t="s">
        <v>632</v>
      </c>
      <c r="BT171" s="2" t="s">
        <v>633</v>
      </c>
      <c r="BU171" s="2"/>
      <c r="BV171" s="2" t="s">
        <v>634</v>
      </c>
      <c r="BW171" s="2" t="s">
        <v>635</v>
      </c>
      <c r="BX171" s="2" t="s">
        <v>188</v>
      </c>
      <c r="BY171" s="2" t="s">
        <v>190</v>
      </c>
      <c r="BZ171" s="2" t="s">
        <v>189</v>
      </c>
      <c r="CA171" s="2" t="s">
        <v>189</v>
      </c>
      <c r="CB171" s="2" t="s">
        <v>190</v>
      </c>
      <c r="CC171" s="2" t="s">
        <v>191</v>
      </c>
      <c r="CD171" s="2" t="s">
        <v>188</v>
      </c>
      <c r="CE171" s="2" t="s">
        <v>191</v>
      </c>
      <c r="CF171" s="2" t="s">
        <v>190</v>
      </c>
      <c r="CG171" s="2" t="s">
        <v>190</v>
      </c>
      <c r="CH171" s="2" t="s">
        <v>190</v>
      </c>
      <c r="CI171" s="2" t="s">
        <v>190</v>
      </c>
      <c r="CJ171" s="2" t="s">
        <v>188</v>
      </c>
      <c r="CK171" s="2" t="s">
        <v>188</v>
      </c>
      <c r="CL171" s="2" t="s">
        <v>188</v>
      </c>
      <c r="CM171" s="2" t="s">
        <v>192</v>
      </c>
      <c r="CN171" s="2" t="s">
        <v>192</v>
      </c>
      <c r="CO171" s="2" t="s">
        <v>192</v>
      </c>
      <c r="CP171" s="2" t="s">
        <v>192</v>
      </c>
      <c r="CQ171" s="2" t="s">
        <v>192</v>
      </c>
      <c r="CR171" s="2" t="s">
        <v>193</v>
      </c>
      <c r="CS171" s="2" t="s">
        <v>192</v>
      </c>
      <c r="CT171" s="2" t="s">
        <v>192</v>
      </c>
      <c r="CU171" s="2" t="s">
        <v>192</v>
      </c>
      <c r="CV171" s="2" t="s">
        <v>192</v>
      </c>
      <c r="CW171" s="2" t="s">
        <v>192</v>
      </c>
      <c r="CX171" s="2" t="s">
        <v>193</v>
      </c>
      <c r="CY171" s="2" t="s">
        <v>192</v>
      </c>
      <c r="CZ171" s="2" t="s">
        <v>192</v>
      </c>
      <c r="DA171" s="2" t="s">
        <v>192</v>
      </c>
      <c r="DB171" s="2" t="s">
        <v>192</v>
      </c>
      <c r="DC171" s="2" t="s">
        <v>192</v>
      </c>
      <c r="DD171" s="2" t="s">
        <v>192</v>
      </c>
      <c r="DE171" s="2" t="s">
        <v>192</v>
      </c>
      <c r="DF171" s="2" t="s">
        <v>192</v>
      </c>
      <c r="DG171" s="2" t="s">
        <v>220</v>
      </c>
      <c r="DH171" s="2" t="s">
        <v>196</v>
      </c>
      <c r="DI171" s="2" t="s">
        <v>196</v>
      </c>
      <c r="DJ171" s="2" t="s">
        <v>196</v>
      </c>
      <c r="DK171" s="2" t="s">
        <v>194</v>
      </c>
      <c r="DL171" s="2" t="s">
        <v>196</v>
      </c>
      <c r="DM171" s="2" t="s">
        <v>196</v>
      </c>
      <c r="DN171" s="2" t="s">
        <v>220</v>
      </c>
      <c r="DO171" s="2" t="s">
        <v>220</v>
      </c>
      <c r="DP171" s="2" t="s">
        <v>194</v>
      </c>
      <c r="DQ171" s="2" t="s">
        <v>196</v>
      </c>
      <c r="DR171" s="2" t="s">
        <v>196</v>
      </c>
      <c r="DS171" s="2" t="s">
        <v>197</v>
      </c>
      <c r="DT171" s="2" t="s">
        <v>197</v>
      </c>
      <c r="DU171" s="2" t="s">
        <v>221</v>
      </c>
      <c r="DV171" s="2" t="s">
        <v>221</v>
      </c>
      <c r="DW171" s="2" t="s">
        <v>222</v>
      </c>
      <c r="DX171" s="2" t="s">
        <v>222</v>
      </c>
      <c r="DY171" s="2" t="s">
        <v>222</v>
      </c>
      <c r="DZ171" s="2"/>
      <c r="EA171" s="2">
        <v>1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1</v>
      </c>
      <c r="EJ171" s="2">
        <v>1</v>
      </c>
      <c r="EK171" s="2">
        <v>0</v>
      </c>
      <c r="EL171" s="2">
        <v>0</v>
      </c>
      <c r="EM171" s="2">
        <v>1</v>
      </c>
      <c r="EN171" s="2">
        <v>1</v>
      </c>
      <c r="EO171" s="2">
        <v>0</v>
      </c>
      <c r="EP171" s="2">
        <v>0</v>
      </c>
      <c r="EQ171" s="2">
        <v>1</v>
      </c>
      <c r="ER171" s="2">
        <v>0</v>
      </c>
      <c r="ES171" s="2">
        <v>1</v>
      </c>
      <c r="ET171" s="2">
        <v>0</v>
      </c>
      <c r="EU171" s="2">
        <v>1</v>
      </c>
      <c r="EV171" s="2">
        <v>0</v>
      </c>
      <c r="EW171" s="2">
        <v>1</v>
      </c>
      <c r="EX171" s="2">
        <v>0</v>
      </c>
      <c r="EY171" s="2">
        <v>1</v>
      </c>
      <c r="EZ171" s="2">
        <v>1</v>
      </c>
      <c r="FA171" s="2">
        <v>0</v>
      </c>
      <c r="FB171" s="2">
        <v>0</v>
      </c>
      <c r="FC171" s="2">
        <v>1</v>
      </c>
      <c r="FD171" s="2">
        <v>0</v>
      </c>
      <c r="FE171" s="2">
        <v>0</v>
      </c>
      <c r="FF171" s="2">
        <v>0</v>
      </c>
      <c r="FG171" s="2">
        <v>1</v>
      </c>
      <c r="FH171" s="2">
        <v>1</v>
      </c>
      <c r="FI171" s="2">
        <v>0</v>
      </c>
      <c r="FJ171" s="2">
        <v>1</v>
      </c>
      <c r="FK171" s="2">
        <v>0</v>
      </c>
      <c r="FL171" s="2">
        <v>1</v>
      </c>
      <c r="FM171" s="2">
        <v>0</v>
      </c>
      <c r="FN171" s="2">
        <v>0</v>
      </c>
      <c r="FO171" s="2">
        <v>1</v>
      </c>
      <c r="FP171" s="2">
        <v>0</v>
      </c>
      <c r="FQ171" s="2">
        <v>1</v>
      </c>
      <c r="FR171" s="2">
        <v>1</v>
      </c>
      <c r="FS171" s="2">
        <v>0</v>
      </c>
      <c r="FT171" s="2">
        <v>1</v>
      </c>
      <c r="FU171" s="2">
        <v>0</v>
      </c>
      <c r="FV171" s="2">
        <v>1</v>
      </c>
      <c r="FW171" s="2">
        <v>0</v>
      </c>
      <c r="FX171" s="2">
        <v>0</v>
      </c>
      <c r="FY171" s="2">
        <v>1</v>
      </c>
      <c r="FZ171" s="2"/>
      <c r="GA171" s="2">
        <v>1</v>
      </c>
      <c r="GB171" s="2">
        <v>1</v>
      </c>
      <c r="GC171" s="2">
        <v>4</v>
      </c>
      <c r="GD171" s="2">
        <v>1</v>
      </c>
      <c r="GE171" s="2">
        <v>1</v>
      </c>
      <c r="GG171" s="2">
        <v>3</v>
      </c>
      <c r="GH171" s="2">
        <v>5</v>
      </c>
      <c r="GI171" s="2">
        <v>1</v>
      </c>
      <c r="GJ171" s="2">
        <v>3</v>
      </c>
      <c r="GK171" s="2">
        <v>2</v>
      </c>
      <c r="GM171" s="2">
        <f t="shared" si="0"/>
        <v>8</v>
      </c>
      <c r="GN171" s="2">
        <f t="shared" si="1"/>
        <v>14</v>
      </c>
      <c r="GO171" s="2"/>
      <c r="GP171" s="2">
        <v>1</v>
      </c>
      <c r="GQ171" s="2">
        <v>1</v>
      </c>
      <c r="GR171" s="2">
        <v>3</v>
      </c>
      <c r="GS171" s="2">
        <v>1</v>
      </c>
      <c r="GU171" s="2">
        <v>2</v>
      </c>
      <c r="GV171" s="2">
        <v>1</v>
      </c>
      <c r="GW171" s="2">
        <v>3</v>
      </c>
      <c r="GY171" s="2">
        <v>3</v>
      </c>
      <c r="GZ171" s="2">
        <v>1</v>
      </c>
      <c r="HA171" s="2">
        <v>3</v>
      </c>
      <c r="HB171" s="2">
        <v>1</v>
      </c>
      <c r="HD171" s="2">
        <v>3</v>
      </c>
      <c r="HE171" s="2">
        <v>1</v>
      </c>
      <c r="HF171" s="2">
        <v>2</v>
      </c>
      <c r="HH171" s="2">
        <f t="shared" si="2"/>
        <v>12</v>
      </c>
      <c r="HI171" s="2">
        <f t="shared" si="3"/>
        <v>14</v>
      </c>
      <c r="HJ171" s="2"/>
      <c r="HK171" s="2">
        <v>6</v>
      </c>
      <c r="HL171" s="2">
        <v>3</v>
      </c>
      <c r="HM171" s="2"/>
      <c r="HN171" s="2"/>
    </row>
    <row r="172" spans="1:222" ht="15.75" customHeight="1" x14ac:dyDescent="0.2">
      <c r="A172" s="3" t="e">
        <f>VLOOKUP(B172,#REF!,1,FALSE)</f>
        <v>#REF!</v>
      </c>
      <c r="B172" s="3">
        <v>44474.799357048614</v>
      </c>
      <c r="C172" s="2">
        <v>229</v>
      </c>
      <c r="D172" s="2" t="s">
        <v>185</v>
      </c>
      <c r="E172" s="2">
        <v>0</v>
      </c>
      <c r="F172" s="2" t="s">
        <v>237</v>
      </c>
      <c r="G172" s="2">
        <v>2</v>
      </c>
      <c r="H172" s="2">
        <v>2</v>
      </c>
      <c r="I172" s="2">
        <v>1</v>
      </c>
      <c r="J172" s="2">
        <v>3</v>
      </c>
      <c r="K172" s="2">
        <v>0</v>
      </c>
      <c r="L172" s="2">
        <v>3</v>
      </c>
      <c r="M172" s="2" t="s">
        <v>208</v>
      </c>
      <c r="N172" s="2">
        <v>2</v>
      </c>
      <c r="O172" s="2">
        <v>5</v>
      </c>
      <c r="P172" s="2">
        <v>0</v>
      </c>
      <c r="Q172" s="2">
        <v>0</v>
      </c>
      <c r="R172" s="2">
        <v>2</v>
      </c>
      <c r="S172" s="2">
        <v>0</v>
      </c>
      <c r="T172" s="2">
        <v>-1</v>
      </c>
      <c r="U172" s="2">
        <v>0</v>
      </c>
      <c r="V172" s="2">
        <v>-1</v>
      </c>
      <c r="W172" s="2">
        <v>-1</v>
      </c>
      <c r="X172" s="2"/>
      <c r="Y172" s="2">
        <v>-1</v>
      </c>
      <c r="Z172" s="2">
        <v>1</v>
      </c>
      <c r="AA172" s="2">
        <v>1</v>
      </c>
      <c r="AB172" s="2">
        <v>4</v>
      </c>
      <c r="AC172" s="2">
        <v>1</v>
      </c>
      <c r="AD172" s="2">
        <v>0</v>
      </c>
      <c r="AE172" s="2">
        <v>2</v>
      </c>
      <c r="AF172" s="2">
        <v>2</v>
      </c>
      <c r="AG172" s="2">
        <v>-1</v>
      </c>
      <c r="AH172" s="2">
        <v>2</v>
      </c>
      <c r="AI172" s="2">
        <v>1</v>
      </c>
      <c r="AJ172" s="2">
        <v>1</v>
      </c>
      <c r="AK172" s="2">
        <v>1</v>
      </c>
      <c r="AL172" s="2">
        <v>2</v>
      </c>
      <c r="AM172" s="2">
        <v>4</v>
      </c>
      <c r="AN172" s="2">
        <v>4</v>
      </c>
      <c r="AO172" s="2">
        <v>4</v>
      </c>
      <c r="AP172" s="2">
        <v>4</v>
      </c>
      <c r="AQ172" s="2">
        <v>4</v>
      </c>
      <c r="AR172" s="2">
        <v>2</v>
      </c>
      <c r="AS172" s="2">
        <v>2</v>
      </c>
      <c r="AT172" s="2">
        <v>2</v>
      </c>
      <c r="AU172" s="2">
        <v>1</v>
      </c>
      <c r="AV172" s="2"/>
      <c r="AW172" s="2">
        <v>2</v>
      </c>
      <c r="AX172" s="2">
        <v>2</v>
      </c>
      <c r="AY172" s="2">
        <v>0</v>
      </c>
      <c r="AZ172" s="2">
        <v>3</v>
      </c>
      <c r="BA172" s="2">
        <v>3</v>
      </c>
      <c r="BB172" s="2">
        <v>3</v>
      </c>
      <c r="BC172" s="2">
        <v>4</v>
      </c>
      <c r="BD172" s="2">
        <v>2</v>
      </c>
      <c r="BE172" s="2">
        <v>2</v>
      </c>
      <c r="BF172" s="2">
        <v>2</v>
      </c>
      <c r="BG172" s="2">
        <v>2</v>
      </c>
      <c r="BH172" s="2">
        <v>2</v>
      </c>
      <c r="BI172" s="2"/>
      <c r="BJ172" s="2">
        <v>2</v>
      </c>
      <c r="BK172" s="2">
        <v>2</v>
      </c>
      <c r="BL172" s="2">
        <v>0</v>
      </c>
      <c r="BM172" s="2">
        <v>8</v>
      </c>
      <c r="BN172" s="2">
        <v>9</v>
      </c>
      <c r="BO172" s="2">
        <v>7</v>
      </c>
      <c r="BP172" s="2"/>
      <c r="BQ172" s="2"/>
      <c r="BR172" s="2"/>
      <c r="BS172" s="2"/>
      <c r="BT172" s="2"/>
      <c r="BU172" s="2"/>
      <c r="BV172" s="2"/>
      <c r="BW172" s="2"/>
      <c r="BX172" s="2" t="s">
        <v>189</v>
      </c>
      <c r="BY172" s="2" t="s">
        <v>189</v>
      </c>
      <c r="BZ172" s="2" t="s">
        <v>189</v>
      </c>
      <c r="CA172" s="2" t="s">
        <v>189</v>
      </c>
      <c r="CB172" s="2" t="s">
        <v>189</v>
      </c>
      <c r="CC172" s="2" t="s">
        <v>189</v>
      </c>
      <c r="CD172" s="2" t="s">
        <v>189</v>
      </c>
      <c r="CE172" s="2" t="s">
        <v>189</v>
      </c>
      <c r="CF172" s="2" t="s">
        <v>190</v>
      </c>
      <c r="CG172" s="2" t="s">
        <v>189</v>
      </c>
      <c r="CH172" s="2" t="s">
        <v>189</v>
      </c>
      <c r="CI172" s="2" t="s">
        <v>189</v>
      </c>
      <c r="CJ172" s="2"/>
      <c r="CK172" s="2" t="s">
        <v>189</v>
      </c>
      <c r="CL172" s="2" t="s">
        <v>189</v>
      </c>
      <c r="CM172" s="2" t="s">
        <v>193</v>
      </c>
      <c r="CN172" s="2" t="s">
        <v>200</v>
      </c>
      <c r="CO172" s="2" t="s">
        <v>200</v>
      </c>
      <c r="CP172" s="2" t="s">
        <v>193</v>
      </c>
      <c r="CQ172" s="2" t="s">
        <v>192</v>
      </c>
      <c r="CR172" s="2" t="s">
        <v>192</v>
      </c>
      <c r="CS172" s="2" t="s">
        <v>192</v>
      </c>
      <c r="CT172" s="2" t="s">
        <v>192</v>
      </c>
      <c r="CU172" s="2" t="s">
        <v>192</v>
      </c>
      <c r="CV172" s="2" t="s">
        <v>192</v>
      </c>
      <c r="CW172" s="2" t="s">
        <v>192</v>
      </c>
      <c r="CX172" s="2" t="s">
        <v>193</v>
      </c>
      <c r="CY172" s="2" t="s">
        <v>193</v>
      </c>
      <c r="CZ172" s="2" t="s">
        <v>192</v>
      </c>
      <c r="DA172" s="2" t="s">
        <v>200</v>
      </c>
      <c r="DB172" s="2" t="s">
        <v>193</v>
      </c>
      <c r="DC172" s="2" t="s">
        <v>192</v>
      </c>
      <c r="DD172" s="2" t="s">
        <v>192</v>
      </c>
      <c r="DE172" s="2" t="s">
        <v>192</v>
      </c>
      <c r="DF172" s="2" t="s">
        <v>193</v>
      </c>
      <c r="DG172" s="2" t="s">
        <v>195</v>
      </c>
      <c r="DH172" s="2" t="s">
        <v>195</v>
      </c>
      <c r="DI172" s="2" t="s">
        <v>195</v>
      </c>
      <c r="DJ172" s="2" t="s">
        <v>195</v>
      </c>
      <c r="DK172" s="2" t="s">
        <v>194</v>
      </c>
      <c r="DL172" s="2" t="s">
        <v>194</v>
      </c>
      <c r="DM172" s="2" t="s">
        <v>194</v>
      </c>
      <c r="DN172" s="2" t="s">
        <v>196</v>
      </c>
      <c r="DO172" s="2" t="s">
        <v>195</v>
      </c>
      <c r="DP172" s="2" t="s">
        <v>194</v>
      </c>
      <c r="DQ172" s="2" t="s">
        <v>195</v>
      </c>
      <c r="DR172" s="2" t="s">
        <v>195</v>
      </c>
      <c r="DS172" s="2" t="s">
        <v>198</v>
      </c>
      <c r="DT172" s="2" t="s">
        <v>198</v>
      </c>
      <c r="DU172" s="2" t="s">
        <v>199</v>
      </c>
      <c r="DV172" s="2" t="s">
        <v>198</v>
      </c>
      <c r="DW172" s="2" t="s">
        <v>198</v>
      </c>
      <c r="DX172" s="2" t="s">
        <v>199</v>
      </c>
      <c r="DY172" s="2" t="s">
        <v>198</v>
      </c>
      <c r="DZ172" s="2"/>
      <c r="EA172" s="2">
        <v>1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1</v>
      </c>
      <c r="EJ172" s="2">
        <v>0</v>
      </c>
      <c r="EK172" s="2">
        <v>1</v>
      </c>
      <c r="EL172" s="2">
        <v>0</v>
      </c>
      <c r="EM172" s="2">
        <v>1</v>
      </c>
      <c r="EN172" s="2">
        <v>0</v>
      </c>
      <c r="EO172" s="2">
        <v>1</v>
      </c>
      <c r="EP172" s="2">
        <v>1</v>
      </c>
      <c r="EQ172" s="2">
        <v>0</v>
      </c>
      <c r="ER172" s="2">
        <v>0</v>
      </c>
      <c r="ES172" s="2">
        <v>1</v>
      </c>
      <c r="ET172" s="2">
        <v>0</v>
      </c>
      <c r="EU172" s="2">
        <v>1</v>
      </c>
      <c r="EV172" s="2">
        <v>0</v>
      </c>
      <c r="EW172" s="2">
        <v>1</v>
      </c>
      <c r="EX172" s="2">
        <v>0</v>
      </c>
      <c r="EY172" s="2">
        <v>1</v>
      </c>
      <c r="EZ172" s="2">
        <v>0</v>
      </c>
      <c r="FA172" s="2">
        <v>1</v>
      </c>
      <c r="FB172" s="2">
        <v>0</v>
      </c>
      <c r="FC172" s="2">
        <v>1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1</v>
      </c>
      <c r="FL172" s="2">
        <v>0</v>
      </c>
      <c r="FM172" s="2">
        <v>1</v>
      </c>
      <c r="FN172" s="2">
        <v>0</v>
      </c>
      <c r="FO172" s="2">
        <v>1</v>
      </c>
      <c r="FP172" s="2">
        <v>0</v>
      </c>
      <c r="FQ172" s="2">
        <v>1</v>
      </c>
      <c r="FR172" s="2">
        <v>0</v>
      </c>
      <c r="FS172" s="2">
        <v>1</v>
      </c>
      <c r="FT172" s="2">
        <v>0</v>
      </c>
      <c r="FU172" s="2">
        <v>1</v>
      </c>
      <c r="FV172" s="2">
        <v>0</v>
      </c>
      <c r="FW172" s="2">
        <v>1</v>
      </c>
      <c r="FX172" s="2">
        <v>0</v>
      </c>
      <c r="FY172" s="2">
        <v>1</v>
      </c>
      <c r="FZ172" s="2"/>
      <c r="GA172" s="2">
        <v>4</v>
      </c>
      <c r="GB172" s="2">
        <v>4</v>
      </c>
      <c r="GC172" s="2">
        <v>4</v>
      </c>
      <c r="GD172" s="2">
        <v>4</v>
      </c>
      <c r="GE172" s="2">
        <v>4</v>
      </c>
      <c r="GG172" s="2">
        <v>3</v>
      </c>
      <c r="GH172" s="2">
        <v>3</v>
      </c>
      <c r="GI172" s="2">
        <v>3</v>
      </c>
      <c r="GJ172" s="2">
        <v>4</v>
      </c>
      <c r="GK172" s="2">
        <v>2</v>
      </c>
      <c r="GM172" s="2">
        <f t="shared" si="0"/>
        <v>20</v>
      </c>
      <c r="GN172" s="2">
        <f t="shared" si="1"/>
        <v>15</v>
      </c>
      <c r="GO172" s="2"/>
      <c r="GP172" s="2">
        <v>2</v>
      </c>
      <c r="GQ172" s="2">
        <v>2</v>
      </c>
      <c r="GR172" s="2">
        <v>2</v>
      </c>
      <c r="GS172" s="2">
        <v>1</v>
      </c>
      <c r="GU172" s="2">
        <v>2</v>
      </c>
      <c r="GV172" s="2">
        <v>2</v>
      </c>
      <c r="GW172" s="2">
        <v>0</v>
      </c>
      <c r="GY172" s="2">
        <v>2</v>
      </c>
      <c r="GZ172" s="2">
        <v>2</v>
      </c>
      <c r="HA172" s="2">
        <v>2</v>
      </c>
      <c r="HB172" s="2">
        <v>2</v>
      </c>
      <c r="HD172" s="2">
        <v>2</v>
      </c>
      <c r="HE172" s="2">
        <v>2</v>
      </c>
      <c r="HF172" s="2">
        <v>0</v>
      </c>
      <c r="HH172" s="2">
        <f t="shared" si="2"/>
        <v>11</v>
      </c>
      <c r="HI172" s="2">
        <f t="shared" si="3"/>
        <v>12</v>
      </c>
      <c r="HJ172" s="2"/>
      <c r="HK172" s="2">
        <v>9</v>
      </c>
      <c r="HL172" s="2">
        <v>7</v>
      </c>
      <c r="HM172" s="2"/>
      <c r="HN172" s="2"/>
    </row>
    <row r="173" spans="1:222" ht="15.75" customHeight="1" x14ac:dyDescent="0.2">
      <c r="A173" s="3" t="e">
        <f>VLOOKUP(B173,#REF!,1,FALSE)</f>
        <v>#REF!</v>
      </c>
      <c r="B173" s="3">
        <v>44476.777915810184</v>
      </c>
      <c r="C173" s="2">
        <v>230</v>
      </c>
      <c r="D173" s="2" t="s">
        <v>185</v>
      </c>
      <c r="E173" s="2">
        <v>0</v>
      </c>
      <c r="F173" s="2" t="s">
        <v>186</v>
      </c>
      <c r="G173" s="2">
        <v>0.5</v>
      </c>
      <c r="H173" s="2">
        <v>0.5</v>
      </c>
      <c r="I173" s="2">
        <v>1</v>
      </c>
      <c r="J173" s="2">
        <v>3</v>
      </c>
      <c r="K173" s="2">
        <v>0</v>
      </c>
      <c r="L173" s="2">
        <v>2</v>
      </c>
      <c r="M173" s="2" t="s">
        <v>187</v>
      </c>
      <c r="N173" s="2">
        <v>2</v>
      </c>
      <c r="O173" s="2">
        <v>3</v>
      </c>
      <c r="P173" s="2">
        <v>0</v>
      </c>
      <c r="Q173" s="2">
        <v>0</v>
      </c>
      <c r="R173" s="2">
        <v>3</v>
      </c>
      <c r="S173" s="2">
        <v>1</v>
      </c>
      <c r="T173" s="2">
        <v>1</v>
      </c>
      <c r="U173" s="2">
        <v>1</v>
      </c>
      <c r="V173" s="2">
        <v>0</v>
      </c>
      <c r="W173" s="2">
        <v>1</v>
      </c>
      <c r="X173" s="2"/>
      <c r="Y173" s="2">
        <v>1</v>
      </c>
      <c r="Z173" s="2">
        <v>1</v>
      </c>
      <c r="AA173" s="2">
        <v>1</v>
      </c>
      <c r="AB173" s="2">
        <v>1</v>
      </c>
      <c r="AC173" s="2">
        <v>0</v>
      </c>
      <c r="AD173" s="2">
        <v>4</v>
      </c>
      <c r="AE173" s="2">
        <v>4</v>
      </c>
      <c r="AF173" s="2">
        <v>4</v>
      </c>
      <c r="AG173" s="2">
        <v>3</v>
      </c>
      <c r="AH173" s="2">
        <v>1</v>
      </c>
      <c r="AI173" s="2">
        <v>1</v>
      </c>
      <c r="AJ173" s="2">
        <v>1</v>
      </c>
      <c r="AK173" s="2">
        <v>-3</v>
      </c>
      <c r="AL173" s="2">
        <v>2</v>
      </c>
      <c r="AM173" s="2">
        <v>4</v>
      </c>
      <c r="AN173" s="2">
        <v>4</v>
      </c>
      <c r="AO173" s="2">
        <v>4</v>
      </c>
      <c r="AP173" s="2">
        <v>4</v>
      </c>
      <c r="AQ173" s="2">
        <v>4</v>
      </c>
      <c r="AR173" s="2">
        <v>3</v>
      </c>
      <c r="AS173" s="2">
        <v>1</v>
      </c>
      <c r="AT173" s="2">
        <v>1</v>
      </c>
      <c r="AU173" s="2">
        <v>1</v>
      </c>
      <c r="AV173" s="2"/>
      <c r="AW173" s="2">
        <v>3</v>
      </c>
      <c r="AX173" s="2">
        <v>2</v>
      </c>
      <c r="AY173" s="2">
        <v>3</v>
      </c>
      <c r="AZ173" s="2">
        <v>4</v>
      </c>
      <c r="BA173" s="2">
        <v>4</v>
      </c>
      <c r="BB173" s="2">
        <v>4</v>
      </c>
      <c r="BC173" s="2">
        <v>4</v>
      </c>
      <c r="BD173" s="2">
        <v>4</v>
      </c>
      <c r="BE173" s="2">
        <v>3</v>
      </c>
      <c r="BF173" s="2">
        <v>3</v>
      </c>
      <c r="BG173" s="2">
        <v>3</v>
      </c>
      <c r="BH173" s="2">
        <v>3</v>
      </c>
      <c r="BI173" s="2"/>
      <c r="BJ173" s="2">
        <v>3</v>
      </c>
      <c r="BK173" s="2">
        <v>3</v>
      </c>
      <c r="BL173" s="2">
        <v>3</v>
      </c>
      <c r="BM173" s="2">
        <v>8</v>
      </c>
      <c r="BN173" s="2">
        <v>10</v>
      </c>
      <c r="BO173" s="2">
        <v>8</v>
      </c>
      <c r="BP173" s="2" t="s">
        <v>224</v>
      </c>
      <c r="BQ173" s="2" t="s">
        <v>224</v>
      </c>
      <c r="BR173" s="2" t="s">
        <v>224</v>
      </c>
      <c r="BS173" s="2"/>
      <c r="BT173" s="2" t="s">
        <v>636</v>
      </c>
      <c r="BU173" s="2" t="s">
        <v>224</v>
      </c>
      <c r="BV173" s="2" t="s">
        <v>637</v>
      </c>
      <c r="BW173" s="2" t="s">
        <v>638</v>
      </c>
      <c r="BX173" s="2" t="s">
        <v>190</v>
      </c>
      <c r="BY173" s="2" t="s">
        <v>190</v>
      </c>
      <c r="BZ173" s="2" t="s">
        <v>188</v>
      </c>
      <c r="CA173" s="2" t="s">
        <v>188</v>
      </c>
      <c r="CB173" s="2" t="s">
        <v>188</v>
      </c>
      <c r="CC173" s="2" t="s">
        <v>188</v>
      </c>
      <c r="CD173" s="2" t="s">
        <v>188</v>
      </c>
      <c r="CE173" s="2" t="s">
        <v>188</v>
      </c>
      <c r="CF173" s="2" t="s">
        <v>188</v>
      </c>
      <c r="CG173" s="2" t="s">
        <v>191</v>
      </c>
      <c r="CH173" s="2" t="s">
        <v>188</v>
      </c>
      <c r="CI173" s="2" t="s">
        <v>188</v>
      </c>
      <c r="CJ173" s="2" t="s">
        <v>188</v>
      </c>
      <c r="CK173" s="2" t="s">
        <v>188</v>
      </c>
      <c r="CL173" s="2" t="s">
        <v>188</v>
      </c>
      <c r="CM173" s="2" t="s">
        <v>192</v>
      </c>
      <c r="CN173" s="2" t="s">
        <v>193</v>
      </c>
      <c r="CO173" s="2" t="s">
        <v>192</v>
      </c>
      <c r="CP173" s="2" t="s">
        <v>200</v>
      </c>
      <c r="CQ173" s="2" t="s">
        <v>192</v>
      </c>
      <c r="CR173" s="2" t="s">
        <v>200</v>
      </c>
      <c r="CS173" s="2" t="s">
        <v>200</v>
      </c>
      <c r="CT173" s="2" t="s">
        <v>192</v>
      </c>
      <c r="CU173" s="2" t="s">
        <v>200</v>
      </c>
      <c r="CV173" s="2" t="s">
        <v>200</v>
      </c>
      <c r="CW173" s="2" t="s">
        <v>200</v>
      </c>
      <c r="CX173" s="2" t="s">
        <v>200</v>
      </c>
      <c r="CY173" s="2" t="s">
        <v>192</v>
      </c>
      <c r="CZ173" s="2" t="s">
        <v>200</v>
      </c>
      <c r="DA173" s="2" t="s">
        <v>192</v>
      </c>
      <c r="DB173" s="2" t="s">
        <v>192</v>
      </c>
      <c r="DC173" s="2" t="s">
        <v>192</v>
      </c>
      <c r="DD173" s="2" t="s">
        <v>192</v>
      </c>
      <c r="DE173" s="2" t="s">
        <v>192</v>
      </c>
      <c r="DF173" s="2" t="s">
        <v>192</v>
      </c>
      <c r="DG173" s="2" t="s">
        <v>195</v>
      </c>
      <c r="DH173" s="2" t="s">
        <v>194</v>
      </c>
      <c r="DI173" s="2" t="s">
        <v>195</v>
      </c>
      <c r="DJ173" s="2" t="s">
        <v>195</v>
      </c>
      <c r="DK173" s="2" t="s">
        <v>196</v>
      </c>
      <c r="DL173" s="2" t="s">
        <v>195</v>
      </c>
      <c r="DM173" s="2" t="s">
        <v>194</v>
      </c>
      <c r="DN173" s="2" t="s">
        <v>220</v>
      </c>
      <c r="DO173" s="2" t="s">
        <v>220</v>
      </c>
      <c r="DP173" s="2" t="s">
        <v>195</v>
      </c>
      <c r="DQ173" s="2" t="s">
        <v>195</v>
      </c>
      <c r="DR173" s="2" t="s">
        <v>194</v>
      </c>
      <c r="DS173" s="2" t="s">
        <v>197</v>
      </c>
      <c r="DT173" s="2" t="s">
        <v>198</v>
      </c>
      <c r="DU173" s="2" t="s">
        <v>197</v>
      </c>
      <c r="DV173" s="2" t="s">
        <v>197</v>
      </c>
      <c r="DW173" s="2" t="s">
        <v>198</v>
      </c>
      <c r="DX173" s="2" t="s">
        <v>197</v>
      </c>
      <c r="DY173" s="2" t="s">
        <v>198</v>
      </c>
      <c r="DZ173" s="2"/>
      <c r="EA173" s="2">
        <v>1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1</v>
      </c>
      <c r="EI173" s="2">
        <v>0</v>
      </c>
      <c r="EJ173" s="2">
        <v>0</v>
      </c>
      <c r="EK173" s="2">
        <v>1</v>
      </c>
      <c r="EL173" s="2">
        <v>0</v>
      </c>
      <c r="EM173" s="2">
        <v>1</v>
      </c>
      <c r="EN173" s="2">
        <v>1</v>
      </c>
      <c r="EO173" s="2">
        <v>0</v>
      </c>
      <c r="EP173" s="2">
        <v>0</v>
      </c>
      <c r="EQ173" s="2">
        <v>1</v>
      </c>
      <c r="ER173" s="2">
        <v>1</v>
      </c>
      <c r="ES173" s="2">
        <v>0</v>
      </c>
      <c r="ET173" s="2">
        <v>0</v>
      </c>
      <c r="EU173" s="2">
        <v>1</v>
      </c>
      <c r="EV173" s="2">
        <v>0</v>
      </c>
      <c r="EW173" s="2">
        <v>1</v>
      </c>
      <c r="EX173" s="2">
        <v>0</v>
      </c>
      <c r="EY173" s="2">
        <v>1</v>
      </c>
      <c r="EZ173" s="2">
        <v>1</v>
      </c>
      <c r="FA173" s="2">
        <v>0</v>
      </c>
      <c r="FB173" s="2">
        <v>0</v>
      </c>
      <c r="FC173" s="2">
        <v>1</v>
      </c>
      <c r="FD173" s="2">
        <v>0</v>
      </c>
      <c r="FE173" s="2">
        <v>0</v>
      </c>
      <c r="FF173" s="2">
        <v>1</v>
      </c>
      <c r="FG173" s="2">
        <v>0</v>
      </c>
      <c r="FH173" s="2">
        <v>1</v>
      </c>
      <c r="FI173" s="2">
        <v>0</v>
      </c>
      <c r="FJ173" s="2">
        <v>1</v>
      </c>
      <c r="FK173" s="2">
        <v>0</v>
      </c>
      <c r="FL173" s="2">
        <v>1</v>
      </c>
      <c r="FM173" s="2">
        <v>0</v>
      </c>
      <c r="FN173" s="2">
        <v>0</v>
      </c>
      <c r="FO173" s="2">
        <v>1</v>
      </c>
      <c r="FP173" s="2">
        <v>0</v>
      </c>
      <c r="FQ173" s="2">
        <v>1</v>
      </c>
      <c r="FR173" s="2">
        <v>0</v>
      </c>
      <c r="FS173" s="2">
        <v>1</v>
      </c>
      <c r="FT173" s="2">
        <v>0</v>
      </c>
      <c r="FU173" s="2">
        <v>1</v>
      </c>
      <c r="FV173" s="2">
        <v>0</v>
      </c>
      <c r="FW173" s="2">
        <v>1</v>
      </c>
      <c r="FX173" s="2">
        <v>0</v>
      </c>
      <c r="FY173" s="2">
        <v>1</v>
      </c>
      <c r="FZ173" s="2"/>
      <c r="GA173" s="2">
        <v>4</v>
      </c>
      <c r="GB173" s="2">
        <v>4</v>
      </c>
      <c r="GC173" s="2">
        <v>4</v>
      </c>
      <c r="GD173" s="2">
        <v>4</v>
      </c>
      <c r="GE173" s="2">
        <v>4</v>
      </c>
      <c r="GG173" s="2">
        <v>4</v>
      </c>
      <c r="GH173" s="2">
        <v>4</v>
      </c>
      <c r="GI173" s="2">
        <v>4</v>
      </c>
      <c r="GJ173" s="2">
        <v>4</v>
      </c>
      <c r="GK173" s="2">
        <v>4</v>
      </c>
      <c r="GM173" s="2">
        <f t="shared" si="0"/>
        <v>20</v>
      </c>
      <c r="GN173" s="2">
        <f t="shared" si="1"/>
        <v>20</v>
      </c>
      <c r="GO173" s="2"/>
      <c r="GP173" s="2">
        <v>3</v>
      </c>
      <c r="GQ173" s="2">
        <v>1</v>
      </c>
      <c r="GR173" s="2">
        <v>1</v>
      </c>
      <c r="GS173" s="2">
        <v>1</v>
      </c>
      <c r="GU173" s="2">
        <v>3</v>
      </c>
      <c r="GV173" s="2">
        <v>2</v>
      </c>
      <c r="GW173" s="2">
        <v>3</v>
      </c>
      <c r="GY173" s="2">
        <v>3</v>
      </c>
      <c r="GZ173" s="2">
        <v>3</v>
      </c>
      <c r="HA173" s="2">
        <v>3</v>
      </c>
      <c r="HB173" s="2">
        <v>3</v>
      </c>
      <c r="HD173" s="2">
        <v>3</v>
      </c>
      <c r="HE173" s="2">
        <v>3</v>
      </c>
      <c r="HF173" s="2">
        <v>3</v>
      </c>
      <c r="HH173" s="2">
        <f t="shared" si="2"/>
        <v>14</v>
      </c>
      <c r="HI173" s="2">
        <f t="shared" si="3"/>
        <v>21</v>
      </c>
      <c r="HJ173" s="2"/>
      <c r="HK173" s="2">
        <v>10</v>
      </c>
      <c r="HL173" s="2">
        <v>8</v>
      </c>
      <c r="HM173" s="2"/>
      <c r="HN173" s="2"/>
    </row>
    <row r="174" spans="1:222" ht="15.75" customHeight="1" x14ac:dyDescent="0.2">
      <c r="A174" s="3" t="e">
        <f>VLOOKUP(B174,#REF!,1,FALSE)</f>
        <v>#REF!</v>
      </c>
      <c r="B174" s="3">
        <v>44478.393439652777</v>
      </c>
      <c r="C174" s="2">
        <v>231</v>
      </c>
      <c r="D174" s="2" t="s">
        <v>185</v>
      </c>
      <c r="E174" s="2">
        <v>0</v>
      </c>
      <c r="F174" s="2" t="s">
        <v>347</v>
      </c>
      <c r="G174" s="2">
        <v>2</v>
      </c>
      <c r="H174" s="2">
        <v>2</v>
      </c>
      <c r="I174" s="2">
        <v>1</v>
      </c>
      <c r="J174" s="2">
        <v>1</v>
      </c>
      <c r="K174" s="2">
        <v>0</v>
      </c>
      <c r="L174" s="2">
        <v>3</v>
      </c>
      <c r="M174" s="2" t="s">
        <v>213</v>
      </c>
      <c r="N174" s="2">
        <v>2</v>
      </c>
      <c r="O174" s="2">
        <v>3</v>
      </c>
      <c r="P174" s="2">
        <v>0</v>
      </c>
      <c r="Q174" s="2">
        <v>0</v>
      </c>
      <c r="R174" s="2">
        <v>2</v>
      </c>
      <c r="S174" s="2">
        <v>0</v>
      </c>
      <c r="T174" s="2">
        <v>-1</v>
      </c>
      <c r="U174" s="2">
        <v>0</v>
      </c>
      <c r="V174" s="2">
        <v>-1</v>
      </c>
      <c r="W174" s="2">
        <v>-1</v>
      </c>
      <c r="X174" s="2"/>
      <c r="Y174" s="2">
        <v>1</v>
      </c>
      <c r="Z174" s="2">
        <v>1</v>
      </c>
      <c r="AA174" s="2">
        <v>1</v>
      </c>
      <c r="AB174" s="2">
        <v>2</v>
      </c>
      <c r="AC174" s="2">
        <v>1</v>
      </c>
      <c r="AD174" s="2">
        <v>2</v>
      </c>
      <c r="AE174" s="2">
        <v>2</v>
      </c>
      <c r="AF174" s="2">
        <v>2</v>
      </c>
      <c r="AG174" s="2">
        <v>2</v>
      </c>
      <c r="AH174" s="2">
        <v>2</v>
      </c>
      <c r="AI174" s="2">
        <v>2</v>
      </c>
      <c r="AJ174" s="2">
        <v>2</v>
      </c>
      <c r="AK174" s="2">
        <v>2</v>
      </c>
      <c r="AL174" s="2">
        <v>2</v>
      </c>
      <c r="AM174" s="2">
        <v>5</v>
      </c>
      <c r="AN174" s="2">
        <v>5</v>
      </c>
      <c r="AO174" s="2">
        <v>4</v>
      </c>
      <c r="AP174" s="2">
        <v>5</v>
      </c>
      <c r="AQ174" s="2">
        <v>4</v>
      </c>
      <c r="AR174" s="2">
        <v>3</v>
      </c>
      <c r="AS174" s="2">
        <v>1</v>
      </c>
      <c r="AT174" s="2">
        <v>1</v>
      </c>
      <c r="AU174" s="2">
        <v>1</v>
      </c>
      <c r="AV174" s="2"/>
      <c r="AW174" s="2">
        <v>1</v>
      </c>
      <c r="AX174" s="2">
        <v>1</v>
      </c>
      <c r="AY174" s="2">
        <v>3</v>
      </c>
      <c r="AZ174" s="2">
        <v>4</v>
      </c>
      <c r="BA174" s="2">
        <v>4</v>
      </c>
      <c r="BB174" s="2">
        <v>4</v>
      </c>
      <c r="BC174" s="2">
        <v>5</v>
      </c>
      <c r="BD174" s="2">
        <v>4</v>
      </c>
      <c r="BE174" s="2">
        <v>3</v>
      </c>
      <c r="BF174" s="2">
        <v>1</v>
      </c>
      <c r="BG174" s="2">
        <v>1</v>
      </c>
      <c r="BH174" s="2">
        <v>1</v>
      </c>
      <c r="BI174" s="2"/>
      <c r="BJ174" s="2">
        <v>1</v>
      </c>
      <c r="BK174" s="2">
        <v>1</v>
      </c>
      <c r="BL174" s="2">
        <v>3</v>
      </c>
      <c r="BM174" s="2">
        <v>7</v>
      </c>
      <c r="BN174" s="2">
        <v>9</v>
      </c>
      <c r="BO174" s="2">
        <v>9</v>
      </c>
      <c r="BP174" s="2"/>
      <c r="BQ174" s="2"/>
      <c r="BR174" s="2"/>
      <c r="BS174" s="2"/>
      <c r="BT174" s="2"/>
      <c r="BU174" s="2" t="s">
        <v>639</v>
      </c>
      <c r="BV174" s="2" t="s">
        <v>640</v>
      </c>
      <c r="BW174" s="2" t="s">
        <v>641</v>
      </c>
      <c r="BX174" s="2" t="s">
        <v>191</v>
      </c>
      <c r="BY174" s="2" t="s">
        <v>189</v>
      </c>
      <c r="BZ174" s="2" t="s">
        <v>189</v>
      </c>
      <c r="CA174" s="2" t="s">
        <v>190</v>
      </c>
      <c r="CB174" s="2" t="s">
        <v>189</v>
      </c>
      <c r="CC174" s="2" t="s">
        <v>189</v>
      </c>
      <c r="CD174" s="2" t="s">
        <v>189</v>
      </c>
      <c r="CE174" s="2" t="s">
        <v>189</v>
      </c>
      <c r="CF174" s="2" t="s">
        <v>188</v>
      </c>
      <c r="CG174" s="2" t="s">
        <v>189</v>
      </c>
      <c r="CH174" s="2" t="s">
        <v>188</v>
      </c>
      <c r="CI174" s="2" t="s">
        <v>189</v>
      </c>
      <c r="CJ174" s="2" t="s">
        <v>189</v>
      </c>
      <c r="CK174" s="2" t="s">
        <v>189</v>
      </c>
      <c r="CL174" s="2" t="s">
        <v>189</v>
      </c>
      <c r="CM174" s="2" t="s">
        <v>192</v>
      </c>
      <c r="CN174" s="2" t="s">
        <v>192</v>
      </c>
      <c r="CO174" s="2" t="s">
        <v>192</v>
      </c>
      <c r="CP174" s="2" t="s">
        <v>192</v>
      </c>
      <c r="CQ174" s="2" t="s">
        <v>192</v>
      </c>
      <c r="CR174" s="2" t="s">
        <v>192</v>
      </c>
      <c r="CS174" s="2" t="s">
        <v>192</v>
      </c>
      <c r="CT174" s="2" t="s">
        <v>192</v>
      </c>
      <c r="CU174" s="2" t="s">
        <v>192</v>
      </c>
      <c r="CV174" s="2" t="s">
        <v>192</v>
      </c>
      <c r="CW174" s="2" t="s">
        <v>200</v>
      </c>
      <c r="CX174" s="2" t="s">
        <v>193</v>
      </c>
      <c r="CY174" s="2" t="s">
        <v>192</v>
      </c>
      <c r="CZ174" s="2" t="s">
        <v>192</v>
      </c>
      <c r="DA174" s="2" t="s">
        <v>192</v>
      </c>
      <c r="DB174" s="2" t="s">
        <v>192</v>
      </c>
      <c r="DC174" s="2" t="s">
        <v>192</v>
      </c>
      <c r="DD174" s="2" t="s">
        <v>192</v>
      </c>
      <c r="DE174" s="2" t="s">
        <v>193</v>
      </c>
      <c r="DF174" s="2" t="s">
        <v>193</v>
      </c>
      <c r="DG174" s="2" t="s">
        <v>194</v>
      </c>
      <c r="DH174" s="2" t="s">
        <v>195</v>
      </c>
      <c r="DI174" s="2"/>
      <c r="DJ174" s="2" t="s">
        <v>196</v>
      </c>
      <c r="DK174" s="2" t="s">
        <v>194</v>
      </c>
      <c r="DL174" s="2" t="s">
        <v>195</v>
      </c>
      <c r="DM174" s="2" t="s">
        <v>195</v>
      </c>
      <c r="DN174" s="2" t="s">
        <v>194</v>
      </c>
      <c r="DO174" s="2" t="s">
        <v>194</v>
      </c>
      <c r="DP174" s="2" t="s">
        <v>196</v>
      </c>
      <c r="DQ174" s="2" t="s">
        <v>195</v>
      </c>
      <c r="DR174" s="2" t="s">
        <v>194</v>
      </c>
      <c r="DS174" s="2" t="s">
        <v>197</v>
      </c>
      <c r="DT174" s="2" t="s">
        <v>221</v>
      </c>
      <c r="DU174" s="2" t="s">
        <v>199</v>
      </c>
      <c r="DV174" s="2" t="s">
        <v>198</v>
      </c>
      <c r="DW174" s="2" t="s">
        <v>198</v>
      </c>
      <c r="DX174" s="2" t="s">
        <v>199</v>
      </c>
      <c r="DY174" s="2" t="s">
        <v>198</v>
      </c>
      <c r="DZ174" s="2"/>
      <c r="EA174" s="2">
        <v>1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1</v>
      </c>
      <c r="EI174" s="2">
        <v>1</v>
      </c>
      <c r="EJ174" s="2">
        <v>1</v>
      </c>
      <c r="EK174" s="2">
        <v>1</v>
      </c>
      <c r="EL174" s="2">
        <v>1</v>
      </c>
      <c r="EM174" s="2">
        <v>1</v>
      </c>
      <c r="EN174" s="2">
        <v>1</v>
      </c>
      <c r="EO174" s="2">
        <v>0</v>
      </c>
      <c r="EP174" s="2">
        <v>1</v>
      </c>
      <c r="EQ174" s="2">
        <v>1</v>
      </c>
      <c r="ER174" s="2">
        <v>1</v>
      </c>
      <c r="ES174" s="2">
        <v>1</v>
      </c>
      <c r="ET174" s="2">
        <v>1</v>
      </c>
      <c r="EU174" s="2">
        <v>1</v>
      </c>
      <c r="EV174" s="2">
        <v>1</v>
      </c>
      <c r="EW174" s="2">
        <v>1</v>
      </c>
      <c r="EX174" s="2">
        <v>1</v>
      </c>
      <c r="EY174" s="2">
        <v>1</v>
      </c>
      <c r="EZ174" s="2">
        <v>0</v>
      </c>
      <c r="FA174" s="2">
        <v>0</v>
      </c>
      <c r="FB174" s="2">
        <v>1</v>
      </c>
      <c r="FC174" s="2">
        <v>1</v>
      </c>
      <c r="FD174" s="2">
        <v>0</v>
      </c>
      <c r="FE174" s="2">
        <v>0</v>
      </c>
      <c r="FF174" s="2">
        <v>0</v>
      </c>
      <c r="FG174" s="2">
        <v>0</v>
      </c>
      <c r="FH174" s="2">
        <v>1</v>
      </c>
      <c r="FI174" s="2">
        <v>0</v>
      </c>
      <c r="FJ174" s="2">
        <v>1</v>
      </c>
      <c r="FK174" s="2">
        <v>0</v>
      </c>
      <c r="FL174" s="2">
        <v>1</v>
      </c>
      <c r="FM174" s="2">
        <v>0</v>
      </c>
      <c r="FN174" s="2">
        <v>1</v>
      </c>
      <c r="FO174" s="2">
        <v>0</v>
      </c>
      <c r="FP174" s="2">
        <v>1</v>
      </c>
      <c r="FQ174" s="2">
        <v>1</v>
      </c>
      <c r="FR174" s="2">
        <v>1</v>
      </c>
      <c r="FS174" s="2">
        <v>1</v>
      </c>
      <c r="FT174" s="2">
        <v>1</v>
      </c>
      <c r="FU174" s="2">
        <v>1</v>
      </c>
      <c r="FV174" s="2">
        <v>1</v>
      </c>
      <c r="FW174" s="2">
        <v>1</v>
      </c>
      <c r="FX174" s="2">
        <v>1</v>
      </c>
      <c r="FY174" s="2">
        <v>1</v>
      </c>
      <c r="FZ174" s="2"/>
      <c r="GA174" s="2">
        <v>5</v>
      </c>
      <c r="GB174" s="2">
        <v>5</v>
      </c>
      <c r="GC174" s="2">
        <v>4</v>
      </c>
      <c r="GD174" s="2">
        <v>5</v>
      </c>
      <c r="GE174" s="2">
        <v>4</v>
      </c>
      <c r="GG174" s="2">
        <v>4</v>
      </c>
      <c r="GH174" s="2">
        <v>4</v>
      </c>
      <c r="GI174" s="2">
        <v>4</v>
      </c>
      <c r="GJ174" s="2">
        <v>5</v>
      </c>
      <c r="GK174" s="2">
        <v>4</v>
      </c>
      <c r="GM174" s="2">
        <f t="shared" si="0"/>
        <v>23</v>
      </c>
      <c r="GN174" s="2">
        <f t="shared" si="1"/>
        <v>21</v>
      </c>
      <c r="GO174" s="2"/>
      <c r="GP174" s="2">
        <v>3</v>
      </c>
      <c r="GQ174" s="2">
        <v>1</v>
      </c>
      <c r="GR174" s="2">
        <v>1</v>
      </c>
      <c r="GS174" s="2">
        <v>1</v>
      </c>
      <c r="GU174" s="2">
        <v>1</v>
      </c>
      <c r="GV174" s="2">
        <v>1</v>
      </c>
      <c r="GW174" s="2">
        <v>3</v>
      </c>
      <c r="GY174" s="2">
        <v>3</v>
      </c>
      <c r="GZ174" s="2">
        <v>1</v>
      </c>
      <c r="HA174" s="2">
        <v>1</v>
      </c>
      <c r="HB174" s="2">
        <v>1</v>
      </c>
      <c r="HD174" s="2">
        <v>1</v>
      </c>
      <c r="HE174" s="2">
        <v>1</v>
      </c>
      <c r="HF174" s="2">
        <v>3</v>
      </c>
      <c r="HH174" s="2">
        <f t="shared" si="2"/>
        <v>11</v>
      </c>
      <c r="HI174" s="2">
        <f t="shared" si="3"/>
        <v>11</v>
      </c>
      <c r="HJ174" s="2"/>
      <c r="HK174" s="2">
        <v>9</v>
      </c>
      <c r="HL174" s="2">
        <v>9</v>
      </c>
      <c r="HM174" s="2"/>
      <c r="HN174" s="2"/>
    </row>
    <row r="175" spans="1:222" ht="15.75" customHeight="1" x14ac:dyDescent="0.2">
      <c r="A175" s="3" t="e">
        <f>VLOOKUP(B175,#REF!,1,FALSE)</f>
        <v>#REF!</v>
      </c>
      <c r="B175" s="3">
        <v>44481.67233927083</v>
      </c>
      <c r="C175" s="2">
        <v>232</v>
      </c>
      <c r="D175" s="2" t="s">
        <v>185</v>
      </c>
      <c r="E175" s="2">
        <v>0</v>
      </c>
      <c r="F175" s="2" t="s">
        <v>642</v>
      </c>
      <c r="G175" s="2">
        <v>0.5</v>
      </c>
      <c r="H175" s="2">
        <v>2</v>
      </c>
      <c r="I175" s="2">
        <v>1</v>
      </c>
      <c r="J175" s="2">
        <v>2</v>
      </c>
      <c r="K175" s="2">
        <v>0</v>
      </c>
      <c r="L175" s="2">
        <v>3</v>
      </c>
      <c r="M175" s="2" t="s">
        <v>213</v>
      </c>
      <c r="N175" s="2">
        <v>2</v>
      </c>
      <c r="O175" s="2">
        <v>2</v>
      </c>
      <c r="P175" s="2">
        <v>0</v>
      </c>
      <c r="Q175" s="2">
        <v>0</v>
      </c>
      <c r="R175" s="2">
        <v>2</v>
      </c>
      <c r="S175" s="2">
        <v>-1</v>
      </c>
      <c r="T175" s="2">
        <v>0</v>
      </c>
      <c r="U175" s="2">
        <v>0</v>
      </c>
      <c r="V175" s="2">
        <v>-1</v>
      </c>
      <c r="W175" s="2">
        <v>0</v>
      </c>
      <c r="X175" s="2"/>
      <c r="Y175" s="2">
        <v>1</v>
      </c>
      <c r="Z175" s="2">
        <v>1</v>
      </c>
      <c r="AA175" s="2">
        <v>1</v>
      </c>
      <c r="AB175" s="2">
        <v>4</v>
      </c>
      <c r="AC175" s="2">
        <v>0</v>
      </c>
      <c r="AD175" s="2">
        <v>2</v>
      </c>
      <c r="AE175" s="2">
        <v>2</v>
      </c>
      <c r="AF175" s="2">
        <v>4</v>
      </c>
      <c r="AG175" s="2">
        <v>3</v>
      </c>
      <c r="AH175" s="2">
        <v>3</v>
      </c>
      <c r="AI175" s="2">
        <v>3</v>
      </c>
      <c r="AJ175" s="2">
        <v>3</v>
      </c>
      <c r="AK175" s="2">
        <v>-2</v>
      </c>
      <c r="AL175" s="2">
        <v>-2</v>
      </c>
      <c r="AM175" s="2">
        <v>3</v>
      </c>
      <c r="AN175" s="2">
        <v>3</v>
      </c>
      <c r="AO175" s="2">
        <v>2</v>
      </c>
      <c r="AP175" s="2">
        <v>2</v>
      </c>
      <c r="AQ175" s="2">
        <v>2</v>
      </c>
      <c r="AR175" s="2">
        <v>2</v>
      </c>
      <c r="AS175" s="2">
        <v>0</v>
      </c>
      <c r="AT175" s="2">
        <v>2</v>
      </c>
      <c r="AU175" s="2">
        <v>1</v>
      </c>
      <c r="AV175" s="2"/>
      <c r="AW175" s="2">
        <v>1</v>
      </c>
      <c r="AX175" s="2">
        <v>0</v>
      </c>
      <c r="AY175" s="2">
        <v>2</v>
      </c>
      <c r="AZ175" s="2">
        <v>5</v>
      </c>
      <c r="BA175" s="2">
        <v>5</v>
      </c>
      <c r="BB175" s="2">
        <v>5</v>
      </c>
      <c r="BC175" s="2">
        <v>5</v>
      </c>
      <c r="BD175" s="2">
        <v>5</v>
      </c>
      <c r="BE175" s="2">
        <v>3</v>
      </c>
      <c r="BF175" s="2">
        <v>0</v>
      </c>
      <c r="BG175" s="2">
        <v>0</v>
      </c>
      <c r="BH175" s="2">
        <v>1</v>
      </c>
      <c r="BI175" s="2"/>
      <c r="BJ175" s="2">
        <v>0</v>
      </c>
      <c r="BK175" s="2">
        <v>0</v>
      </c>
      <c r="BL175" s="2">
        <v>3</v>
      </c>
      <c r="BM175" s="2">
        <v>9</v>
      </c>
      <c r="BN175" s="2">
        <v>9</v>
      </c>
      <c r="BO175" s="2">
        <v>10</v>
      </c>
      <c r="BP175" s="2"/>
      <c r="BQ175" s="2"/>
      <c r="BR175" s="2"/>
      <c r="BS175" s="2"/>
      <c r="BT175" s="2"/>
      <c r="BU175" s="2"/>
      <c r="BV175" s="2"/>
      <c r="BW175" s="2"/>
      <c r="BX175" s="2" t="s">
        <v>189</v>
      </c>
      <c r="BY175" s="2" t="s">
        <v>189</v>
      </c>
      <c r="BZ175" s="2" t="s">
        <v>189</v>
      </c>
      <c r="CA175" s="2" t="s">
        <v>189</v>
      </c>
      <c r="CB175" s="2" t="s">
        <v>190</v>
      </c>
      <c r="CC175" s="2" t="s">
        <v>189</v>
      </c>
      <c r="CD175" s="2" t="s">
        <v>189</v>
      </c>
      <c r="CE175" s="2" t="s">
        <v>189</v>
      </c>
      <c r="CF175" s="2" t="s">
        <v>189</v>
      </c>
      <c r="CG175" s="2" t="s">
        <v>189</v>
      </c>
      <c r="CH175" s="2" t="s">
        <v>189</v>
      </c>
      <c r="CI175" s="2" t="s">
        <v>189</v>
      </c>
      <c r="CJ175" s="2" t="s">
        <v>189</v>
      </c>
      <c r="CK175" s="2" t="s">
        <v>189</v>
      </c>
      <c r="CL175" s="2" t="s">
        <v>189</v>
      </c>
      <c r="CM175" s="2" t="s">
        <v>192</v>
      </c>
      <c r="CN175" s="2" t="s">
        <v>192</v>
      </c>
      <c r="CO175" s="2" t="s">
        <v>192</v>
      </c>
      <c r="CP175" s="2" t="s">
        <v>192</v>
      </c>
      <c r="CQ175" s="2" t="s">
        <v>192</v>
      </c>
      <c r="CR175" s="2" t="s">
        <v>192</v>
      </c>
      <c r="CS175" s="2" t="s">
        <v>192</v>
      </c>
      <c r="CT175" s="2" t="s">
        <v>192</v>
      </c>
      <c r="CU175" s="2" t="s">
        <v>192</v>
      </c>
      <c r="CV175" s="2" t="s">
        <v>192</v>
      </c>
      <c r="CW175" s="2" t="s">
        <v>192</v>
      </c>
      <c r="CX175" s="2" t="s">
        <v>192</v>
      </c>
      <c r="CY175" s="2" t="s">
        <v>192</v>
      </c>
      <c r="CZ175" s="2" t="s">
        <v>192</v>
      </c>
      <c r="DA175" s="2" t="s">
        <v>192</v>
      </c>
      <c r="DB175" s="2" t="s">
        <v>192</v>
      </c>
      <c r="DC175" s="2" t="s">
        <v>192</v>
      </c>
      <c r="DD175" s="2" t="s">
        <v>192</v>
      </c>
      <c r="DE175" s="2" t="s">
        <v>192</v>
      </c>
      <c r="DF175" s="2" t="s">
        <v>192</v>
      </c>
      <c r="DG175" s="2" t="s">
        <v>196</v>
      </c>
      <c r="DH175" s="2" t="s">
        <v>195</v>
      </c>
      <c r="DI175" s="2" t="s">
        <v>195</v>
      </c>
      <c r="DJ175" s="2" t="s">
        <v>195</v>
      </c>
      <c r="DK175" s="2"/>
      <c r="DL175" s="2"/>
      <c r="DM175" s="2"/>
      <c r="DN175" s="2"/>
      <c r="DO175" s="2"/>
      <c r="DP175" s="2"/>
      <c r="DQ175" s="2"/>
      <c r="DR175" s="2"/>
      <c r="DS175" s="2" t="s">
        <v>197</v>
      </c>
      <c r="DT175" s="2" t="s">
        <v>197</v>
      </c>
      <c r="DU175" s="2" t="s">
        <v>222</v>
      </c>
      <c r="DV175" s="2" t="s">
        <v>197</v>
      </c>
      <c r="DW175" s="2" t="s">
        <v>197</v>
      </c>
      <c r="DX175" s="2" t="s">
        <v>197</v>
      </c>
      <c r="DY175" s="2" t="s">
        <v>197</v>
      </c>
      <c r="DZ175" s="2"/>
      <c r="EA175" s="2">
        <v>1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1</v>
      </c>
      <c r="EI175" s="2">
        <v>1</v>
      </c>
      <c r="EJ175" s="2">
        <v>0</v>
      </c>
      <c r="EK175" s="2">
        <v>0</v>
      </c>
      <c r="EL175" s="2">
        <v>1</v>
      </c>
      <c r="EM175" s="2">
        <v>0</v>
      </c>
      <c r="EN175" s="2">
        <v>0</v>
      </c>
      <c r="EO175" s="2">
        <v>0</v>
      </c>
      <c r="EP175" s="2">
        <v>0</v>
      </c>
      <c r="EQ175" s="2">
        <v>1</v>
      </c>
      <c r="ER175" s="2">
        <v>0</v>
      </c>
      <c r="ES175" s="2">
        <v>1</v>
      </c>
      <c r="ET175" s="2">
        <v>0</v>
      </c>
      <c r="EU175" s="2">
        <v>1</v>
      </c>
      <c r="EV175" s="2">
        <v>0</v>
      </c>
      <c r="EW175" s="2">
        <v>1</v>
      </c>
      <c r="EX175" s="2">
        <v>0</v>
      </c>
      <c r="EY175" s="2">
        <v>1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1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1</v>
      </c>
      <c r="FX175" s="2">
        <v>0</v>
      </c>
      <c r="FY175" s="2">
        <v>1</v>
      </c>
      <c r="FZ175" s="2"/>
      <c r="GA175" s="2">
        <v>3</v>
      </c>
      <c r="GB175" s="2">
        <v>3</v>
      </c>
      <c r="GC175" s="2">
        <v>2</v>
      </c>
      <c r="GD175" s="2">
        <v>2</v>
      </c>
      <c r="GE175" s="2">
        <v>2</v>
      </c>
      <c r="GG175" s="2">
        <v>5</v>
      </c>
      <c r="GH175" s="2">
        <v>5</v>
      </c>
      <c r="GI175" s="2">
        <v>5</v>
      </c>
      <c r="GJ175" s="2">
        <v>5</v>
      </c>
      <c r="GK175" s="2">
        <v>5</v>
      </c>
      <c r="GM175" s="2">
        <f t="shared" si="0"/>
        <v>12</v>
      </c>
      <c r="GN175" s="2">
        <f t="shared" si="1"/>
        <v>25</v>
      </c>
      <c r="GO175" s="2"/>
      <c r="GP175" s="2">
        <v>2</v>
      </c>
      <c r="GQ175" s="2">
        <v>0</v>
      </c>
      <c r="GR175" s="2">
        <v>2</v>
      </c>
      <c r="GS175" s="2">
        <v>1</v>
      </c>
      <c r="GU175" s="2">
        <v>1</v>
      </c>
      <c r="GV175" s="2">
        <v>0</v>
      </c>
      <c r="GW175" s="2">
        <v>2</v>
      </c>
      <c r="GY175" s="2">
        <v>3</v>
      </c>
      <c r="GZ175" s="2">
        <v>0</v>
      </c>
      <c r="HA175" s="2">
        <v>0</v>
      </c>
      <c r="HB175" s="2">
        <v>1</v>
      </c>
      <c r="HD175" s="2">
        <v>0</v>
      </c>
      <c r="HE175" s="2">
        <v>0</v>
      </c>
      <c r="HF175" s="2">
        <v>3</v>
      </c>
      <c r="HH175" s="2">
        <f t="shared" si="2"/>
        <v>8</v>
      </c>
      <c r="HI175" s="2">
        <f t="shared" si="3"/>
        <v>7</v>
      </c>
      <c r="HJ175" s="2"/>
      <c r="HK175" s="2">
        <v>9</v>
      </c>
      <c r="HL175" s="2">
        <v>10</v>
      </c>
      <c r="HM175" s="2"/>
      <c r="HN175" s="2"/>
    </row>
    <row r="176" spans="1:222" ht="15.75" customHeight="1" x14ac:dyDescent="0.2">
      <c r="A176" s="3" t="e">
        <f>VLOOKUP(B176,#REF!,1,FALSE)</f>
        <v>#REF!</v>
      </c>
      <c r="B176" s="3">
        <v>44487.556554780094</v>
      </c>
      <c r="C176" s="2">
        <v>233</v>
      </c>
      <c r="D176" s="2" t="s">
        <v>185</v>
      </c>
      <c r="E176" s="2">
        <v>0</v>
      </c>
      <c r="F176" s="2" t="s">
        <v>232</v>
      </c>
      <c r="G176" s="2">
        <v>15</v>
      </c>
      <c r="H176" s="2">
        <v>2</v>
      </c>
      <c r="I176" s="2">
        <v>1</v>
      </c>
      <c r="J176" s="2">
        <v>1</v>
      </c>
      <c r="K176" s="2">
        <v>0</v>
      </c>
      <c r="L176" s="2">
        <v>7</v>
      </c>
      <c r="M176" s="2" t="s">
        <v>213</v>
      </c>
      <c r="N176" s="2">
        <v>3</v>
      </c>
      <c r="O176" s="2">
        <v>2</v>
      </c>
      <c r="P176" s="2">
        <v>0</v>
      </c>
      <c r="Q176" s="2">
        <v>0</v>
      </c>
      <c r="R176" s="2">
        <v>3</v>
      </c>
      <c r="S176" s="2">
        <v>-1</v>
      </c>
      <c r="T176" s="2">
        <v>-1</v>
      </c>
      <c r="U176" s="2">
        <v>-1</v>
      </c>
      <c r="V176" s="2">
        <v>-1</v>
      </c>
      <c r="W176" s="2">
        <v>0</v>
      </c>
      <c r="X176" s="2"/>
      <c r="Y176" s="2">
        <v>-1</v>
      </c>
      <c r="Z176" s="2">
        <v>1</v>
      </c>
      <c r="AA176" s="2">
        <v>1</v>
      </c>
      <c r="AB176" s="2">
        <v>0</v>
      </c>
      <c r="AC176" s="2">
        <v>0</v>
      </c>
      <c r="AD176" s="2">
        <v>0</v>
      </c>
      <c r="AE176" s="2">
        <v>4</v>
      </c>
      <c r="AF176" s="2">
        <v>1</v>
      </c>
      <c r="AG176" s="2">
        <v>2</v>
      </c>
      <c r="AH176" s="2">
        <v>3</v>
      </c>
      <c r="AI176" s="2">
        <v>3</v>
      </c>
      <c r="AJ176" s="2">
        <v>3</v>
      </c>
      <c r="AK176" s="2">
        <v>3</v>
      </c>
      <c r="AL176" s="2">
        <v>3</v>
      </c>
      <c r="AM176" s="2">
        <v>4</v>
      </c>
      <c r="AN176" s="2">
        <v>4</v>
      </c>
      <c r="AO176" s="2">
        <v>4</v>
      </c>
      <c r="AP176" s="2">
        <v>4</v>
      </c>
      <c r="AQ176" s="2">
        <v>4</v>
      </c>
      <c r="AR176" s="2">
        <v>3</v>
      </c>
      <c r="AS176" s="2">
        <v>1</v>
      </c>
      <c r="AT176" s="2">
        <v>1</v>
      </c>
      <c r="AU176" s="2">
        <v>1</v>
      </c>
      <c r="AV176" s="2"/>
      <c r="AW176" s="2">
        <v>1</v>
      </c>
      <c r="AX176" s="2">
        <v>0</v>
      </c>
      <c r="AY176" s="2">
        <v>0</v>
      </c>
      <c r="AZ176" s="2">
        <v>5</v>
      </c>
      <c r="BA176" s="2">
        <v>5</v>
      </c>
      <c r="BB176" s="2">
        <v>5</v>
      </c>
      <c r="BC176" s="2">
        <v>5</v>
      </c>
      <c r="BD176" s="2">
        <v>5</v>
      </c>
      <c r="BE176" s="2">
        <v>3</v>
      </c>
      <c r="BF176" s="2">
        <v>1</v>
      </c>
      <c r="BG176" s="2">
        <v>1</v>
      </c>
      <c r="BH176" s="2">
        <v>1</v>
      </c>
      <c r="BI176" s="2"/>
      <c r="BJ176" s="2">
        <v>1</v>
      </c>
      <c r="BK176" s="2">
        <v>0</v>
      </c>
      <c r="BL176" s="2">
        <v>0</v>
      </c>
      <c r="BM176" s="2">
        <v>8</v>
      </c>
      <c r="BN176" s="2">
        <v>8</v>
      </c>
      <c r="BO176" s="2">
        <v>8</v>
      </c>
      <c r="BP176" s="2"/>
      <c r="BQ176" s="2"/>
      <c r="BR176" s="2"/>
      <c r="BS176" s="2"/>
      <c r="BT176" s="2"/>
      <c r="BU176" s="2"/>
      <c r="BV176" s="2"/>
      <c r="BW176" s="2"/>
      <c r="BX176" s="2" t="s">
        <v>190</v>
      </c>
      <c r="BY176" s="2" t="s">
        <v>190</v>
      </c>
      <c r="BZ176" s="2" t="s">
        <v>190</v>
      </c>
      <c r="CA176" s="2" t="s">
        <v>190</v>
      </c>
      <c r="CB176" s="2" t="s">
        <v>190</v>
      </c>
      <c r="CC176" s="2" t="s">
        <v>190</v>
      </c>
      <c r="CD176" s="2" t="s">
        <v>190</v>
      </c>
      <c r="CE176" s="2" t="s">
        <v>190</v>
      </c>
      <c r="CF176" s="2" t="s">
        <v>191</v>
      </c>
      <c r="CG176" s="2" t="s">
        <v>191</v>
      </c>
      <c r="CH176" s="2" t="s">
        <v>190</v>
      </c>
      <c r="CI176" s="2" t="s">
        <v>190</v>
      </c>
      <c r="CJ176" s="2" t="s">
        <v>190</v>
      </c>
      <c r="CK176" s="2" t="s">
        <v>190</v>
      </c>
      <c r="CL176" s="2" t="s">
        <v>190</v>
      </c>
      <c r="CM176" s="2" t="s">
        <v>192</v>
      </c>
      <c r="CN176" s="2" t="s">
        <v>192</v>
      </c>
      <c r="CO176" s="2" t="s">
        <v>192</v>
      </c>
      <c r="CP176" s="2" t="s">
        <v>192</v>
      </c>
      <c r="CQ176" s="2" t="s">
        <v>192</v>
      </c>
      <c r="CR176" s="2" t="s">
        <v>192</v>
      </c>
      <c r="CS176" s="2" t="s">
        <v>192</v>
      </c>
      <c r="CT176" s="2" t="s">
        <v>192</v>
      </c>
      <c r="CU176" s="2" t="s">
        <v>192</v>
      </c>
      <c r="CV176" s="2" t="s">
        <v>193</v>
      </c>
      <c r="CW176" s="2" t="s">
        <v>192</v>
      </c>
      <c r="CX176" s="2" t="s">
        <v>193</v>
      </c>
      <c r="CY176" s="2" t="s">
        <v>192</v>
      </c>
      <c r="CZ176" s="2" t="s">
        <v>192</v>
      </c>
      <c r="DA176" s="2" t="s">
        <v>192</v>
      </c>
      <c r="DB176" s="2" t="s">
        <v>192</v>
      </c>
      <c r="DC176" s="2" t="s">
        <v>192</v>
      </c>
      <c r="DD176" s="2" t="s">
        <v>192</v>
      </c>
      <c r="DE176" s="2" t="s">
        <v>192</v>
      </c>
      <c r="DF176" s="2" t="s">
        <v>193</v>
      </c>
      <c r="DG176" s="2" t="s">
        <v>194</v>
      </c>
      <c r="DH176" s="2" t="s">
        <v>194</v>
      </c>
      <c r="DI176" s="2" t="s">
        <v>194</v>
      </c>
      <c r="DJ176" s="2" t="s">
        <v>194</v>
      </c>
      <c r="DK176" s="2" t="s">
        <v>196</v>
      </c>
      <c r="DL176" s="2" t="s">
        <v>195</v>
      </c>
      <c r="DM176" s="2" t="s">
        <v>195</v>
      </c>
      <c r="DN176" s="2" t="s">
        <v>194</v>
      </c>
      <c r="DO176" s="2" t="s">
        <v>194</v>
      </c>
      <c r="DP176" s="2" t="s">
        <v>194</v>
      </c>
      <c r="DQ176" s="2" t="s">
        <v>195</v>
      </c>
      <c r="DR176" s="2" t="s">
        <v>194</v>
      </c>
      <c r="DS176" s="2" t="s">
        <v>197</v>
      </c>
      <c r="DT176" s="2" t="s">
        <v>221</v>
      </c>
      <c r="DU176" s="2" t="s">
        <v>197</v>
      </c>
      <c r="DV176" s="2" t="s">
        <v>197</v>
      </c>
      <c r="DW176" s="2" t="s">
        <v>197</v>
      </c>
      <c r="DX176" s="2" t="s">
        <v>198</v>
      </c>
      <c r="DY176" s="2" t="s">
        <v>197</v>
      </c>
      <c r="DZ176" s="2"/>
      <c r="EA176" s="2">
        <v>1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1</v>
      </c>
      <c r="EI176" s="2">
        <v>0</v>
      </c>
      <c r="EJ176" s="2">
        <v>1</v>
      </c>
      <c r="EK176" s="2">
        <v>0</v>
      </c>
      <c r="EL176" s="2">
        <v>0</v>
      </c>
      <c r="EM176" s="2">
        <v>1</v>
      </c>
      <c r="EN176" s="2">
        <v>1</v>
      </c>
      <c r="EO176" s="2">
        <v>0</v>
      </c>
      <c r="EP176" s="2">
        <v>0</v>
      </c>
      <c r="EQ176" s="2">
        <v>1</v>
      </c>
      <c r="ER176" s="2">
        <v>0</v>
      </c>
      <c r="ES176" s="2">
        <v>1</v>
      </c>
      <c r="ET176" s="2">
        <v>0</v>
      </c>
      <c r="EU176" s="2">
        <v>1</v>
      </c>
      <c r="EV176" s="2">
        <v>1</v>
      </c>
      <c r="EW176" s="2">
        <v>0</v>
      </c>
      <c r="EX176" s="2">
        <v>0</v>
      </c>
      <c r="EY176" s="2">
        <v>1</v>
      </c>
      <c r="EZ176" s="2">
        <v>1</v>
      </c>
      <c r="FA176" s="2">
        <v>0</v>
      </c>
      <c r="FB176" s="2">
        <v>0</v>
      </c>
      <c r="FC176" s="2">
        <v>1</v>
      </c>
      <c r="FD176" s="2">
        <v>0</v>
      </c>
      <c r="FE176" s="2">
        <v>0</v>
      </c>
      <c r="FF176" s="2">
        <v>0</v>
      </c>
      <c r="FG176" s="2">
        <v>1</v>
      </c>
      <c r="FH176" s="2">
        <v>1</v>
      </c>
      <c r="FI176" s="2">
        <v>0</v>
      </c>
      <c r="FJ176" s="2">
        <v>1</v>
      </c>
      <c r="FK176" s="2">
        <v>0</v>
      </c>
      <c r="FL176" s="2">
        <v>1</v>
      </c>
      <c r="FM176" s="2">
        <v>0</v>
      </c>
      <c r="FN176" s="2">
        <v>0</v>
      </c>
      <c r="FO176" s="2">
        <v>1</v>
      </c>
      <c r="FP176" s="2">
        <v>0</v>
      </c>
      <c r="FQ176" s="2">
        <v>1</v>
      </c>
      <c r="FR176" s="2">
        <v>0</v>
      </c>
      <c r="FS176" s="2">
        <v>1</v>
      </c>
      <c r="FT176" s="2">
        <v>0</v>
      </c>
      <c r="FU176" s="2">
        <v>1</v>
      </c>
      <c r="FV176" s="2">
        <v>0</v>
      </c>
      <c r="FW176" s="2">
        <v>1</v>
      </c>
      <c r="FX176" s="2">
        <v>0</v>
      </c>
      <c r="FY176" s="2">
        <v>1</v>
      </c>
      <c r="FZ176" s="2"/>
      <c r="GA176" s="2">
        <v>4</v>
      </c>
      <c r="GB176" s="2">
        <v>4</v>
      </c>
      <c r="GC176" s="2">
        <v>4</v>
      </c>
      <c r="GD176" s="2">
        <v>4</v>
      </c>
      <c r="GE176" s="2">
        <v>4</v>
      </c>
      <c r="GG176" s="2">
        <v>5</v>
      </c>
      <c r="GH176" s="2">
        <v>5</v>
      </c>
      <c r="GI176" s="2">
        <v>5</v>
      </c>
      <c r="GJ176" s="2">
        <v>5</v>
      </c>
      <c r="GK176" s="2">
        <v>5</v>
      </c>
      <c r="GM176" s="2">
        <f t="shared" si="0"/>
        <v>20</v>
      </c>
      <c r="GN176" s="2">
        <f t="shared" si="1"/>
        <v>25</v>
      </c>
      <c r="GO176" s="2"/>
      <c r="GP176" s="2">
        <v>3</v>
      </c>
      <c r="GQ176" s="2">
        <v>1</v>
      </c>
      <c r="GR176" s="2">
        <v>1</v>
      </c>
      <c r="GS176" s="2">
        <v>1</v>
      </c>
      <c r="GU176" s="2">
        <v>1</v>
      </c>
      <c r="GV176" s="2">
        <v>0</v>
      </c>
      <c r="GW176" s="2">
        <v>0</v>
      </c>
      <c r="GY176" s="2">
        <v>3</v>
      </c>
      <c r="GZ176" s="2">
        <v>1</v>
      </c>
      <c r="HA176" s="2">
        <v>1</v>
      </c>
      <c r="HB176" s="2">
        <v>1</v>
      </c>
      <c r="HD176" s="2">
        <v>1</v>
      </c>
      <c r="HE176" s="2">
        <v>0</v>
      </c>
      <c r="HF176" s="2">
        <v>0</v>
      </c>
      <c r="HH176" s="2">
        <f t="shared" si="2"/>
        <v>7</v>
      </c>
      <c r="HI176" s="2">
        <f t="shared" si="3"/>
        <v>7</v>
      </c>
      <c r="HJ176" s="2"/>
      <c r="HK176" s="2">
        <v>8</v>
      </c>
      <c r="HL176" s="2">
        <v>8</v>
      </c>
      <c r="HM176" s="2"/>
      <c r="HN176" s="2"/>
    </row>
    <row r="177" spans="1:222" ht="15.75" customHeight="1" x14ac:dyDescent="0.2">
      <c r="A177" s="3" t="e">
        <f>VLOOKUP(B177,#REF!,1,FALSE)</f>
        <v>#REF!</v>
      </c>
      <c r="B177" s="3">
        <v>44493.379124479165</v>
      </c>
      <c r="C177" s="2">
        <v>234</v>
      </c>
      <c r="D177" s="2" t="s">
        <v>185</v>
      </c>
      <c r="E177" s="2">
        <v>0</v>
      </c>
      <c r="F177" s="2" t="s">
        <v>347</v>
      </c>
      <c r="G177" s="2">
        <v>2</v>
      </c>
      <c r="H177" s="2">
        <v>2</v>
      </c>
      <c r="I177" s="2">
        <v>1</v>
      </c>
      <c r="J177" s="2">
        <v>3</v>
      </c>
      <c r="K177" s="2">
        <v>0</v>
      </c>
      <c r="L177" s="2">
        <v>3</v>
      </c>
      <c r="M177" s="2" t="s">
        <v>213</v>
      </c>
      <c r="N177" s="2">
        <v>2</v>
      </c>
      <c r="O177" s="2">
        <v>2</v>
      </c>
      <c r="P177" s="2">
        <v>0</v>
      </c>
      <c r="Q177" s="2">
        <v>0</v>
      </c>
      <c r="R177" s="2">
        <v>3</v>
      </c>
      <c r="S177" s="2">
        <v>-1</v>
      </c>
      <c r="T177" s="2">
        <v>0</v>
      </c>
      <c r="U177" s="2">
        <v>0</v>
      </c>
      <c r="V177" s="2">
        <v>-1</v>
      </c>
      <c r="W177" s="2">
        <v>-1</v>
      </c>
      <c r="X177" s="2"/>
      <c r="Y177" s="2">
        <v>0</v>
      </c>
      <c r="Z177" s="2">
        <v>1</v>
      </c>
      <c r="AA177" s="2">
        <v>1</v>
      </c>
      <c r="AB177" s="2">
        <v>1</v>
      </c>
      <c r="AC177" s="2">
        <v>2</v>
      </c>
      <c r="AD177" s="2"/>
      <c r="AE177" s="2">
        <v>2</v>
      </c>
      <c r="AF177" s="2">
        <v>1</v>
      </c>
      <c r="AG177" s="2">
        <v>-1</v>
      </c>
      <c r="AH177" s="2">
        <v>1</v>
      </c>
      <c r="AI177" s="2">
        <v>1</v>
      </c>
      <c r="AJ177" s="2">
        <v>2</v>
      </c>
      <c r="AK177" s="2">
        <v>-1</v>
      </c>
      <c r="AL177" s="2">
        <v>1</v>
      </c>
      <c r="AM177" s="2">
        <v>3</v>
      </c>
      <c r="AN177" s="2">
        <v>3</v>
      </c>
      <c r="AO177" s="2">
        <v>3</v>
      </c>
      <c r="AP177" s="2">
        <v>3</v>
      </c>
      <c r="AQ177" s="2">
        <v>3</v>
      </c>
      <c r="AR177" s="2">
        <v>0</v>
      </c>
      <c r="AS177" s="2">
        <v>0</v>
      </c>
      <c r="AT177" s="2">
        <v>1</v>
      </c>
      <c r="AU177" s="2">
        <v>1</v>
      </c>
      <c r="AV177" s="2"/>
      <c r="AW177" s="2">
        <v>1</v>
      </c>
      <c r="AX177" s="2">
        <v>1</v>
      </c>
      <c r="AY177" s="2">
        <v>2</v>
      </c>
      <c r="AZ177" s="2">
        <v>4</v>
      </c>
      <c r="BA177" s="2">
        <v>4</v>
      </c>
      <c r="BB177" s="2">
        <v>4</v>
      </c>
      <c r="BC177" s="2">
        <v>4</v>
      </c>
      <c r="BD177" s="2">
        <v>4</v>
      </c>
      <c r="BE177" s="2">
        <v>0</v>
      </c>
      <c r="BF177" s="2">
        <v>0</v>
      </c>
      <c r="BG177" s="2">
        <v>1</v>
      </c>
      <c r="BH177" s="2">
        <v>1</v>
      </c>
      <c r="BI177" s="2"/>
      <c r="BJ177" s="2">
        <v>1</v>
      </c>
      <c r="BK177" s="2">
        <v>1</v>
      </c>
      <c r="BL177" s="2">
        <v>0</v>
      </c>
      <c r="BM177" s="2">
        <v>8</v>
      </c>
      <c r="BN177" s="2">
        <v>7</v>
      </c>
      <c r="BO177" s="2">
        <v>7</v>
      </c>
      <c r="BP177" s="2"/>
      <c r="BQ177" s="2"/>
      <c r="BR177" s="2"/>
      <c r="BS177" s="2"/>
      <c r="BT177" s="2"/>
      <c r="BU177" s="2" t="s">
        <v>643</v>
      </c>
      <c r="BV177" s="2" t="s">
        <v>644</v>
      </c>
      <c r="BW177" s="2" t="s">
        <v>645</v>
      </c>
      <c r="BX177" s="2" t="s">
        <v>190</v>
      </c>
      <c r="BY177" s="2" t="s">
        <v>189</v>
      </c>
      <c r="BZ177" s="2" t="s">
        <v>189</v>
      </c>
      <c r="CA177" s="2" t="s">
        <v>190</v>
      </c>
      <c r="CB177" s="2" t="s">
        <v>190</v>
      </c>
      <c r="CC177" s="2" t="s">
        <v>190</v>
      </c>
      <c r="CD177" s="2" t="s">
        <v>189</v>
      </c>
      <c r="CE177" s="2" t="s">
        <v>189</v>
      </c>
      <c r="CF177" s="2" t="s">
        <v>189</v>
      </c>
      <c r="CG177" s="2" t="s">
        <v>189</v>
      </c>
      <c r="CH177" s="2" t="s">
        <v>190</v>
      </c>
      <c r="CI177" s="2" t="s">
        <v>189</v>
      </c>
      <c r="CJ177" s="2" t="s">
        <v>189</v>
      </c>
      <c r="CK177" s="2" t="s">
        <v>189</v>
      </c>
      <c r="CL177" s="2" t="s">
        <v>189</v>
      </c>
      <c r="CM177" s="2" t="s">
        <v>193</v>
      </c>
      <c r="CN177" s="2" t="s">
        <v>193</v>
      </c>
      <c r="CO177" s="2" t="s">
        <v>193</v>
      </c>
      <c r="CP177" s="2" t="s">
        <v>193</v>
      </c>
      <c r="CQ177" s="2" t="s">
        <v>193</v>
      </c>
      <c r="CR177" s="2" t="s">
        <v>193</v>
      </c>
      <c r="CS177" s="2" t="s">
        <v>192</v>
      </c>
      <c r="CT177" s="2" t="s">
        <v>192</v>
      </c>
      <c r="CU177" s="2" t="s">
        <v>193</v>
      </c>
      <c r="CV177" s="2" t="s">
        <v>192</v>
      </c>
      <c r="CW177" s="2" t="s">
        <v>192</v>
      </c>
      <c r="CX177" s="2" t="s">
        <v>192</v>
      </c>
      <c r="CY177" s="2" t="s">
        <v>192</v>
      </c>
      <c r="CZ177" s="2" t="s">
        <v>192</v>
      </c>
      <c r="DA177" s="2" t="s">
        <v>192</v>
      </c>
      <c r="DB177" s="2" t="s">
        <v>192</v>
      </c>
      <c r="DC177" s="2" t="s">
        <v>192</v>
      </c>
      <c r="DD177" s="2" t="s">
        <v>193</v>
      </c>
      <c r="DE177" s="2" t="s">
        <v>192</v>
      </c>
      <c r="DF177" s="2" t="s">
        <v>200</v>
      </c>
      <c r="DG177" s="2" t="s">
        <v>196</v>
      </c>
      <c r="DH177" s="2" t="s">
        <v>196</v>
      </c>
      <c r="DI177" s="2" t="s">
        <v>196</v>
      </c>
      <c r="DJ177" s="2" t="s">
        <v>196</v>
      </c>
      <c r="DK177" s="2" t="s">
        <v>196</v>
      </c>
      <c r="DL177" s="2" t="s">
        <v>196</v>
      </c>
      <c r="DM177" s="2" t="s">
        <v>194</v>
      </c>
      <c r="DN177" s="2" t="s">
        <v>196</v>
      </c>
      <c r="DO177" s="2" t="s">
        <v>196</v>
      </c>
      <c r="DP177" s="2" t="s">
        <v>196</v>
      </c>
      <c r="DQ177" s="2" t="s">
        <v>194</v>
      </c>
      <c r="DR177" s="2" t="s">
        <v>196</v>
      </c>
      <c r="DS177" s="2" t="s">
        <v>199</v>
      </c>
      <c r="DT177" s="2" t="s">
        <v>199</v>
      </c>
      <c r="DU177" s="2" t="s">
        <v>199</v>
      </c>
      <c r="DV177" s="2" t="s">
        <v>197</v>
      </c>
      <c r="DW177" s="2" t="s">
        <v>197</v>
      </c>
      <c r="DX177" s="2" t="s">
        <v>198</v>
      </c>
      <c r="DY177" s="2" t="s">
        <v>197</v>
      </c>
      <c r="DZ177" s="2"/>
      <c r="EA177" s="2">
        <v>1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1</v>
      </c>
      <c r="EI177" s="2">
        <v>1</v>
      </c>
      <c r="EJ177" s="2">
        <v>1</v>
      </c>
      <c r="EK177" s="2">
        <v>1</v>
      </c>
      <c r="EL177" s="2">
        <v>1</v>
      </c>
      <c r="EM177" s="2">
        <v>1</v>
      </c>
      <c r="EN177" s="2">
        <v>1</v>
      </c>
      <c r="EO177" s="2">
        <v>1</v>
      </c>
      <c r="EP177" s="2">
        <v>1</v>
      </c>
      <c r="EQ177" s="2">
        <v>1</v>
      </c>
      <c r="ER177" s="2">
        <v>1</v>
      </c>
      <c r="ES177" s="2">
        <v>1</v>
      </c>
      <c r="ET177" s="2">
        <v>1</v>
      </c>
      <c r="EU177" s="2">
        <v>1</v>
      </c>
      <c r="EV177" s="2">
        <v>1</v>
      </c>
      <c r="EW177" s="2">
        <v>0</v>
      </c>
      <c r="EX177" s="2">
        <v>1</v>
      </c>
      <c r="EY177" s="2">
        <v>1</v>
      </c>
      <c r="EZ177" s="2">
        <v>1</v>
      </c>
      <c r="FA177" s="2">
        <v>1</v>
      </c>
      <c r="FB177" s="2">
        <v>1</v>
      </c>
      <c r="FC177" s="2">
        <v>0</v>
      </c>
      <c r="FD177" s="2">
        <v>0</v>
      </c>
      <c r="FE177" s="2">
        <v>0</v>
      </c>
      <c r="FF177" s="2">
        <v>1</v>
      </c>
      <c r="FG177" s="2">
        <v>1</v>
      </c>
      <c r="FH177" s="2">
        <v>1</v>
      </c>
      <c r="FI177" s="2">
        <v>0</v>
      </c>
      <c r="FJ177" s="2">
        <v>1</v>
      </c>
      <c r="FK177" s="2">
        <v>0</v>
      </c>
      <c r="FL177" s="2">
        <v>1</v>
      </c>
      <c r="FM177" s="2">
        <v>0</v>
      </c>
      <c r="FN177" s="2">
        <v>1</v>
      </c>
      <c r="FO177" s="2">
        <v>0</v>
      </c>
      <c r="FP177" s="2">
        <v>1</v>
      </c>
      <c r="FQ177" s="2">
        <v>1</v>
      </c>
      <c r="FR177" s="2">
        <v>0</v>
      </c>
      <c r="FS177" s="2">
        <v>1</v>
      </c>
      <c r="FT177" s="2">
        <v>1</v>
      </c>
      <c r="FU177" s="2">
        <v>1</v>
      </c>
      <c r="FV177" s="2">
        <v>1</v>
      </c>
      <c r="FW177" s="2">
        <v>1</v>
      </c>
      <c r="FX177" s="2">
        <v>1</v>
      </c>
      <c r="FY177" s="2">
        <v>1</v>
      </c>
      <c r="FZ177" s="2"/>
      <c r="GA177" s="2">
        <v>3</v>
      </c>
      <c r="GB177" s="2">
        <v>3</v>
      </c>
      <c r="GC177" s="2">
        <v>3</v>
      </c>
      <c r="GD177" s="2">
        <v>3</v>
      </c>
      <c r="GE177" s="2">
        <v>3</v>
      </c>
      <c r="GG177" s="2">
        <v>4</v>
      </c>
      <c r="GH177" s="2">
        <v>4</v>
      </c>
      <c r="GI177" s="2">
        <v>4</v>
      </c>
      <c r="GJ177" s="2">
        <v>4</v>
      </c>
      <c r="GK177" s="2">
        <v>4</v>
      </c>
      <c r="GM177" s="2">
        <f t="shared" si="0"/>
        <v>15</v>
      </c>
      <c r="GN177" s="2">
        <f t="shared" si="1"/>
        <v>20</v>
      </c>
      <c r="GO177" s="2"/>
      <c r="GP177" s="2">
        <v>0</v>
      </c>
      <c r="GQ177" s="2">
        <v>0</v>
      </c>
      <c r="GR177" s="2">
        <v>1</v>
      </c>
      <c r="GS177" s="2">
        <v>1</v>
      </c>
      <c r="GU177" s="2">
        <v>1</v>
      </c>
      <c r="GV177" s="2">
        <v>1</v>
      </c>
      <c r="GW177" s="2">
        <v>2</v>
      </c>
      <c r="GY177" s="2">
        <v>0</v>
      </c>
      <c r="GZ177" s="2">
        <v>0</v>
      </c>
      <c r="HA177" s="2">
        <v>1</v>
      </c>
      <c r="HB177" s="2">
        <v>1</v>
      </c>
      <c r="HD177" s="2">
        <v>1</v>
      </c>
      <c r="HE177" s="2">
        <v>1</v>
      </c>
      <c r="HF177" s="2">
        <v>0</v>
      </c>
      <c r="HH177" s="2">
        <f t="shared" si="2"/>
        <v>6</v>
      </c>
      <c r="HI177" s="2">
        <f t="shared" si="3"/>
        <v>4</v>
      </c>
      <c r="HJ177" s="2"/>
      <c r="HK177" s="2">
        <v>7</v>
      </c>
      <c r="HL177" s="2">
        <v>7</v>
      </c>
      <c r="HM177" s="2"/>
      <c r="HN177" s="2"/>
    </row>
    <row r="178" spans="1:222" ht="15.75" customHeight="1" x14ac:dyDescent="0.2">
      <c r="A178" s="5">
        <v>44494.660792569441</v>
      </c>
      <c r="B178" s="3">
        <v>44494.660792569448</v>
      </c>
      <c r="C178" s="2">
        <v>235</v>
      </c>
      <c r="D178" s="2" t="s">
        <v>185</v>
      </c>
      <c r="E178" s="2">
        <v>0</v>
      </c>
      <c r="F178" s="2" t="s">
        <v>232</v>
      </c>
      <c r="G178" s="2">
        <v>15</v>
      </c>
      <c r="H178" s="2">
        <v>2</v>
      </c>
      <c r="I178" s="2">
        <v>1</v>
      </c>
      <c r="J178" s="2">
        <v>5</v>
      </c>
      <c r="K178" s="2">
        <v>1</v>
      </c>
      <c r="L178" s="2">
        <v>5</v>
      </c>
      <c r="M178" s="2" t="s">
        <v>187</v>
      </c>
      <c r="N178" s="2">
        <v>2</v>
      </c>
      <c r="O178" s="2">
        <v>2</v>
      </c>
      <c r="P178" s="2">
        <v>0</v>
      </c>
      <c r="Q178" s="2" t="s">
        <v>266</v>
      </c>
      <c r="R178" s="2">
        <v>4</v>
      </c>
      <c r="S178" s="2">
        <v>-1</v>
      </c>
      <c r="T178" s="2">
        <v>-1</v>
      </c>
      <c r="U178" s="2">
        <v>-1</v>
      </c>
      <c r="V178" s="2">
        <v>-1</v>
      </c>
      <c r="W178" s="2">
        <v>-1</v>
      </c>
      <c r="X178" s="2"/>
      <c r="Y178" s="2">
        <v>-1</v>
      </c>
      <c r="Z178" s="2">
        <v>1</v>
      </c>
      <c r="AA178" s="2">
        <v>1</v>
      </c>
      <c r="AB178" s="2">
        <v>2</v>
      </c>
      <c r="AC178" s="2">
        <v>1</v>
      </c>
      <c r="AD178" s="2">
        <v>2</v>
      </c>
      <c r="AE178" s="2">
        <v>2</v>
      </c>
      <c r="AF178" s="2">
        <v>1</v>
      </c>
      <c r="AG178" s="2">
        <v>2</v>
      </c>
      <c r="AH178" s="2">
        <v>2</v>
      </c>
      <c r="AI178" s="2">
        <v>2</v>
      </c>
      <c r="AJ178" s="2">
        <v>2</v>
      </c>
      <c r="AK178" s="2">
        <v>1</v>
      </c>
      <c r="AL178" s="2">
        <v>2</v>
      </c>
      <c r="AM178" s="2">
        <v>4</v>
      </c>
      <c r="AN178" s="2">
        <v>3</v>
      </c>
      <c r="AO178" s="2">
        <v>3</v>
      </c>
      <c r="AP178" s="2">
        <v>4</v>
      </c>
      <c r="AQ178" s="2">
        <v>4</v>
      </c>
      <c r="AR178" s="2">
        <v>3</v>
      </c>
      <c r="AS178" s="2">
        <v>0</v>
      </c>
      <c r="AT178" s="2">
        <v>2</v>
      </c>
      <c r="AU178" s="2">
        <v>1</v>
      </c>
      <c r="AV178" s="2"/>
      <c r="AW178" s="2">
        <v>2</v>
      </c>
      <c r="AX178" s="2">
        <v>1</v>
      </c>
      <c r="AY178" s="2"/>
      <c r="AZ178" s="2">
        <v>4</v>
      </c>
      <c r="BA178" s="2">
        <v>4</v>
      </c>
      <c r="BB178" s="2">
        <v>3</v>
      </c>
      <c r="BC178" s="2">
        <v>3</v>
      </c>
      <c r="BD178" s="2">
        <v>3</v>
      </c>
      <c r="BE178" s="2">
        <v>3</v>
      </c>
      <c r="BF178" s="2">
        <v>0</v>
      </c>
      <c r="BG178" s="2">
        <v>2</v>
      </c>
      <c r="BH178" s="2">
        <v>0</v>
      </c>
      <c r="BI178" s="2"/>
      <c r="BJ178" s="2">
        <v>2</v>
      </c>
      <c r="BK178" s="2">
        <v>1</v>
      </c>
      <c r="BL178" s="2">
        <v>1</v>
      </c>
      <c r="BM178" s="2">
        <v>9</v>
      </c>
      <c r="BN178" s="2">
        <v>9</v>
      </c>
      <c r="BO178" s="2">
        <v>9</v>
      </c>
      <c r="BP178" s="2"/>
      <c r="BQ178" s="2" t="s">
        <v>258</v>
      </c>
      <c r="BR178" s="2"/>
      <c r="BS178" s="2"/>
      <c r="BT178" s="2" t="s">
        <v>258</v>
      </c>
      <c r="BU178" s="2" t="s">
        <v>258</v>
      </c>
      <c r="BV178" s="2" t="s">
        <v>646</v>
      </c>
      <c r="BW178" s="2" t="s">
        <v>647</v>
      </c>
      <c r="BX178" s="2" t="s">
        <v>190</v>
      </c>
      <c r="BY178" s="2" t="s">
        <v>190</v>
      </c>
      <c r="BZ178" s="2" t="s">
        <v>190</v>
      </c>
      <c r="CA178" s="2" t="s">
        <v>190</v>
      </c>
      <c r="CB178" s="2" t="s">
        <v>190</v>
      </c>
      <c r="CC178" s="2" t="s">
        <v>190</v>
      </c>
      <c r="CD178" s="2" t="s">
        <v>189</v>
      </c>
      <c r="CE178" s="2" t="s">
        <v>189</v>
      </c>
      <c r="CF178" s="2" t="s">
        <v>190</v>
      </c>
      <c r="CG178" s="2" t="s">
        <v>191</v>
      </c>
      <c r="CH178" s="2" t="s">
        <v>190</v>
      </c>
      <c r="CI178" s="2" t="s">
        <v>190</v>
      </c>
      <c r="CJ178" s="2" t="s">
        <v>190</v>
      </c>
      <c r="CK178" s="2" t="s">
        <v>190</v>
      </c>
      <c r="CL178" s="2" t="s">
        <v>190</v>
      </c>
      <c r="CM178" s="2" t="s">
        <v>192</v>
      </c>
      <c r="CN178" s="2" t="s">
        <v>192</v>
      </c>
      <c r="CO178" s="2" t="s">
        <v>192</v>
      </c>
      <c r="CP178" s="2" t="s">
        <v>192</v>
      </c>
      <c r="CQ178" s="2" t="s">
        <v>192</v>
      </c>
      <c r="CR178" s="2" t="s">
        <v>192</v>
      </c>
      <c r="CS178" s="2" t="s">
        <v>192</v>
      </c>
      <c r="CT178" s="2" t="s">
        <v>192</v>
      </c>
      <c r="CU178" s="2" t="s">
        <v>192</v>
      </c>
      <c r="CV178" s="2" t="s">
        <v>193</v>
      </c>
      <c r="CW178" s="2" t="s">
        <v>192</v>
      </c>
      <c r="CX178" s="2" t="s">
        <v>192</v>
      </c>
      <c r="CY178" s="2" t="s">
        <v>193</v>
      </c>
      <c r="CZ178" s="2" t="s">
        <v>192</v>
      </c>
      <c r="DA178" s="2" t="s">
        <v>192</v>
      </c>
      <c r="DB178" s="2" t="s">
        <v>192</v>
      </c>
      <c r="DC178" s="2" t="s">
        <v>192</v>
      </c>
      <c r="DD178" s="2" t="s">
        <v>192</v>
      </c>
      <c r="DE178" s="2" t="s">
        <v>193</v>
      </c>
      <c r="DF178" s="2" t="s">
        <v>193</v>
      </c>
      <c r="DG178" s="2" t="s">
        <v>196</v>
      </c>
      <c r="DH178" s="2" t="s">
        <v>196</v>
      </c>
      <c r="DI178" s="2" t="s">
        <v>196</v>
      </c>
      <c r="DJ178" s="2" t="s">
        <v>196</v>
      </c>
      <c r="DK178" s="2" t="s">
        <v>196</v>
      </c>
      <c r="DL178" s="2" t="s">
        <v>196</v>
      </c>
      <c r="DM178" s="2" t="s">
        <v>196</v>
      </c>
      <c r="DN178" s="2" t="s">
        <v>196</v>
      </c>
      <c r="DO178" s="2" t="s">
        <v>195</v>
      </c>
      <c r="DP178" s="2" t="s">
        <v>196</v>
      </c>
      <c r="DQ178" s="2" t="s">
        <v>196</v>
      </c>
      <c r="DR178" s="2" t="s">
        <v>196</v>
      </c>
      <c r="DS178" s="2" t="s">
        <v>197</v>
      </c>
      <c r="DT178" s="2" t="s">
        <v>199</v>
      </c>
      <c r="DU178" s="2" t="s">
        <v>199</v>
      </c>
      <c r="DV178" s="2" t="s">
        <v>198</v>
      </c>
      <c r="DW178" s="2" t="s">
        <v>199</v>
      </c>
      <c r="DX178" s="2" t="s">
        <v>199</v>
      </c>
      <c r="DY178" s="2" t="s">
        <v>199</v>
      </c>
      <c r="DZ178" s="2"/>
      <c r="EA178" s="2">
        <v>1</v>
      </c>
      <c r="EB178" s="2">
        <v>1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1</v>
      </c>
      <c r="EJ178" s="2">
        <v>1</v>
      </c>
      <c r="EK178" s="2">
        <v>0</v>
      </c>
      <c r="EL178" s="2">
        <v>1</v>
      </c>
      <c r="EM178" s="2">
        <v>0</v>
      </c>
      <c r="EN178" s="2">
        <v>1</v>
      </c>
      <c r="EO178" s="2">
        <v>0</v>
      </c>
      <c r="EP178" s="2">
        <v>0</v>
      </c>
      <c r="EQ178" s="2">
        <v>1</v>
      </c>
      <c r="ER178" s="2">
        <v>0</v>
      </c>
      <c r="ES178" s="2">
        <v>1</v>
      </c>
      <c r="ET178" s="2">
        <v>0</v>
      </c>
      <c r="EU178" s="2">
        <v>1</v>
      </c>
      <c r="EV178" s="2">
        <v>0</v>
      </c>
      <c r="EW178" s="2">
        <v>1</v>
      </c>
      <c r="EX178" s="2">
        <v>0</v>
      </c>
      <c r="EY178" s="2">
        <v>1</v>
      </c>
      <c r="EZ178" s="2">
        <v>0</v>
      </c>
      <c r="FA178" s="2">
        <v>0</v>
      </c>
      <c r="FB178" s="2">
        <v>0</v>
      </c>
      <c r="FC178" s="2">
        <v>1</v>
      </c>
      <c r="FD178" s="2">
        <v>0</v>
      </c>
      <c r="FE178" s="2">
        <v>0</v>
      </c>
      <c r="FF178" s="2">
        <v>0</v>
      </c>
      <c r="FG178" s="2">
        <v>1</v>
      </c>
      <c r="FH178" s="2">
        <v>0</v>
      </c>
      <c r="FI178" s="2">
        <v>0</v>
      </c>
      <c r="FJ178" s="2">
        <v>0</v>
      </c>
      <c r="FK178" s="2">
        <v>1</v>
      </c>
      <c r="FL178" s="2">
        <v>0</v>
      </c>
      <c r="FM178" s="2">
        <v>0</v>
      </c>
      <c r="FN178" s="2">
        <v>0</v>
      </c>
      <c r="FO178" s="2">
        <v>1</v>
      </c>
      <c r="FP178" s="2">
        <v>0</v>
      </c>
      <c r="FQ178" s="2">
        <v>1</v>
      </c>
      <c r="FR178" s="2">
        <v>0</v>
      </c>
      <c r="FS178" s="2">
        <v>1</v>
      </c>
      <c r="FT178" s="2">
        <v>0</v>
      </c>
      <c r="FU178" s="2">
        <v>1</v>
      </c>
      <c r="FV178" s="2">
        <v>0</v>
      </c>
      <c r="FW178" s="2">
        <v>1</v>
      </c>
      <c r="FX178" s="2">
        <v>0</v>
      </c>
      <c r="FY178" s="2">
        <v>1</v>
      </c>
      <c r="FZ178" s="2"/>
      <c r="GA178" s="2">
        <v>4</v>
      </c>
      <c r="GB178" s="2">
        <v>3</v>
      </c>
      <c r="GC178" s="2">
        <v>3</v>
      </c>
      <c r="GD178" s="2">
        <v>4</v>
      </c>
      <c r="GE178" s="2">
        <v>4</v>
      </c>
      <c r="GG178" s="2">
        <v>4</v>
      </c>
      <c r="GH178" s="2">
        <v>4</v>
      </c>
      <c r="GI178" s="2">
        <v>3</v>
      </c>
      <c r="GJ178" s="2">
        <v>3</v>
      </c>
      <c r="GK178" s="2">
        <v>3</v>
      </c>
      <c r="GM178" s="2">
        <f t="shared" si="0"/>
        <v>18</v>
      </c>
      <c r="GN178" s="2">
        <f t="shared" si="1"/>
        <v>17</v>
      </c>
      <c r="GO178" s="2"/>
      <c r="GP178" s="7">
        <v>3</v>
      </c>
      <c r="GQ178" s="7">
        <v>0</v>
      </c>
      <c r="GR178" s="7">
        <v>2</v>
      </c>
      <c r="GS178" s="7">
        <v>1</v>
      </c>
      <c r="GT178" s="7"/>
      <c r="GU178" s="7">
        <v>2</v>
      </c>
      <c r="GV178" s="7">
        <v>1</v>
      </c>
      <c r="GW178" s="7"/>
      <c r="GX178" s="7"/>
      <c r="GY178" s="7">
        <v>3</v>
      </c>
      <c r="GZ178" s="7">
        <v>0</v>
      </c>
      <c r="HA178" s="7">
        <v>2</v>
      </c>
      <c r="HB178" s="7">
        <v>0</v>
      </c>
      <c r="HC178" s="7"/>
      <c r="HD178" s="7">
        <v>2</v>
      </c>
      <c r="HE178" s="7">
        <v>1</v>
      </c>
      <c r="HF178" s="7">
        <v>1</v>
      </c>
      <c r="HG178" s="7"/>
      <c r="HH178" s="7">
        <f t="shared" si="2"/>
        <v>9</v>
      </c>
      <c r="HI178" s="7">
        <f t="shared" si="3"/>
        <v>9</v>
      </c>
      <c r="HJ178" s="7"/>
      <c r="HK178" s="2">
        <v>9</v>
      </c>
      <c r="HL178" s="2">
        <v>9</v>
      </c>
      <c r="HM178" s="2"/>
      <c r="HN178" s="2"/>
    </row>
    <row r="179" spans="1:222" ht="15.75" customHeight="1" x14ac:dyDescent="0.2">
      <c r="A179" s="3" t="e">
        <f>VLOOKUP(B179,#REF!,1,FALSE)</f>
        <v>#REF!</v>
      </c>
      <c r="B179" s="3">
        <v>44495.732533206021</v>
      </c>
      <c r="C179" s="2">
        <v>236</v>
      </c>
      <c r="D179" s="2" t="s">
        <v>185</v>
      </c>
      <c r="E179" s="2">
        <v>0</v>
      </c>
      <c r="F179" s="2" t="s">
        <v>232</v>
      </c>
      <c r="G179" s="2">
        <v>15</v>
      </c>
      <c r="H179" s="2">
        <v>2</v>
      </c>
      <c r="I179" s="2">
        <v>1</v>
      </c>
      <c r="J179" s="2">
        <v>2</v>
      </c>
      <c r="K179" s="2">
        <v>0</v>
      </c>
      <c r="L179" s="2">
        <v>5</v>
      </c>
      <c r="M179" s="2" t="s">
        <v>187</v>
      </c>
      <c r="N179" s="2">
        <v>2</v>
      </c>
      <c r="O179" s="2">
        <v>3</v>
      </c>
      <c r="P179" s="2">
        <v>0</v>
      </c>
      <c r="Q179" s="2">
        <v>0</v>
      </c>
      <c r="R179" s="2">
        <v>3</v>
      </c>
      <c r="S179" s="2">
        <v>0</v>
      </c>
      <c r="T179" s="2">
        <v>-1</v>
      </c>
      <c r="U179" s="2">
        <v>0</v>
      </c>
      <c r="V179" s="2">
        <v>-1</v>
      </c>
      <c r="W179" s="2">
        <v>-1</v>
      </c>
      <c r="X179" s="2"/>
      <c r="Y179" s="2">
        <v>-1</v>
      </c>
      <c r="Z179" s="2">
        <v>1</v>
      </c>
      <c r="AA179" s="2">
        <v>1</v>
      </c>
      <c r="AB179" s="2">
        <v>2</v>
      </c>
      <c r="AC179" s="2">
        <v>0</v>
      </c>
      <c r="AD179" s="2">
        <v>1</v>
      </c>
      <c r="AE179" s="2">
        <v>1</v>
      </c>
      <c r="AF179" s="2">
        <v>1</v>
      </c>
      <c r="AG179" s="2">
        <v>1</v>
      </c>
      <c r="AH179" s="2">
        <v>2</v>
      </c>
      <c r="AI179" s="2">
        <v>2</v>
      </c>
      <c r="AJ179" s="2">
        <v>2</v>
      </c>
      <c r="AK179" s="2">
        <v>2</v>
      </c>
      <c r="AL179" s="2">
        <v>2</v>
      </c>
      <c r="AM179" s="2">
        <v>2</v>
      </c>
      <c r="AN179" s="2">
        <v>2</v>
      </c>
      <c r="AO179" s="2">
        <v>2</v>
      </c>
      <c r="AP179" s="2">
        <v>3</v>
      </c>
      <c r="AQ179" s="2">
        <v>2</v>
      </c>
      <c r="AR179" s="2">
        <v>3</v>
      </c>
      <c r="AS179" s="2">
        <v>1</v>
      </c>
      <c r="AT179" s="2">
        <v>1</v>
      </c>
      <c r="AU179" s="2">
        <v>1</v>
      </c>
      <c r="AV179" s="2"/>
      <c r="AW179" s="2">
        <v>3</v>
      </c>
      <c r="AX179" s="2">
        <v>1</v>
      </c>
      <c r="AY179" s="2">
        <v>2</v>
      </c>
      <c r="AZ179" s="2">
        <v>2</v>
      </c>
      <c r="BA179" s="2">
        <v>3</v>
      </c>
      <c r="BB179" s="2">
        <v>2</v>
      </c>
      <c r="BC179" s="2">
        <v>2</v>
      </c>
      <c r="BD179" s="2">
        <v>3</v>
      </c>
      <c r="BE179" s="2">
        <v>3</v>
      </c>
      <c r="BF179" s="2">
        <v>0</v>
      </c>
      <c r="BG179" s="2">
        <v>1</v>
      </c>
      <c r="BH179" s="2">
        <v>1</v>
      </c>
      <c r="BI179" s="2"/>
      <c r="BJ179" s="2">
        <v>2</v>
      </c>
      <c r="BK179" s="2">
        <v>1</v>
      </c>
      <c r="BL179" s="2">
        <v>3</v>
      </c>
      <c r="BM179" s="2">
        <v>7</v>
      </c>
      <c r="BN179" s="2">
        <v>8</v>
      </c>
      <c r="BO179" s="2">
        <v>8</v>
      </c>
      <c r="BP179" s="2" t="s">
        <v>648</v>
      </c>
      <c r="BQ179" s="2" t="s">
        <v>649</v>
      </c>
      <c r="BR179" s="2" t="s">
        <v>258</v>
      </c>
      <c r="BS179" s="2" t="s">
        <v>650</v>
      </c>
      <c r="BT179" s="2" t="s">
        <v>651</v>
      </c>
      <c r="BU179" s="2" t="s">
        <v>652</v>
      </c>
      <c r="BV179" s="2" t="e">
        <f ca="1">- ประหยัดเวลาจากการเดินทาง/แต่งตัว
- ลดความเหนื่อยล้าจากการเดินทาง
- สามารถหาช่วงจังหวะโฟกัสงานได้ง่าย(เลี่ยงการโดน Interrupt ได้ง่ายกว่า)
- (คิดว่า) หากมีเหตุจำเป็นที่ไม่สามารถเดินทางไป Office ได้
                                                                                                                                                                                                                                                                เช่น ต้องอยู่กับคนในครอบครัวในช่วงระยะหนึ่ง
                                                                                                                                                                                                                                                                ก็สามารถทำงานไปด้วย(เพื่อยังคงมีรายได้) ได้โดยไม่มีปัญหา และเป็นเรื่องที่จะเปิดกว้างให้ทำได้(และทำได้จริง) เป็นปกติ(New Normal) โดยไม่รู้สึกว่าลดประสิทธิภาพการทำงานลงแต่อย่างใด -- หรือเอาเปรียบเพื่อนร่วมงาน</f>
        <v>#NAME?</v>
      </c>
      <c r="BW179" s="2" t="s">
        <v>653</v>
      </c>
      <c r="BX179" s="2" t="s">
        <v>191</v>
      </c>
      <c r="BY179" s="2" t="s">
        <v>188</v>
      </c>
      <c r="BZ179" s="2" t="s">
        <v>188</v>
      </c>
      <c r="CA179" s="2" t="s">
        <v>191</v>
      </c>
      <c r="CB179" s="2" t="s">
        <v>188</v>
      </c>
      <c r="CC179" s="2" t="s">
        <v>191</v>
      </c>
      <c r="CD179" s="2" t="s">
        <v>190</v>
      </c>
      <c r="CE179" s="2" t="s">
        <v>188</v>
      </c>
      <c r="CF179" s="2" t="s">
        <v>188</v>
      </c>
      <c r="CG179" s="2" t="s">
        <v>188</v>
      </c>
      <c r="CH179" s="2" t="s">
        <v>188</v>
      </c>
      <c r="CI179" s="2" t="s">
        <v>188</v>
      </c>
      <c r="CJ179" s="2" t="s">
        <v>191</v>
      </c>
      <c r="CK179" s="2" t="s">
        <v>191</v>
      </c>
      <c r="CL179" s="2" t="s">
        <v>188</v>
      </c>
      <c r="CM179" s="2" t="s">
        <v>192</v>
      </c>
      <c r="CN179" s="2" t="s">
        <v>192</v>
      </c>
      <c r="CO179" s="2" t="s">
        <v>200</v>
      </c>
      <c r="CP179" s="2" t="s">
        <v>193</v>
      </c>
      <c r="CQ179" s="2" t="s">
        <v>193</v>
      </c>
      <c r="CR179" s="2" t="s">
        <v>193</v>
      </c>
      <c r="CS179" s="2" t="s">
        <v>193</v>
      </c>
      <c r="CT179" s="2" t="s">
        <v>200</v>
      </c>
      <c r="CU179" s="2" t="s">
        <v>200</v>
      </c>
      <c r="CV179" s="2" t="s">
        <v>200</v>
      </c>
      <c r="CW179" s="2" t="s">
        <v>200</v>
      </c>
      <c r="CX179" s="2" t="s">
        <v>193</v>
      </c>
      <c r="CY179" s="2" t="s">
        <v>200</v>
      </c>
      <c r="CZ179" s="2" t="s">
        <v>200</v>
      </c>
      <c r="DA179" s="2" t="s">
        <v>200</v>
      </c>
      <c r="DB179" s="2" t="s">
        <v>200</v>
      </c>
      <c r="DC179" s="2" t="s">
        <v>192</v>
      </c>
      <c r="DD179" s="2" t="s">
        <v>192</v>
      </c>
      <c r="DE179" s="2" t="s">
        <v>192</v>
      </c>
      <c r="DF179" s="2" t="s">
        <v>192</v>
      </c>
      <c r="DG179" s="2" t="s">
        <v>195</v>
      </c>
      <c r="DH179" s="2" t="s">
        <v>195</v>
      </c>
      <c r="DI179" s="2" t="s">
        <v>196</v>
      </c>
      <c r="DJ179" s="2" t="s">
        <v>195</v>
      </c>
      <c r="DK179" s="2" t="s">
        <v>196</v>
      </c>
      <c r="DL179" s="2" t="s">
        <v>194</v>
      </c>
      <c r="DM179" s="2" t="s">
        <v>194</v>
      </c>
      <c r="DN179" s="2" t="s">
        <v>220</v>
      </c>
      <c r="DO179" s="2" t="s">
        <v>220</v>
      </c>
      <c r="DP179" s="2" t="s">
        <v>194</v>
      </c>
      <c r="DQ179" s="2" t="s">
        <v>194</v>
      </c>
      <c r="DR179" s="2" t="s">
        <v>194</v>
      </c>
      <c r="DS179" s="2" t="s">
        <v>197</v>
      </c>
      <c r="DT179" s="2" t="s">
        <v>199</v>
      </c>
      <c r="DU179" s="2" t="s">
        <v>221</v>
      </c>
      <c r="DV179" s="2" t="s">
        <v>197</v>
      </c>
      <c r="DW179" s="2" t="s">
        <v>221</v>
      </c>
      <c r="DX179" s="2" t="s">
        <v>199</v>
      </c>
      <c r="DY179" s="2" t="s">
        <v>197</v>
      </c>
      <c r="DZ179" s="2"/>
      <c r="EA179" s="2">
        <v>1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1</v>
      </c>
      <c r="EJ179" s="2">
        <v>1</v>
      </c>
      <c r="EK179" s="2">
        <v>0</v>
      </c>
      <c r="EL179" s="2">
        <v>0</v>
      </c>
      <c r="EM179" s="2">
        <v>1</v>
      </c>
      <c r="EN179" s="2">
        <v>1</v>
      </c>
      <c r="EO179" s="2">
        <v>0</v>
      </c>
      <c r="EP179" s="2">
        <v>1</v>
      </c>
      <c r="EQ179" s="2">
        <v>0</v>
      </c>
      <c r="ER179" s="2">
        <v>1</v>
      </c>
      <c r="ES179" s="2">
        <v>0</v>
      </c>
      <c r="ET179" s="2">
        <v>0</v>
      </c>
      <c r="EU179" s="2">
        <v>1</v>
      </c>
      <c r="EV179" s="2">
        <v>0</v>
      </c>
      <c r="EW179" s="2">
        <v>1</v>
      </c>
      <c r="EX179" s="2">
        <v>0</v>
      </c>
      <c r="EY179" s="2">
        <v>1</v>
      </c>
      <c r="EZ179" s="2">
        <v>0</v>
      </c>
      <c r="FA179" s="2">
        <v>0</v>
      </c>
      <c r="FB179" s="2">
        <v>0</v>
      </c>
      <c r="FC179" s="2">
        <v>1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1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1</v>
      </c>
      <c r="FR179" s="2">
        <v>0</v>
      </c>
      <c r="FS179" s="2">
        <v>1</v>
      </c>
      <c r="FT179" s="2">
        <v>0</v>
      </c>
      <c r="FU179" s="2">
        <v>1</v>
      </c>
      <c r="FV179" s="2">
        <v>0</v>
      </c>
      <c r="FW179" s="2">
        <v>1</v>
      </c>
      <c r="FX179" s="2">
        <v>0</v>
      </c>
      <c r="FY179" s="2">
        <v>1</v>
      </c>
      <c r="FZ179" s="2"/>
      <c r="GA179" s="2">
        <v>2</v>
      </c>
      <c r="GB179" s="2">
        <v>2</v>
      </c>
      <c r="GC179" s="2">
        <v>2</v>
      </c>
      <c r="GD179" s="2">
        <v>3</v>
      </c>
      <c r="GE179" s="2">
        <v>2</v>
      </c>
      <c r="GG179" s="2">
        <v>2</v>
      </c>
      <c r="GH179" s="2">
        <v>3</v>
      </c>
      <c r="GI179" s="2">
        <v>2</v>
      </c>
      <c r="GJ179" s="2">
        <v>2</v>
      </c>
      <c r="GK179" s="2">
        <v>3</v>
      </c>
      <c r="GM179" s="2">
        <f t="shared" si="0"/>
        <v>11</v>
      </c>
      <c r="GN179" s="2">
        <f t="shared" si="1"/>
        <v>12</v>
      </c>
      <c r="GO179" s="2"/>
      <c r="GP179" s="2">
        <v>3</v>
      </c>
      <c r="GQ179" s="2">
        <v>1</v>
      </c>
      <c r="GR179" s="2">
        <v>1</v>
      </c>
      <c r="GS179" s="2">
        <v>1</v>
      </c>
      <c r="GU179" s="2">
        <v>3</v>
      </c>
      <c r="GV179" s="2">
        <v>1</v>
      </c>
      <c r="GW179" s="2">
        <v>2</v>
      </c>
      <c r="GY179" s="2">
        <v>3</v>
      </c>
      <c r="GZ179" s="2">
        <v>0</v>
      </c>
      <c r="HA179" s="2">
        <v>1</v>
      </c>
      <c r="HB179" s="2">
        <v>1</v>
      </c>
      <c r="HD179" s="2">
        <v>2</v>
      </c>
      <c r="HE179" s="2">
        <v>1</v>
      </c>
      <c r="HF179" s="2">
        <v>3</v>
      </c>
      <c r="HH179" s="2">
        <f t="shared" si="2"/>
        <v>12</v>
      </c>
      <c r="HI179" s="2">
        <f t="shared" si="3"/>
        <v>11</v>
      </c>
      <c r="HJ179" s="2"/>
      <c r="HK179" s="2">
        <v>8</v>
      </c>
      <c r="HL179" s="2">
        <v>8</v>
      </c>
      <c r="HM179" s="2"/>
      <c r="HN179" s="2"/>
    </row>
    <row r="180" spans="1:222" ht="15.75" customHeight="1" x14ac:dyDescent="0.2">
      <c r="A180" s="3" t="e">
        <f>VLOOKUP(B180,#REF!,1,FALSE)</f>
        <v>#REF!</v>
      </c>
      <c r="B180" s="3">
        <v>44495.74661678241</v>
      </c>
      <c r="C180" s="2">
        <v>238</v>
      </c>
      <c r="D180" s="2" t="s">
        <v>185</v>
      </c>
      <c r="E180" s="2">
        <v>0</v>
      </c>
      <c r="F180" s="2" t="s">
        <v>654</v>
      </c>
      <c r="G180" s="2">
        <v>2</v>
      </c>
      <c r="H180" s="2">
        <v>2</v>
      </c>
      <c r="I180" s="2">
        <v>1</v>
      </c>
      <c r="J180" s="2">
        <v>3</v>
      </c>
      <c r="K180" s="2">
        <v>0</v>
      </c>
      <c r="L180" s="2">
        <v>2</v>
      </c>
      <c r="M180" s="2" t="s">
        <v>187</v>
      </c>
      <c r="N180" s="2">
        <v>2</v>
      </c>
      <c r="O180" s="2">
        <v>1</v>
      </c>
      <c r="P180" s="2">
        <v>0</v>
      </c>
      <c r="Q180" s="2">
        <v>0</v>
      </c>
      <c r="R180" s="2">
        <v>3</v>
      </c>
      <c r="S180" s="2">
        <v>-1</v>
      </c>
      <c r="T180" s="2">
        <v>-1</v>
      </c>
      <c r="U180" s="2">
        <v>-1</v>
      </c>
      <c r="V180" s="2">
        <v>1</v>
      </c>
      <c r="W180" s="2">
        <v>1</v>
      </c>
      <c r="X180" s="2"/>
      <c r="Y180" s="2">
        <v>-1</v>
      </c>
      <c r="Z180" s="2">
        <v>1</v>
      </c>
      <c r="AA180" s="2">
        <v>-1</v>
      </c>
      <c r="AB180" s="2">
        <v>4</v>
      </c>
      <c r="AC180" s="2">
        <v>4</v>
      </c>
      <c r="AD180" s="2">
        <v>4</v>
      </c>
      <c r="AE180" s="2">
        <v>4</v>
      </c>
      <c r="AF180" s="2">
        <v>4</v>
      </c>
      <c r="AG180" s="2">
        <v>2</v>
      </c>
      <c r="AH180" s="2">
        <v>2</v>
      </c>
      <c r="AI180" s="2">
        <v>1</v>
      </c>
      <c r="AJ180" s="2">
        <v>3</v>
      </c>
      <c r="AK180" s="2">
        <v>1</v>
      </c>
      <c r="AL180" s="2">
        <v>-3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3</v>
      </c>
      <c r="AU180" s="2">
        <v>1</v>
      </c>
      <c r="AV180" s="2"/>
      <c r="AW180" s="2">
        <v>3</v>
      </c>
      <c r="AX180" s="2">
        <v>2</v>
      </c>
      <c r="AY180" s="2">
        <v>3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/>
      <c r="BJ180" s="2">
        <v>0</v>
      </c>
      <c r="BK180" s="2">
        <v>0</v>
      </c>
      <c r="BL180" s="2">
        <v>0</v>
      </c>
      <c r="BM180" s="2">
        <v>8</v>
      </c>
      <c r="BN180" s="2">
        <v>9</v>
      </c>
      <c r="BO180" s="2">
        <v>7</v>
      </c>
      <c r="BP180" s="2"/>
      <c r="BQ180" s="2"/>
      <c r="BR180" s="2"/>
      <c r="BS180" s="2" t="s">
        <v>655</v>
      </c>
      <c r="BT180" s="2"/>
      <c r="BU180" s="2"/>
      <c r="BV180" s="2"/>
      <c r="BW180" s="2"/>
      <c r="BX180" s="2" t="s">
        <v>188</v>
      </c>
      <c r="BY180" s="2" t="s">
        <v>188</v>
      </c>
      <c r="BZ180" s="2" t="s">
        <v>188</v>
      </c>
      <c r="CA180" s="2" t="s">
        <v>188</v>
      </c>
      <c r="CB180" s="2" t="s">
        <v>188</v>
      </c>
      <c r="CC180" s="2" t="s">
        <v>188</v>
      </c>
      <c r="CD180" s="2" t="s">
        <v>188</v>
      </c>
      <c r="CE180" s="2" t="s">
        <v>188</v>
      </c>
      <c r="CF180" s="2" t="s">
        <v>189</v>
      </c>
      <c r="CG180" s="2" t="s">
        <v>191</v>
      </c>
      <c r="CH180" s="2" t="s">
        <v>191</v>
      </c>
      <c r="CI180" s="2" t="s">
        <v>191</v>
      </c>
      <c r="CJ180" s="2" t="s">
        <v>191</v>
      </c>
      <c r="CK180" s="2" t="s">
        <v>191</v>
      </c>
      <c r="CL180" s="2" t="s">
        <v>191</v>
      </c>
      <c r="CM180" s="2" t="s">
        <v>200</v>
      </c>
      <c r="CN180" s="2" t="s">
        <v>192</v>
      </c>
      <c r="CO180" s="2" t="s">
        <v>200</v>
      </c>
      <c r="CP180" s="2" t="s">
        <v>200</v>
      </c>
      <c r="CQ180" s="2" t="s">
        <v>200</v>
      </c>
      <c r="CR180" s="2" t="s">
        <v>193</v>
      </c>
      <c r="CS180" s="2" t="s">
        <v>200</v>
      </c>
      <c r="CT180" s="2" t="s">
        <v>200</v>
      </c>
      <c r="CU180" s="2" t="s">
        <v>193</v>
      </c>
      <c r="CV180" s="2" t="s">
        <v>193</v>
      </c>
      <c r="CW180" s="2" t="s">
        <v>192</v>
      </c>
      <c r="CX180" s="2" t="s">
        <v>200</v>
      </c>
      <c r="CY180" s="2" t="s">
        <v>193</v>
      </c>
      <c r="CZ180" s="2" t="s">
        <v>200</v>
      </c>
      <c r="DA180" s="2" t="s">
        <v>200</v>
      </c>
      <c r="DB180" s="2" t="s">
        <v>200</v>
      </c>
      <c r="DC180" s="2" t="s">
        <v>193</v>
      </c>
      <c r="DD180" s="2" t="s">
        <v>200</v>
      </c>
      <c r="DE180" s="2" t="s">
        <v>200</v>
      </c>
      <c r="DF180" s="2" t="s">
        <v>200</v>
      </c>
      <c r="DG180" s="2" t="s">
        <v>195</v>
      </c>
      <c r="DH180" s="2" t="s">
        <v>195</v>
      </c>
      <c r="DI180" s="2" t="s">
        <v>194</v>
      </c>
      <c r="DJ180" s="2" t="s">
        <v>194</v>
      </c>
      <c r="DK180" s="2" t="s">
        <v>194</v>
      </c>
      <c r="DL180" s="2" t="s">
        <v>194</v>
      </c>
      <c r="DM180" s="2" t="s">
        <v>194</v>
      </c>
      <c r="DN180" s="2" t="s">
        <v>195</v>
      </c>
      <c r="DO180" s="2" t="s">
        <v>195</v>
      </c>
      <c r="DP180" s="2" t="s">
        <v>195</v>
      </c>
      <c r="DQ180" s="2" t="s">
        <v>195</v>
      </c>
      <c r="DR180" s="2" t="s">
        <v>194</v>
      </c>
      <c r="DS180" s="2" t="s">
        <v>197</v>
      </c>
      <c r="DT180" s="2" t="s">
        <v>197</v>
      </c>
      <c r="DU180" s="2" t="s">
        <v>197</v>
      </c>
      <c r="DV180" s="2" t="s">
        <v>197</v>
      </c>
      <c r="DW180" s="2" t="s">
        <v>197</v>
      </c>
      <c r="DX180" s="2" t="s">
        <v>197</v>
      </c>
      <c r="DY180" s="2" t="s">
        <v>197</v>
      </c>
      <c r="DZ180" s="2"/>
      <c r="EA180" s="2">
        <v>1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1</v>
      </c>
      <c r="EJ180" s="2">
        <v>0</v>
      </c>
      <c r="EK180" s="2">
        <v>1</v>
      </c>
      <c r="EL180" s="2">
        <v>0</v>
      </c>
      <c r="EM180" s="2">
        <v>1</v>
      </c>
      <c r="EN180" s="2">
        <v>1</v>
      </c>
      <c r="EO180" s="2">
        <v>0</v>
      </c>
      <c r="EP180" s="2">
        <v>0</v>
      </c>
      <c r="EQ180" s="2">
        <v>1</v>
      </c>
      <c r="ER180" s="2">
        <v>0</v>
      </c>
      <c r="ES180" s="2">
        <v>1</v>
      </c>
      <c r="ET180" s="2">
        <v>0</v>
      </c>
      <c r="EU180" s="2">
        <v>1</v>
      </c>
      <c r="EV180" s="2">
        <v>0</v>
      </c>
      <c r="EW180" s="2">
        <v>1</v>
      </c>
      <c r="EX180" s="2">
        <v>0</v>
      </c>
      <c r="EY180" s="2">
        <v>1</v>
      </c>
      <c r="EZ180" s="2">
        <v>1</v>
      </c>
      <c r="FA180" s="2">
        <v>0</v>
      </c>
      <c r="FB180" s="2">
        <v>1</v>
      </c>
      <c r="FC180" s="2">
        <v>0</v>
      </c>
      <c r="FD180" s="2">
        <v>0</v>
      </c>
      <c r="FE180" s="2">
        <v>0</v>
      </c>
      <c r="FF180" s="2">
        <v>1</v>
      </c>
      <c r="FG180" s="2">
        <v>0</v>
      </c>
      <c r="FH180" s="2">
        <v>1</v>
      </c>
      <c r="FI180" s="2">
        <v>0</v>
      </c>
      <c r="FJ180" s="2">
        <v>1</v>
      </c>
      <c r="FK180" s="2">
        <v>0</v>
      </c>
      <c r="FL180" s="2">
        <v>1</v>
      </c>
      <c r="FM180" s="2">
        <v>0</v>
      </c>
      <c r="FN180" s="2">
        <v>0</v>
      </c>
      <c r="FO180" s="2">
        <v>1</v>
      </c>
      <c r="FP180" s="2">
        <v>0</v>
      </c>
      <c r="FQ180" s="2">
        <v>1</v>
      </c>
      <c r="FR180" s="2">
        <v>0</v>
      </c>
      <c r="FS180" s="2">
        <v>1</v>
      </c>
      <c r="FT180" s="2">
        <v>1</v>
      </c>
      <c r="FU180" s="2">
        <v>1</v>
      </c>
      <c r="FV180" s="2">
        <v>0</v>
      </c>
      <c r="FW180" s="2">
        <v>1</v>
      </c>
      <c r="FX180" s="2">
        <v>1</v>
      </c>
      <c r="FY180" s="2">
        <v>0</v>
      </c>
      <c r="FZ180" s="2"/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M180" s="2">
        <f t="shared" si="0"/>
        <v>0</v>
      </c>
      <c r="GN180" s="2">
        <f t="shared" si="1"/>
        <v>0</v>
      </c>
      <c r="GO180" s="2"/>
      <c r="GP180" s="2">
        <v>0</v>
      </c>
      <c r="GQ180" s="2">
        <v>0</v>
      </c>
      <c r="GR180" s="2">
        <v>3</v>
      </c>
      <c r="GS180" s="2">
        <v>1</v>
      </c>
      <c r="GU180" s="2">
        <v>3</v>
      </c>
      <c r="GV180" s="2">
        <v>2</v>
      </c>
      <c r="GW180" s="2">
        <v>3</v>
      </c>
      <c r="GY180" s="2">
        <v>0</v>
      </c>
      <c r="GZ180" s="2">
        <v>0</v>
      </c>
      <c r="HA180" s="2">
        <v>0</v>
      </c>
      <c r="HB180" s="2">
        <v>0</v>
      </c>
      <c r="HD180" s="2">
        <v>0</v>
      </c>
      <c r="HE180" s="2">
        <v>0</v>
      </c>
      <c r="HF180" s="2">
        <v>0</v>
      </c>
      <c r="HH180" s="2">
        <f t="shared" si="2"/>
        <v>12</v>
      </c>
      <c r="HI180" s="2">
        <f t="shared" si="3"/>
        <v>0</v>
      </c>
      <c r="HJ180" s="2"/>
      <c r="HK180" s="2">
        <v>9</v>
      </c>
      <c r="HL180" s="2">
        <v>7</v>
      </c>
      <c r="HM180" s="2"/>
      <c r="HN180" s="2"/>
    </row>
    <row r="181" spans="1:222" ht="15.75" customHeight="1" x14ac:dyDescent="0.2">
      <c r="A181" s="3" t="e">
        <f>VLOOKUP(B181,#REF!,1,FALSE)</f>
        <v>#REF!</v>
      </c>
      <c r="B181" s="3">
        <v>44495.839784016207</v>
      </c>
      <c r="C181" s="2">
        <v>239</v>
      </c>
      <c r="D181" s="2" t="s">
        <v>185</v>
      </c>
      <c r="E181" s="2">
        <v>0</v>
      </c>
      <c r="F181" s="2" t="s">
        <v>237</v>
      </c>
      <c r="G181" s="2">
        <v>15</v>
      </c>
      <c r="H181" s="2">
        <v>2</v>
      </c>
      <c r="I181" s="2">
        <v>1</v>
      </c>
      <c r="J181" s="2">
        <v>3</v>
      </c>
      <c r="K181" s="2">
        <v>1</v>
      </c>
      <c r="L181" s="2">
        <v>7</v>
      </c>
      <c r="M181" s="2" t="s">
        <v>213</v>
      </c>
      <c r="N181" s="2">
        <v>2</v>
      </c>
      <c r="O181" s="2">
        <v>5</v>
      </c>
      <c r="P181" s="2">
        <v>0</v>
      </c>
      <c r="Q181" s="2">
        <v>3</v>
      </c>
      <c r="R181" s="2">
        <v>3</v>
      </c>
      <c r="S181" s="2">
        <v>-1</v>
      </c>
      <c r="T181" s="2">
        <v>-1</v>
      </c>
      <c r="U181" s="2">
        <v>-1</v>
      </c>
      <c r="V181" s="2">
        <v>-1</v>
      </c>
      <c r="W181" s="2">
        <v>-1</v>
      </c>
      <c r="X181" s="2"/>
      <c r="Y181" s="2">
        <v>1</v>
      </c>
      <c r="Z181" s="2">
        <v>0</v>
      </c>
      <c r="AA181" s="2">
        <v>0</v>
      </c>
      <c r="AB181" s="2">
        <v>4</v>
      </c>
      <c r="AC181" s="2">
        <v>2</v>
      </c>
      <c r="AD181" s="2">
        <v>1</v>
      </c>
      <c r="AE181" s="2">
        <v>2</v>
      </c>
      <c r="AF181" s="2">
        <v>2</v>
      </c>
      <c r="AG181" s="2">
        <v>-1</v>
      </c>
      <c r="AH181" s="2">
        <v>1</v>
      </c>
      <c r="AI181" s="2">
        <v>-1</v>
      </c>
      <c r="AJ181" s="2">
        <v>-1</v>
      </c>
      <c r="AK181" s="2">
        <v>-1</v>
      </c>
      <c r="AL181" s="2">
        <v>-2</v>
      </c>
      <c r="AM181" s="2">
        <v>4</v>
      </c>
      <c r="AN181" s="2">
        <v>4</v>
      </c>
      <c r="AO181" s="2">
        <v>3</v>
      </c>
      <c r="AP181" s="2">
        <v>3</v>
      </c>
      <c r="AQ181" s="2">
        <v>2</v>
      </c>
      <c r="AR181" s="2">
        <v>0</v>
      </c>
      <c r="AS181" s="2">
        <v>0</v>
      </c>
      <c r="AT181" s="2">
        <v>0</v>
      </c>
      <c r="AU181" s="2">
        <v>1</v>
      </c>
      <c r="AV181" s="2"/>
      <c r="AW181" s="2">
        <v>2</v>
      </c>
      <c r="AX181" s="2">
        <v>0</v>
      </c>
      <c r="AY181" s="2">
        <v>0</v>
      </c>
      <c r="AZ181" s="2">
        <v>1</v>
      </c>
      <c r="BA181" s="2">
        <v>2</v>
      </c>
      <c r="BB181" s="2">
        <v>2</v>
      </c>
      <c r="BC181" s="2">
        <v>2</v>
      </c>
      <c r="BD181" s="2">
        <v>1</v>
      </c>
      <c r="BE181" s="2">
        <v>0</v>
      </c>
      <c r="BF181" s="2">
        <v>0</v>
      </c>
      <c r="BG181" s="2">
        <v>0</v>
      </c>
      <c r="BH181" s="2">
        <v>0</v>
      </c>
      <c r="BI181" s="2"/>
      <c r="BJ181" s="2">
        <v>0</v>
      </c>
      <c r="BK181" s="2">
        <v>0</v>
      </c>
      <c r="BL181" s="2">
        <v>0</v>
      </c>
      <c r="BM181" s="2">
        <v>7</v>
      </c>
      <c r="BN181" s="2">
        <v>7</v>
      </c>
      <c r="BO181" s="2">
        <v>6</v>
      </c>
      <c r="BP181" s="2"/>
      <c r="BQ181" s="2"/>
      <c r="BR181" s="2"/>
      <c r="BS181" s="2"/>
      <c r="BT181" s="2"/>
      <c r="BU181" s="2"/>
      <c r="BV181" s="2"/>
      <c r="BW181" s="2"/>
      <c r="BX181" s="2" t="s">
        <v>191</v>
      </c>
      <c r="BY181" s="2" t="s">
        <v>191</v>
      </c>
      <c r="BZ181" s="2" t="s">
        <v>188</v>
      </c>
      <c r="CA181" s="2" t="s">
        <v>188</v>
      </c>
      <c r="CB181" s="2" t="s">
        <v>188</v>
      </c>
      <c r="CC181" s="2" t="s">
        <v>188</v>
      </c>
      <c r="CD181" s="2" t="s">
        <v>190</v>
      </c>
      <c r="CE181" s="2" t="s">
        <v>191</v>
      </c>
      <c r="CF181" s="2" t="s">
        <v>188</v>
      </c>
      <c r="CG181" s="2" t="s">
        <v>188</v>
      </c>
      <c r="CH181" s="2" t="s">
        <v>191</v>
      </c>
      <c r="CI181" s="2" t="s">
        <v>191</v>
      </c>
      <c r="CJ181" s="2" t="s">
        <v>190</v>
      </c>
      <c r="CK181" s="2" t="s">
        <v>191</v>
      </c>
      <c r="CL181" s="2" t="s">
        <v>191</v>
      </c>
      <c r="CM181" s="2" t="s">
        <v>193</v>
      </c>
      <c r="CN181" s="2" t="s">
        <v>192</v>
      </c>
      <c r="CO181" s="2" t="s">
        <v>200</v>
      </c>
      <c r="CP181" s="2" t="s">
        <v>200</v>
      </c>
      <c r="CQ181" s="2" t="s">
        <v>192</v>
      </c>
      <c r="CR181" s="2" t="s">
        <v>193</v>
      </c>
      <c r="CS181" s="2" t="s">
        <v>193</v>
      </c>
      <c r="CT181" s="2" t="s">
        <v>193</v>
      </c>
      <c r="CU181" s="2" t="s">
        <v>192</v>
      </c>
      <c r="CV181" s="2" t="s">
        <v>193</v>
      </c>
      <c r="CW181" s="2" t="s">
        <v>193</v>
      </c>
      <c r="CX181" s="2" t="s">
        <v>200</v>
      </c>
      <c r="CY181" s="2" t="s">
        <v>193</v>
      </c>
      <c r="CZ181" s="2" t="s">
        <v>193</v>
      </c>
      <c r="DA181" s="2" t="s">
        <v>200</v>
      </c>
      <c r="DB181" s="2" t="s">
        <v>193</v>
      </c>
      <c r="DC181" s="2" t="s">
        <v>193</v>
      </c>
      <c r="DD181" s="2" t="s">
        <v>193</v>
      </c>
      <c r="DE181" s="2" t="s">
        <v>192</v>
      </c>
      <c r="DF181" s="2" t="s">
        <v>193</v>
      </c>
      <c r="DG181" s="2" t="s">
        <v>201</v>
      </c>
      <c r="DH181" s="2" t="s">
        <v>201</v>
      </c>
      <c r="DI181" s="2" t="s">
        <v>195</v>
      </c>
      <c r="DJ181" s="2" t="s">
        <v>194</v>
      </c>
      <c r="DK181" s="2" t="s">
        <v>194</v>
      </c>
      <c r="DL181" s="2" t="s">
        <v>194</v>
      </c>
      <c r="DM181" s="2" t="s">
        <v>194</v>
      </c>
      <c r="DN181" s="2" t="s">
        <v>196</v>
      </c>
      <c r="DO181" s="2" t="s">
        <v>196</v>
      </c>
      <c r="DP181" s="2" t="s">
        <v>196</v>
      </c>
      <c r="DQ181" s="2" t="s">
        <v>194</v>
      </c>
      <c r="DR181" s="2" t="s">
        <v>195</v>
      </c>
      <c r="DS181" s="2" t="s">
        <v>197</v>
      </c>
      <c r="DT181" s="2" t="s">
        <v>198</v>
      </c>
      <c r="DU181" s="2" t="s">
        <v>197</v>
      </c>
      <c r="DV181" s="2" t="s">
        <v>197</v>
      </c>
      <c r="DW181" s="2" t="s">
        <v>197</v>
      </c>
      <c r="DX181" s="2" t="s">
        <v>199</v>
      </c>
      <c r="DY181" s="2" t="s">
        <v>197</v>
      </c>
      <c r="DZ181" s="2"/>
      <c r="EA181" s="2">
        <v>0</v>
      </c>
      <c r="EB181" s="2">
        <v>0</v>
      </c>
      <c r="EC181" s="2">
        <v>1</v>
      </c>
      <c r="ED181" s="2">
        <v>0</v>
      </c>
      <c r="EE181" s="2">
        <v>0</v>
      </c>
      <c r="EF181" s="2">
        <v>0</v>
      </c>
      <c r="EG181" s="2">
        <v>0</v>
      </c>
      <c r="EH181" s="2">
        <v>1</v>
      </c>
      <c r="EI181" s="2">
        <v>0</v>
      </c>
      <c r="EJ181" s="2">
        <v>1</v>
      </c>
      <c r="EK181" s="2">
        <v>0</v>
      </c>
      <c r="EL181" s="2">
        <v>0</v>
      </c>
      <c r="EM181" s="2">
        <v>1</v>
      </c>
      <c r="EN181" s="2">
        <v>1</v>
      </c>
      <c r="EO181" s="2">
        <v>0</v>
      </c>
      <c r="EP181" s="2">
        <v>1</v>
      </c>
      <c r="EQ181" s="2">
        <v>0</v>
      </c>
      <c r="ER181" s="2">
        <v>0</v>
      </c>
      <c r="ES181" s="2">
        <v>1</v>
      </c>
      <c r="ET181" s="2">
        <v>1</v>
      </c>
      <c r="EU181" s="2">
        <v>0</v>
      </c>
      <c r="EV181" s="2">
        <v>1</v>
      </c>
      <c r="EW181" s="2">
        <v>0</v>
      </c>
      <c r="EX181" s="2">
        <v>0</v>
      </c>
      <c r="EY181" s="2">
        <v>1</v>
      </c>
      <c r="EZ181" s="2">
        <v>1</v>
      </c>
      <c r="FA181" s="2">
        <v>0</v>
      </c>
      <c r="FB181" s="2">
        <v>1</v>
      </c>
      <c r="FC181" s="2">
        <v>0</v>
      </c>
      <c r="FD181" s="2">
        <v>0</v>
      </c>
      <c r="FE181" s="2">
        <v>0</v>
      </c>
      <c r="FF181" s="2">
        <v>1</v>
      </c>
      <c r="FG181" s="2">
        <v>0</v>
      </c>
      <c r="FH181" s="2">
        <v>1</v>
      </c>
      <c r="FI181" s="2">
        <v>0</v>
      </c>
      <c r="FJ181" s="2">
        <v>1</v>
      </c>
      <c r="FK181" s="2">
        <v>0</v>
      </c>
      <c r="FL181" s="2">
        <v>1</v>
      </c>
      <c r="FM181" s="2">
        <v>0</v>
      </c>
      <c r="FN181" s="2">
        <v>0</v>
      </c>
      <c r="FO181" s="2">
        <v>1</v>
      </c>
      <c r="FP181" s="2">
        <v>0</v>
      </c>
      <c r="FQ181" s="2">
        <v>1</v>
      </c>
      <c r="FR181" s="2">
        <v>1</v>
      </c>
      <c r="FS181" s="2">
        <v>0</v>
      </c>
      <c r="FT181" s="2">
        <v>0</v>
      </c>
      <c r="FU181" s="2">
        <v>1</v>
      </c>
      <c r="FV181" s="2">
        <v>0</v>
      </c>
      <c r="FW181" s="2">
        <v>1</v>
      </c>
      <c r="FX181" s="2">
        <v>1</v>
      </c>
      <c r="FY181" s="2">
        <v>0</v>
      </c>
      <c r="FZ181" s="2"/>
      <c r="GA181" s="2">
        <v>4</v>
      </c>
      <c r="GB181" s="2">
        <v>4</v>
      </c>
      <c r="GC181" s="2">
        <v>3</v>
      </c>
      <c r="GD181" s="2">
        <v>3</v>
      </c>
      <c r="GE181" s="2">
        <v>2</v>
      </c>
      <c r="GG181" s="2">
        <v>1</v>
      </c>
      <c r="GH181" s="2">
        <v>2</v>
      </c>
      <c r="GI181" s="2">
        <v>2</v>
      </c>
      <c r="GJ181" s="2">
        <v>2</v>
      </c>
      <c r="GK181" s="2">
        <v>1</v>
      </c>
      <c r="GM181" s="2">
        <f t="shared" si="0"/>
        <v>16</v>
      </c>
      <c r="GN181" s="2">
        <f t="shared" si="1"/>
        <v>8</v>
      </c>
      <c r="GO181" s="2"/>
      <c r="GP181" s="2">
        <v>0</v>
      </c>
      <c r="GQ181" s="2">
        <v>0</v>
      </c>
      <c r="GR181" s="2">
        <v>0</v>
      </c>
      <c r="GS181" s="2">
        <v>1</v>
      </c>
      <c r="GU181" s="2">
        <v>2</v>
      </c>
      <c r="GV181" s="2">
        <v>0</v>
      </c>
      <c r="GW181" s="2">
        <v>0</v>
      </c>
      <c r="GY181" s="2">
        <v>0</v>
      </c>
      <c r="GZ181" s="2">
        <v>0</v>
      </c>
      <c r="HA181" s="2">
        <v>0</v>
      </c>
      <c r="HB181" s="2">
        <v>0</v>
      </c>
      <c r="HD181" s="2">
        <v>0</v>
      </c>
      <c r="HE181" s="2">
        <v>0</v>
      </c>
      <c r="HF181" s="2">
        <v>0</v>
      </c>
      <c r="HH181" s="2">
        <f t="shared" si="2"/>
        <v>3</v>
      </c>
      <c r="HI181" s="2">
        <f t="shared" si="3"/>
        <v>0</v>
      </c>
      <c r="HJ181" s="2"/>
      <c r="HK181" s="2">
        <v>7</v>
      </c>
      <c r="HL181" s="2">
        <v>6</v>
      </c>
      <c r="HM181" s="2"/>
      <c r="HN181" s="2"/>
    </row>
    <row r="182" spans="1:222" ht="15.75" customHeight="1" x14ac:dyDescent="0.2">
      <c r="A182" s="3" t="e">
        <f>VLOOKUP(B182,#REF!,1,FALSE)</f>
        <v>#REF!</v>
      </c>
      <c r="B182" s="3">
        <v>44495.8894625463</v>
      </c>
      <c r="C182" s="2">
        <v>240</v>
      </c>
      <c r="D182" s="2" t="s">
        <v>185</v>
      </c>
      <c r="E182" s="2">
        <v>0</v>
      </c>
      <c r="F182" s="2" t="s">
        <v>656</v>
      </c>
      <c r="G182" s="2">
        <v>15</v>
      </c>
      <c r="H182" s="2">
        <v>2</v>
      </c>
      <c r="I182" s="2">
        <v>1</v>
      </c>
      <c r="J182" s="2">
        <v>2</v>
      </c>
      <c r="K182" s="2">
        <v>0</v>
      </c>
      <c r="L182" s="2">
        <v>5</v>
      </c>
      <c r="M182" s="2" t="s">
        <v>187</v>
      </c>
      <c r="N182" s="2">
        <v>4</v>
      </c>
      <c r="O182" s="2">
        <v>3</v>
      </c>
      <c r="P182" s="2">
        <v>0</v>
      </c>
      <c r="Q182" s="2">
        <v>0</v>
      </c>
      <c r="R182" s="2">
        <v>3</v>
      </c>
      <c r="S182" s="2">
        <v>0</v>
      </c>
      <c r="T182" s="2">
        <v>-1</v>
      </c>
      <c r="U182" s="2">
        <v>1</v>
      </c>
      <c r="V182" s="2">
        <v>-1</v>
      </c>
      <c r="W182" s="2">
        <v>-1</v>
      </c>
      <c r="X182" s="2"/>
      <c r="Y182" s="2">
        <v>-1</v>
      </c>
      <c r="Z182" s="2">
        <v>1</v>
      </c>
      <c r="AA182" s="2">
        <v>1</v>
      </c>
      <c r="AB182" s="2">
        <v>1</v>
      </c>
      <c r="AC182" s="2">
        <v>0</v>
      </c>
      <c r="AD182" s="2">
        <v>1</v>
      </c>
      <c r="AE182" s="2">
        <v>2</v>
      </c>
      <c r="AF182" s="2">
        <v>1</v>
      </c>
      <c r="AG182" s="2">
        <v>2</v>
      </c>
      <c r="AH182" s="2">
        <v>3</v>
      </c>
      <c r="AI182" s="2">
        <v>2</v>
      </c>
      <c r="AJ182" s="2">
        <v>2</v>
      </c>
      <c r="AK182" s="2">
        <v>2</v>
      </c>
      <c r="AL182" s="2">
        <v>2</v>
      </c>
      <c r="AM182" s="2">
        <v>4</v>
      </c>
      <c r="AN182" s="2">
        <v>4</v>
      </c>
      <c r="AO182" s="2">
        <v>3</v>
      </c>
      <c r="AP182" s="2">
        <v>4</v>
      </c>
      <c r="AQ182" s="2">
        <v>3</v>
      </c>
      <c r="AR182" s="2">
        <v>3</v>
      </c>
      <c r="AS182" s="2">
        <v>2</v>
      </c>
      <c r="AT182" s="2">
        <v>2</v>
      </c>
      <c r="AU182" s="2">
        <v>2</v>
      </c>
      <c r="AV182" s="2"/>
      <c r="AW182" s="2">
        <v>3</v>
      </c>
      <c r="AX182" s="2">
        <v>1</v>
      </c>
      <c r="AY182" s="2">
        <v>2</v>
      </c>
      <c r="AZ182" s="2">
        <v>4</v>
      </c>
      <c r="BA182" s="2">
        <v>4</v>
      </c>
      <c r="BB182" s="2">
        <v>4</v>
      </c>
      <c r="BC182" s="2">
        <v>4</v>
      </c>
      <c r="BD182" s="2">
        <v>4</v>
      </c>
      <c r="BE182" s="2">
        <v>3</v>
      </c>
      <c r="BF182" s="2">
        <v>2</v>
      </c>
      <c r="BG182" s="2">
        <v>2</v>
      </c>
      <c r="BH182" s="2">
        <v>2</v>
      </c>
      <c r="BI182" s="2"/>
      <c r="BJ182" s="2">
        <v>2</v>
      </c>
      <c r="BK182" s="2">
        <v>2</v>
      </c>
      <c r="BL182" s="2">
        <v>2</v>
      </c>
      <c r="BM182" s="2">
        <v>8</v>
      </c>
      <c r="BN182" s="2">
        <v>8</v>
      </c>
      <c r="BO182" s="2">
        <v>8</v>
      </c>
      <c r="BP182" s="2"/>
      <c r="BQ182" s="2"/>
      <c r="BR182" s="2"/>
      <c r="BS182" s="2"/>
      <c r="BT182" s="2"/>
      <c r="BU182" s="2"/>
      <c r="BV182" s="2" t="s">
        <v>657</v>
      </c>
      <c r="BW182" s="2" t="s">
        <v>658</v>
      </c>
      <c r="BX182" s="2" t="s">
        <v>189</v>
      </c>
      <c r="BY182" s="2" t="s">
        <v>189</v>
      </c>
      <c r="BZ182" s="2" t="s">
        <v>190</v>
      </c>
      <c r="CA182" s="2" t="s">
        <v>189</v>
      </c>
      <c r="CB182" s="2" t="s">
        <v>190</v>
      </c>
      <c r="CC182" s="2" t="s">
        <v>189</v>
      </c>
      <c r="CD182" s="2" t="s">
        <v>189</v>
      </c>
      <c r="CE182" s="2" t="s">
        <v>189</v>
      </c>
      <c r="CF182" s="2" t="s">
        <v>189</v>
      </c>
      <c r="CG182" s="2" t="s">
        <v>189</v>
      </c>
      <c r="CH182" s="2" t="s">
        <v>190</v>
      </c>
      <c r="CI182" s="2" t="s">
        <v>189</v>
      </c>
      <c r="CJ182" s="2" t="s">
        <v>189</v>
      </c>
      <c r="CK182" s="2" t="s">
        <v>189</v>
      </c>
      <c r="CL182" s="2" t="s">
        <v>189</v>
      </c>
      <c r="CM182" s="2" t="s">
        <v>192</v>
      </c>
      <c r="CN182" s="2" t="s">
        <v>192</v>
      </c>
      <c r="CO182" s="2" t="s">
        <v>192</v>
      </c>
      <c r="CP182" s="2" t="s">
        <v>193</v>
      </c>
      <c r="CQ182" s="2" t="s">
        <v>192</v>
      </c>
      <c r="CR182" s="2" t="s">
        <v>193</v>
      </c>
      <c r="CS182" s="2" t="s">
        <v>193</v>
      </c>
      <c r="CT182" s="2" t="s">
        <v>192</v>
      </c>
      <c r="CU182" s="2" t="s">
        <v>192</v>
      </c>
      <c r="CV182" s="2" t="s">
        <v>193</v>
      </c>
      <c r="CW182" s="2" t="s">
        <v>200</v>
      </c>
      <c r="CX182" s="2" t="s">
        <v>192</v>
      </c>
      <c r="CY182" s="2" t="s">
        <v>193</v>
      </c>
      <c r="CZ182" s="2" t="s">
        <v>193</v>
      </c>
      <c r="DA182" s="2" t="s">
        <v>192</v>
      </c>
      <c r="DB182" s="2" t="s">
        <v>192</v>
      </c>
      <c r="DC182" s="2" t="s">
        <v>192</v>
      </c>
      <c r="DD182" s="2" t="s">
        <v>192</v>
      </c>
      <c r="DE182" s="2" t="s">
        <v>192</v>
      </c>
      <c r="DF182" s="2" t="s">
        <v>192</v>
      </c>
      <c r="DG182" s="2" t="s">
        <v>195</v>
      </c>
      <c r="DH182" s="2" t="s">
        <v>195</v>
      </c>
      <c r="DI182" s="2" t="s">
        <v>195</v>
      </c>
      <c r="DJ182" s="2" t="s">
        <v>195</v>
      </c>
      <c r="DK182" s="2" t="s">
        <v>196</v>
      </c>
      <c r="DL182" s="2" t="s">
        <v>194</v>
      </c>
      <c r="DM182" s="2" t="s">
        <v>196</v>
      </c>
      <c r="DN182" s="2" t="s">
        <v>194</v>
      </c>
      <c r="DO182" s="2" t="s">
        <v>196</v>
      </c>
      <c r="DP182" s="2" t="s">
        <v>196</v>
      </c>
      <c r="DQ182" s="2" t="s">
        <v>194</v>
      </c>
      <c r="DR182" s="2" t="s">
        <v>196</v>
      </c>
      <c r="DS182" s="2" t="s">
        <v>197</v>
      </c>
      <c r="DT182" s="2" t="s">
        <v>198</v>
      </c>
      <c r="DU182" s="2" t="s">
        <v>199</v>
      </c>
      <c r="DV182" s="2" t="s">
        <v>199</v>
      </c>
      <c r="DW182" s="2" t="s">
        <v>198</v>
      </c>
      <c r="DX182" s="2" t="s">
        <v>199</v>
      </c>
      <c r="DY182" s="2" t="s">
        <v>199</v>
      </c>
      <c r="DZ182" s="2"/>
      <c r="EA182" s="2">
        <v>1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1</v>
      </c>
      <c r="EI182" s="2">
        <v>0</v>
      </c>
      <c r="EJ182" s="2">
        <v>1</v>
      </c>
      <c r="EK182" s="2">
        <v>0</v>
      </c>
      <c r="EL182" s="2">
        <v>0</v>
      </c>
      <c r="EM182" s="2">
        <v>1</v>
      </c>
      <c r="EN182" s="2">
        <v>1</v>
      </c>
      <c r="EO182" s="2">
        <v>0</v>
      </c>
      <c r="EP182" s="2">
        <v>1</v>
      </c>
      <c r="EQ182" s="2">
        <v>0</v>
      </c>
      <c r="ER182" s="2">
        <v>1</v>
      </c>
      <c r="ES182" s="2">
        <v>0</v>
      </c>
      <c r="ET182" s="2">
        <v>1</v>
      </c>
      <c r="EU182" s="2">
        <v>0</v>
      </c>
      <c r="EV182" s="2">
        <v>0</v>
      </c>
      <c r="EW182" s="2">
        <v>1</v>
      </c>
      <c r="EX182" s="2">
        <v>0</v>
      </c>
      <c r="EY182" s="2">
        <v>1</v>
      </c>
      <c r="EZ182" s="2">
        <v>1</v>
      </c>
      <c r="FA182" s="2">
        <v>0</v>
      </c>
      <c r="FB182" s="2">
        <v>0</v>
      </c>
      <c r="FC182" s="2">
        <v>1</v>
      </c>
      <c r="FD182" s="2">
        <v>0</v>
      </c>
      <c r="FE182" s="2">
        <v>0</v>
      </c>
      <c r="FF182" s="2">
        <v>0</v>
      </c>
      <c r="FG182" s="2">
        <v>0</v>
      </c>
      <c r="FH182" s="2">
        <v>1</v>
      </c>
      <c r="FI182" s="2">
        <v>0</v>
      </c>
      <c r="FJ182" s="2">
        <v>0</v>
      </c>
      <c r="FK182" s="2">
        <v>1</v>
      </c>
      <c r="FL182" s="2">
        <v>1</v>
      </c>
      <c r="FM182" s="2">
        <v>0</v>
      </c>
      <c r="FN182" s="2">
        <v>1</v>
      </c>
      <c r="FO182" s="2">
        <v>0</v>
      </c>
      <c r="FP182" s="2">
        <v>1</v>
      </c>
      <c r="FQ182" s="2">
        <v>1</v>
      </c>
      <c r="FR182" s="2">
        <v>0</v>
      </c>
      <c r="FS182" s="2">
        <v>1</v>
      </c>
      <c r="FT182" s="2">
        <v>0</v>
      </c>
      <c r="FU182" s="2">
        <v>1</v>
      </c>
      <c r="FV182" s="2">
        <v>0</v>
      </c>
      <c r="FW182" s="2">
        <v>1</v>
      </c>
      <c r="FX182" s="2">
        <v>0</v>
      </c>
      <c r="FY182" s="2">
        <v>1</v>
      </c>
      <c r="FZ182" s="2"/>
      <c r="GA182" s="2">
        <v>4</v>
      </c>
      <c r="GB182" s="2">
        <v>4</v>
      </c>
      <c r="GC182" s="2">
        <v>3</v>
      </c>
      <c r="GD182" s="2">
        <v>4</v>
      </c>
      <c r="GE182" s="2">
        <v>3</v>
      </c>
      <c r="GG182" s="2">
        <v>4</v>
      </c>
      <c r="GH182" s="2">
        <v>4</v>
      </c>
      <c r="GI182" s="2">
        <v>4</v>
      </c>
      <c r="GJ182" s="2">
        <v>4</v>
      </c>
      <c r="GK182" s="2">
        <v>4</v>
      </c>
      <c r="GM182" s="2">
        <f t="shared" si="0"/>
        <v>18</v>
      </c>
      <c r="GN182" s="2">
        <f t="shared" si="1"/>
        <v>20</v>
      </c>
      <c r="GO182" s="2"/>
      <c r="GP182" s="2">
        <v>3</v>
      </c>
      <c r="GQ182" s="2">
        <v>2</v>
      </c>
      <c r="GR182" s="2">
        <v>2</v>
      </c>
      <c r="GS182" s="2">
        <v>2</v>
      </c>
      <c r="GU182" s="2">
        <v>3</v>
      </c>
      <c r="GV182" s="2">
        <v>1</v>
      </c>
      <c r="GW182" s="2">
        <v>2</v>
      </c>
      <c r="GY182" s="2">
        <v>3</v>
      </c>
      <c r="GZ182" s="2">
        <v>2</v>
      </c>
      <c r="HA182" s="2">
        <v>2</v>
      </c>
      <c r="HB182" s="2">
        <v>2</v>
      </c>
      <c r="HD182" s="2">
        <v>2</v>
      </c>
      <c r="HE182" s="2">
        <v>2</v>
      </c>
      <c r="HF182" s="2">
        <v>2</v>
      </c>
      <c r="HH182" s="2">
        <f t="shared" si="2"/>
        <v>15</v>
      </c>
      <c r="HI182" s="2">
        <f t="shared" si="3"/>
        <v>15</v>
      </c>
      <c r="HJ182" s="2"/>
      <c r="HK182" s="2">
        <v>8</v>
      </c>
      <c r="HL182" s="2">
        <v>8</v>
      </c>
      <c r="HM182" s="2"/>
      <c r="HN182" s="2"/>
    </row>
    <row r="183" spans="1:222" ht="15.75" customHeight="1" x14ac:dyDescent="0.2">
      <c r="A183" s="3" t="e">
        <f>VLOOKUP(B183,#REF!,1,FALSE)</f>
        <v>#REF!</v>
      </c>
      <c r="B183" s="3">
        <v>44496.664458090279</v>
      </c>
      <c r="C183" s="2">
        <v>241</v>
      </c>
      <c r="D183" s="2" t="s">
        <v>185</v>
      </c>
      <c r="E183" s="2">
        <v>0</v>
      </c>
      <c r="F183" s="2" t="s">
        <v>659</v>
      </c>
      <c r="G183" s="2">
        <v>2</v>
      </c>
      <c r="H183" s="2">
        <v>2</v>
      </c>
      <c r="I183" s="2">
        <v>1</v>
      </c>
      <c r="J183" s="2">
        <v>3</v>
      </c>
      <c r="K183" s="2">
        <v>0</v>
      </c>
      <c r="L183" s="2">
        <v>3</v>
      </c>
      <c r="M183" s="2" t="s">
        <v>187</v>
      </c>
      <c r="N183" s="2">
        <v>2</v>
      </c>
      <c r="O183" s="2">
        <v>4</v>
      </c>
      <c r="P183" s="2">
        <v>0</v>
      </c>
      <c r="Q183" s="2">
        <v>2</v>
      </c>
      <c r="R183" s="2">
        <v>3</v>
      </c>
      <c r="S183" s="2">
        <v>0</v>
      </c>
      <c r="T183" s="2">
        <v>-1</v>
      </c>
      <c r="U183" s="2">
        <v>1</v>
      </c>
      <c r="V183" s="2">
        <v>0</v>
      </c>
      <c r="W183" s="2">
        <v>-1</v>
      </c>
      <c r="X183" s="2"/>
      <c r="Y183" s="2">
        <v>-1</v>
      </c>
      <c r="Z183" s="2">
        <v>1</v>
      </c>
      <c r="AA183" s="2">
        <v>1</v>
      </c>
      <c r="AB183" s="2">
        <v>2</v>
      </c>
      <c r="AC183" s="2">
        <v>2</v>
      </c>
      <c r="AD183" s="2">
        <v>1</v>
      </c>
      <c r="AE183" s="2">
        <v>4</v>
      </c>
      <c r="AF183" s="2">
        <v>1</v>
      </c>
      <c r="AG183" s="2">
        <v>1</v>
      </c>
      <c r="AH183" s="2">
        <v>2</v>
      </c>
      <c r="AI183" s="2">
        <v>3</v>
      </c>
      <c r="AJ183" s="2">
        <v>3</v>
      </c>
      <c r="AK183" s="2">
        <v>3</v>
      </c>
      <c r="AL183" s="2">
        <v>3</v>
      </c>
      <c r="AM183" s="2">
        <v>4</v>
      </c>
      <c r="AN183" s="2">
        <v>4</v>
      </c>
      <c r="AO183" s="2">
        <v>4</v>
      </c>
      <c r="AP183" s="2">
        <v>2</v>
      </c>
      <c r="AQ183" s="2">
        <v>4</v>
      </c>
      <c r="AR183" s="2">
        <v>3</v>
      </c>
      <c r="AS183" s="2">
        <v>1</v>
      </c>
      <c r="AT183" s="2">
        <v>2</v>
      </c>
      <c r="AU183" s="2">
        <v>0</v>
      </c>
      <c r="AV183" s="2"/>
      <c r="AW183" s="2">
        <v>1</v>
      </c>
      <c r="AX183" s="2">
        <v>0</v>
      </c>
      <c r="AY183" s="2">
        <v>2</v>
      </c>
      <c r="AZ183" s="2">
        <v>1</v>
      </c>
      <c r="BA183" s="2">
        <v>2</v>
      </c>
      <c r="BB183" s="2">
        <v>1</v>
      </c>
      <c r="BC183" s="2">
        <v>3</v>
      </c>
      <c r="BD183" s="2">
        <v>2</v>
      </c>
      <c r="BE183" s="2">
        <v>1</v>
      </c>
      <c r="BF183" s="2">
        <v>3</v>
      </c>
      <c r="BG183" s="2">
        <v>3</v>
      </c>
      <c r="BH183" s="2">
        <v>3</v>
      </c>
      <c r="BI183" s="2"/>
      <c r="BJ183" s="2">
        <v>3</v>
      </c>
      <c r="BK183" s="2">
        <v>3</v>
      </c>
      <c r="BL183" s="2">
        <v>-2</v>
      </c>
      <c r="BM183" s="2">
        <v>9</v>
      </c>
      <c r="BN183" s="2">
        <v>6</v>
      </c>
      <c r="BO183" s="2">
        <v>6</v>
      </c>
      <c r="BP183" s="2" t="s">
        <v>224</v>
      </c>
      <c r="BQ183" s="2" t="s">
        <v>660</v>
      </c>
      <c r="BR183" s="2" t="s">
        <v>224</v>
      </c>
      <c r="BS183" s="2" t="s">
        <v>661</v>
      </c>
      <c r="BT183" s="2" t="s">
        <v>224</v>
      </c>
      <c r="BU183" s="2" t="s">
        <v>224</v>
      </c>
      <c r="BV183" s="2" t="s">
        <v>325</v>
      </c>
      <c r="BW183" s="2" t="s">
        <v>662</v>
      </c>
      <c r="BX183" s="2" t="s">
        <v>190</v>
      </c>
      <c r="BY183" s="2" t="s">
        <v>191</v>
      </c>
      <c r="BZ183" s="2" t="s">
        <v>191</v>
      </c>
      <c r="CA183" s="2" t="s">
        <v>191</v>
      </c>
      <c r="CB183" s="2" t="s">
        <v>188</v>
      </c>
      <c r="CC183" s="2" t="s">
        <v>190</v>
      </c>
      <c r="CD183" s="2" t="s">
        <v>189</v>
      </c>
      <c r="CE183" s="2" t="s">
        <v>189</v>
      </c>
      <c r="CF183" s="2" t="s">
        <v>189</v>
      </c>
      <c r="CG183" s="2" t="s">
        <v>190</v>
      </c>
      <c r="CH183" s="2" t="s">
        <v>190</v>
      </c>
      <c r="CI183" s="2" t="s">
        <v>189</v>
      </c>
      <c r="CJ183" s="2" t="s">
        <v>189</v>
      </c>
      <c r="CK183" s="2" t="s">
        <v>189</v>
      </c>
      <c r="CL183" s="2" t="s">
        <v>190</v>
      </c>
      <c r="CM183" s="2" t="s">
        <v>192</v>
      </c>
      <c r="CN183" s="2" t="s">
        <v>192</v>
      </c>
      <c r="CO183" s="2" t="s">
        <v>192</v>
      </c>
      <c r="CP183" s="2" t="s">
        <v>200</v>
      </c>
      <c r="CQ183" s="2" t="s">
        <v>192</v>
      </c>
      <c r="CR183" s="2" t="s">
        <v>193</v>
      </c>
      <c r="CS183" s="2" t="s">
        <v>200</v>
      </c>
      <c r="CT183" s="2" t="s">
        <v>193</v>
      </c>
      <c r="CU183" s="2" t="s">
        <v>192</v>
      </c>
      <c r="CV183" s="2" t="s">
        <v>192</v>
      </c>
      <c r="CW183" s="2" t="s">
        <v>192</v>
      </c>
      <c r="CX183" s="2" t="s">
        <v>200</v>
      </c>
      <c r="CY183" s="2" t="s">
        <v>192</v>
      </c>
      <c r="CZ183" s="2" t="s">
        <v>192</v>
      </c>
      <c r="DA183" s="2" t="s">
        <v>200</v>
      </c>
      <c r="DB183" s="2" t="s">
        <v>192</v>
      </c>
      <c r="DC183" s="2" t="s">
        <v>192</v>
      </c>
      <c r="DD183" s="2" t="s">
        <v>200</v>
      </c>
      <c r="DE183" s="2" t="s">
        <v>200</v>
      </c>
      <c r="DF183" s="2" t="s">
        <v>192</v>
      </c>
      <c r="DG183" s="2" t="s">
        <v>195</v>
      </c>
      <c r="DH183" s="2" t="s">
        <v>195</v>
      </c>
      <c r="DI183" s="2" t="s">
        <v>195</v>
      </c>
      <c r="DJ183" s="2" t="s">
        <v>195</v>
      </c>
      <c r="DK183" s="2" t="s">
        <v>194</v>
      </c>
      <c r="DL183" s="2" t="s">
        <v>195</v>
      </c>
      <c r="DM183" s="2" t="s">
        <v>195</v>
      </c>
      <c r="DN183" s="2" t="s">
        <v>220</v>
      </c>
      <c r="DO183" s="2" t="s">
        <v>195</v>
      </c>
      <c r="DP183" s="2" t="s">
        <v>195</v>
      </c>
      <c r="DQ183" s="2" t="s">
        <v>201</v>
      </c>
      <c r="DR183" s="2" t="s">
        <v>195</v>
      </c>
      <c r="DS183" s="2" t="s">
        <v>197</v>
      </c>
      <c r="DT183" s="2" t="s">
        <v>222</v>
      </c>
      <c r="DU183" s="2" t="s">
        <v>198</v>
      </c>
      <c r="DV183" s="2" t="s">
        <v>198</v>
      </c>
      <c r="DW183" s="2" t="s">
        <v>197</v>
      </c>
      <c r="DX183" s="2" t="s">
        <v>198</v>
      </c>
      <c r="DY183" s="2" t="s">
        <v>197</v>
      </c>
      <c r="DZ183" s="2"/>
      <c r="EA183" s="2">
        <v>0</v>
      </c>
      <c r="EB183" s="2">
        <v>1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1</v>
      </c>
      <c r="EI183" s="2">
        <v>0</v>
      </c>
      <c r="EJ183" s="2">
        <v>1</v>
      </c>
      <c r="EK183" s="2">
        <v>0</v>
      </c>
      <c r="EL183" s="2">
        <v>1</v>
      </c>
      <c r="EM183" s="2">
        <v>1</v>
      </c>
      <c r="EN183" s="2">
        <v>0</v>
      </c>
      <c r="EO183" s="2">
        <v>1</v>
      </c>
      <c r="EP183" s="2">
        <v>1</v>
      </c>
      <c r="EQ183" s="2">
        <v>1</v>
      </c>
      <c r="ER183" s="2">
        <v>1</v>
      </c>
      <c r="ES183" s="2">
        <v>1</v>
      </c>
      <c r="ET183" s="2">
        <v>1</v>
      </c>
      <c r="EU183" s="2">
        <v>1</v>
      </c>
      <c r="EV183" s="2">
        <v>0</v>
      </c>
      <c r="EW183" s="2">
        <v>0</v>
      </c>
      <c r="EX183" s="2">
        <v>1</v>
      </c>
      <c r="EY183" s="2">
        <v>1</v>
      </c>
      <c r="EZ183" s="2">
        <v>0</v>
      </c>
      <c r="FA183" s="2">
        <v>0</v>
      </c>
      <c r="FB183" s="2">
        <v>1</v>
      </c>
      <c r="FC183" s="2">
        <v>1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1</v>
      </c>
      <c r="FQ183" s="2">
        <v>1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1</v>
      </c>
      <c r="FY183" s="2">
        <v>1</v>
      </c>
      <c r="FZ183" s="2"/>
      <c r="GA183" s="2">
        <v>4</v>
      </c>
      <c r="GB183" s="2">
        <v>4</v>
      </c>
      <c r="GC183" s="2">
        <v>4</v>
      </c>
      <c r="GD183" s="2">
        <v>2</v>
      </c>
      <c r="GE183" s="2">
        <v>4</v>
      </c>
      <c r="GG183" s="2">
        <v>1</v>
      </c>
      <c r="GH183" s="2">
        <v>2</v>
      </c>
      <c r="GI183" s="2">
        <v>1</v>
      </c>
      <c r="GJ183" s="2">
        <v>3</v>
      </c>
      <c r="GK183" s="2">
        <v>2</v>
      </c>
      <c r="GM183" s="2">
        <f t="shared" si="0"/>
        <v>18</v>
      </c>
      <c r="GN183" s="2">
        <f t="shared" si="1"/>
        <v>9</v>
      </c>
      <c r="GO183" s="2"/>
      <c r="GP183" s="2">
        <v>3</v>
      </c>
      <c r="GQ183" s="2">
        <v>1</v>
      </c>
      <c r="GR183" s="2">
        <v>2</v>
      </c>
      <c r="GS183" s="2">
        <v>0</v>
      </c>
      <c r="GU183" s="2">
        <v>1</v>
      </c>
      <c r="GV183" s="2">
        <v>0</v>
      </c>
      <c r="GW183" s="2">
        <v>2</v>
      </c>
      <c r="GY183" s="2">
        <v>1</v>
      </c>
      <c r="GZ183" s="2">
        <v>3</v>
      </c>
      <c r="HA183" s="2">
        <v>3</v>
      </c>
      <c r="HB183" s="2">
        <v>3</v>
      </c>
      <c r="HD183" s="2">
        <v>3</v>
      </c>
      <c r="HE183" s="2">
        <v>3</v>
      </c>
      <c r="HF183" s="2">
        <v>-2</v>
      </c>
      <c r="HH183" s="2">
        <f t="shared" si="2"/>
        <v>9</v>
      </c>
      <c r="HI183" s="2">
        <f t="shared" si="3"/>
        <v>14</v>
      </c>
      <c r="HJ183" s="2"/>
      <c r="HK183" s="2">
        <v>6</v>
      </c>
      <c r="HL183" s="2">
        <v>6</v>
      </c>
      <c r="HM183" s="2"/>
      <c r="HN183" s="2"/>
    </row>
    <row r="184" spans="1:222" ht="15.75" customHeight="1" x14ac:dyDescent="0.2">
      <c r="A184" s="3" t="e">
        <f>VLOOKUP(B184,#REF!,1,FALSE)</f>
        <v>#REF!</v>
      </c>
      <c r="B184" s="3">
        <v>44496.993895590276</v>
      </c>
      <c r="C184" s="2">
        <v>242</v>
      </c>
      <c r="D184" s="2" t="s">
        <v>185</v>
      </c>
      <c r="E184" s="2">
        <v>0</v>
      </c>
      <c r="F184" s="2" t="s">
        <v>237</v>
      </c>
      <c r="G184" s="2">
        <v>8</v>
      </c>
      <c r="H184" s="2">
        <v>2</v>
      </c>
      <c r="I184" s="2">
        <v>1</v>
      </c>
      <c r="J184" s="2">
        <v>3</v>
      </c>
      <c r="K184" s="2">
        <v>0</v>
      </c>
      <c r="L184" s="2">
        <v>4</v>
      </c>
      <c r="M184" s="2" t="s">
        <v>187</v>
      </c>
      <c r="N184" s="2">
        <v>2</v>
      </c>
      <c r="O184" s="2">
        <v>3</v>
      </c>
      <c r="P184" s="2">
        <v>1</v>
      </c>
      <c r="Q184" s="2">
        <v>0</v>
      </c>
      <c r="R184" s="2">
        <v>3</v>
      </c>
      <c r="S184" s="2">
        <v>-1</v>
      </c>
      <c r="T184" s="2">
        <v>-1</v>
      </c>
      <c r="U184" s="2">
        <v>1</v>
      </c>
      <c r="V184" s="2">
        <v>0</v>
      </c>
      <c r="W184" s="2">
        <v>1</v>
      </c>
      <c r="X184" s="2"/>
      <c r="Y184" s="2">
        <v>-1</v>
      </c>
      <c r="Z184" s="2">
        <v>0</v>
      </c>
      <c r="AA184" s="2">
        <v>-1</v>
      </c>
      <c r="AB184" s="2">
        <v>4</v>
      </c>
      <c r="AC184" s="2">
        <v>0</v>
      </c>
      <c r="AD184" s="2">
        <v>2</v>
      </c>
      <c r="AE184" s="2">
        <v>4</v>
      </c>
      <c r="AF184" s="2">
        <v>-99</v>
      </c>
      <c r="AG184" s="2">
        <v>-2</v>
      </c>
      <c r="AH184" s="2">
        <v>1</v>
      </c>
      <c r="AI184" s="2">
        <v>1</v>
      </c>
      <c r="AJ184" s="2">
        <v>2</v>
      </c>
      <c r="AK184" s="2">
        <v>1</v>
      </c>
      <c r="AL184" s="2">
        <v>1</v>
      </c>
      <c r="AM184" s="2">
        <v>1</v>
      </c>
      <c r="AN184" s="2">
        <v>1</v>
      </c>
      <c r="AO184" s="2">
        <v>0</v>
      </c>
      <c r="AP184" s="2">
        <v>0</v>
      </c>
      <c r="AQ184" s="2">
        <v>1</v>
      </c>
      <c r="AR184" s="2">
        <v>0</v>
      </c>
      <c r="AS184" s="2">
        <v>0</v>
      </c>
      <c r="AT184" s="2">
        <v>0</v>
      </c>
      <c r="AU184" s="2">
        <v>2</v>
      </c>
      <c r="AV184" s="2"/>
      <c r="AW184" s="2">
        <v>3</v>
      </c>
      <c r="AX184" s="2">
        <v>0</v>
      </c>
      <c r="AY184" s="2">
        <v>-1</v>
      </c>
      <c r="AZ184" s="2">
        <v>1</v>
      </c>
      <c r="BA184" s="2">
        <v>1</v>
      </c>
      <c r="BB184" s="2">
        <v>0</v>
      </c>
      <c r="BC184" s="2">
        <v>3</v>
      </c>
      <c r="BD184" s="2">
        <v>1</v>
      </c>
      <c r="BE184" s="2">
        <v>0</v>
      </c>
      <c r="BF184" s="2">
        <v>0</v>
      </c>
      <c r="BG184" s="2">
        <v>0</v>
      </c>
      <c r="BH184" s="2">
        <v>0</v>
      </c>
      <c r="BI184" s="2"/>
      <c r="BJ184" s="2">
        <v>2</v>
      </c>
      <c r="BK184" s="2">
        <v>0</v>
      </c>
      <c r="BL184" s="2">
        <v>0</v>
      </c>
      <c r="BM184" s="2">
        <v>5</v>
      </c>
      <c r="BN184" s="2">
        <v>6</v>
      </c>
      <c r="BO184" s="2">
        <v>10</v>
      </c>
      <c r="BP184" s="2" t="s">
        <v>663</v>
      </c>
      <c r="BQ184" s="2"/>
      <c r="BR184" s="2" t="s">
        <v>664</v>
      </c>
      <c r="BS184" s="2"/>
      <c r="BT184" s="2" t="s">
        <v>665</v>
      </c>
      <c r="BU184" s="2"/>
      <c r="BV184" s="2" t="s">
        <v>666</v>
      </c>
      <c r="BW184" s="2" t="s">
        <v>667</v>
      </c>
      <c r="BX184" s="2" t="s">
        <v>191</v>
      </c>
      <c r="BY184" s="2" t="s">
        <v>189</v>
      </c>
      <c r="BZ184" s="2" t="s">
        <v>189</v>
      </c>
      <c r="CA184" s="2" t="s">
        <v>191</v>
      </c>
      <c r="CB184" s="2" t="s">
        <v>188</v>
      </c>
      <c r="CC184" s="2" t="s">
        <v>188</v>
      </c>
      <c r="CD184" s="2" t="s">
        <v>189</v>
      </c>
      <c r="CE184" s="2" t="s">
        <v>190</v>
      </c>
      <c r="CF184" s="2" t="s">
        <v>188</v>
      </c>
      <c r="CG184" s="2" t="s">
        <v>190</v>
      </c>
      <c r="CH184" s="2" t="s">
        <v>191</v>
      </c>
      <c r="CI184" s="2" t="s">
        <v>189</v>
      </c>
      <c r="CJ184" s="2" t="s">
        <v>189</v>
      </c>
      <c r="CK184" s="2" t="s">
        <v>189</v>
      </c>
      <c r="CL184" s="2" t="s">
        <v>191</v>
      </c>
      <c r="CM184" s="2" t="s">
        <v>192</v>
      </c>
      <c r="CN184" s="2" t="s">
        <v>192</v>
      </c>
      <c r="CO184" s="2" t="s">
        <v>193</v>
      </c>
      <c r="CP184" s="2" t="s">
        <v>192</v>
      </c>
      <c r="CQ184" s="2" t="s">
        <v>192</v>
      </c>
      <c r="CR184" s="2" t="s">
        <v>193</v>
      </c>
      <c r="CS184" s="2" t="s">
        <v>193</v>
      </c>
      <c r="CT184" s="2" t="s">
        <v>193</v>
      </c>
      <c r="CU184" s="2" t="s">
        <v>192</v>
      </c>
      <c r="CV184" s="2" t="s">
        <v>200</v>
      </c>
      <c r="CW184" s="2" t="s">
        <v>192</v>
      </c>
      <c r="CX184" s="2" t="s">
        <v>200</v>
      </c>
      <c r="CY184" s="2" t="s">
        <v>192</v>
      </c>
      <c r="CZ184" s="2" t="s">
        <v>192</v>
      </c>
      <c r="DA184" s="2" t="s">
        <v>200</v>
      </c>
      <c r="DB184" s="2" t="s">
        <v>192</v>
      </c>
      <c r="DC184" s="2" t="s">
        <v>192</v>
      </c>
      <c r="DD184" s="2" t="s">
        <v>193</v>
      </c>
      <c r="DE184" s="2" t="s">
        <v>192</v>
      </c>
      <c r="DF184" s="2" t="s">
        <v>193</v>
      </c>
      <c r="DG184" s="2" t="s">
        <v>195</v>
      </c>
      <c r="DH184" s="2" t="s">
        <v>201</v>
      </c>
      <c r="DI184" s="2" t="s">
        <v>195</v>
      </c>
      <c r="DJ184" s="2" t="s">
        <v>195</v>
      </c>
      <c r="DK184" s="2" t="s">
        <v>194</v>
      </c>
      <c r="DL184" s="2" t="s">
        <v>201</v>
      </c>
      <c r="DM184" s="2" t="s">
        <v>201</v>
      </c>
      <c r="DN184" s="2" t="s">
        <v>220</v>
      </c>
      <c r="DO184" s="2" t="s">
        <v>194</v>
      </c>
      <c r="DP184" s="2" t="s">
        <v>194</v>
      </c>
      <c r="DQ184" s="2" t="s">
        <v>201</v>
      </c>
      <c r="DR184" s="2" t="s">
        <v>201</v>
      </c>
      <c r="DS184" s="2" t="s">
        <v>197</v>
      </c>
      <c r="DT184" s="2" t="s">
        <v>197</v>
      </c>
      <c r="DU184" s="2" t="s">
        <v>197</v>
      </c>
      <c r="DV184" s="2" t="s">
        <v>197</v>
      </c>
      <c r="DW184" s="2" t="s">
        <v>197</v>
      </c>
      <c r="DX184" s="2" t="s">
        <v>197</v>
      </c>
      <c r="DY184" s="2" t="s">
        <v>197</v>
      </c>
      <c r="DZ184" s="2"/>
      <c r="EA184" s="2">
        <v>1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1</v>
      </c>
      <c r="EI184" s="2">
        <v>0</v>
      </c>
      <c r="EJ184" s="2">
        <v>1</v>
      </c>
      <c r="EK184" s="2">
        <v>0</v>
      </c>
      <c r="EL184" s="2">
        <v>1</v>
      </c>
      <c r="EM184" s="2">
        <v>0</v>
      </c>
      <c r="EN184" s="2">
        <v>1</v>
      </c>
      <c r="EO184" s="2">
        <v>0</v>
      </c>
      <c r="EP184" s="2">
        <v>1</v>
      </c>
      <c r="EQ184" s="2">
        <v>0</v>
      </c>
      <c r="ER184" s="2">
        <v>1</v>
      </c>
      <c r="ES184" s="2">
        <v>0</v>
      </c>
      <c r="ET184" s="2">
        <v>1</v>
      </c>
      <c r="EU184" s="2">
        <v>0</v>
      </c>
      <c r="EV184" s="2">
        <v>1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1</v>
      </c>
      <c r="FC184" s="2">
        <v>0</v>
      </c>
      <c r="FD184" s="2">
        <v>0</v>
      </c>
      <c r="FE184" s="2">
        <v>0</v>
      </c>
      <c r="FF184" s="2">
        <v>1</v>
      </c>
      <c r="FG184" s="2">
        <v>0</v>
      </c>
      <c r="FH184" s="2">
        <v>1</v>
      </c>
      <c r="FI184" s="2">
        <v>0</v>
      </c>
      <c r="FJ184" s="2">
        <v>1</v>
      </c>
      <c r="FK184" s="2">
        <v>0</v>
      </c>
      <c r="FL184" s="2">
        <v>1</v>
      </c>
      <c r="FM184" s="2">
        <v>0</v>
      </c>
      <c r="FN184" s="2">
        <v>1</v>
      </c>
      <c r="FO184" s="2">
        <v>0</v>
      </c>
      <c r="FP184" s="2">
        <v>1</v>
      </c>
      <c r="FQ184" s="2">
        <v>0</v>
      </c>
      <c r="FR184" s="2">
        <v>1</v>
      </c>
      <c r="FS184" s="2">
        <v>0</v>
      </c>
      <c r="FT184" s="2">
        <v>1</v>
      </c>
      <c r="FU184" s="2">
        <v>0</v>
      </c>
      <c r="FV184" s="2">
        <v>1</v>
      </c>
      <c r="FW184" s="2">
        <v>0</v>
      </c>
      <c r="FX184" s="2">
        <v>1</v>
      </c>
      <c r="FY184" s="2">
        <v>0</v>
      </c>
      <c r="FZ184" s="2"/>
      <c r="GA184" s="2">
        <v>1</v>
      </c>
      <c r="GB184" s="2">
        <v>1</v>
      </c>
      <c r="GC184" s="2">
        <v>0</v>
      </c>
      <c r="GD184" s="2">
        <v>0</v>
      </c>
      <c r="GE184" s="2">
        <v>1</v>
      </c>
      <c r="GG184" s="2">
        <v>1</v>
      </c>
      <c r="GH184" s="2">
        <v>1</v>
      </c>
      <c r="GI184" s="2">
        <v>0</v>
      </c>
      <c r="GJ184" s="2">
        <v>3</v>
      </c>
      <c r="GK184" s="2">
        <v>1</v>
      </c>
      <c r="GM184" s="2">
        <f t="shared" si="0"/>
        <v>3</v>
      </c>
      <c r="GN184" s="2">
        <f t="shared" si="1"/>
        <v>6</v>
      </c>
      <c r="GO184" s="2"/>
      <c r="GP184" s="2">
        <v>0</v>
      </c>
      <c r="GQ184" s="2">
        <v>0</v>
      </c>
      <c r="GR184" s="2">
        <v>0</v>
      </c>
      <c r="GS184" s="2">
        <v>2</v>
      </c>
      <c r="GU184" s="2">
        <v>3</v>
      </c>
      <c r="GV184" s="2">
        <v>0</v>
      </c>
      <c r="GW184" s="2">
        <v>-1</v>
      </c>
      <c r="GY184" s="2">
        <v>0</v>
      </c>
      <c r="GZ184" s="2">
        <v>0</v>
      </c>
      <c r="HA184" s="2">
        <v>0</v>
      </c>
      <c r="HB184" s="2">
        <v>0</v>
      </c>
      <c r="HD184" s="2">
        <v>2</v>
      </c>
      <c r="HE184" s="2">
        <v>0</v>
      </c>
      <c r="HF184" s="2">
        <v>0</v>
      </c>
      <c r="HH184" s="2">
        <f t="shared" si="2"/>
        <v>4</v>
      </c>
      <c r="HI184" s="2">
        <f t="shared" si="3"/>
        <v>2</v>
      </c>
      <c r="HJ184" s="2"/>
      <c r="HK184" s="2">
        <v>6</v>
      </c>
      <c r="HL184" s="2">
        <v>10</v>
      </c>
      <c r="HM184" s="2"/>
      <c r="HN184" s="2"/>
    </row>
    <row r="185" spans="1:222" ht="15.75" customHeight="1" x14ac:dyDescent="0.2">
      <c r="A185" s="3" t="e">
        <f>VLOOKUP(B185,#REF!,1,FALSE)</f>
        <v>#REF!</v>
      </c>
      <c r="B185" s="3">
        <v>44502.348038819444</v>
      </c>
      <c r="C185" s="2">
        <v>243</v>
      </c>
      <c r="D185" s="2" t="s">
        <v>185</v>
      </c>
      <c r="E185" s="2">
        <v>0</v>
      </c>
      <c r="F185" s="2" t="s">
        <v>232</v>
      </c>
      <c r="G185" s="2">
        <v>2</v>
      </c>
      <c r="H185" s="2">
        <v>0.5</v>
      </c>
      <c r="I185" s="2">
        <v>1</v>
      </c>
      <c r="J185" s="2">
        <v>3</v>
      </c>
      <c r="K185" s="2">
        <v>0</v>
      </c>
      <c r="L185" s="2">
        <v>7</v>
      </c>
      <c r="M185" s="2" t="s">
        <v>187</v>
      </c>
      <c r="N185" s="2">
        <v>3</v>
      </c>
      <c r="O185" s="2">
        <v>5</v>
      </c>
      <c r="P185" s="2">
        <v>0</v>
      </c>
      <c r="Q185" s="2">
        <v>0</v>
      </c>
      <c r="R185" s="2">
        <v>2</v>
      </c>
      <c r="S185" s="2">
        <v>-1</v>
      </c>
      <c r="T185" s="2">
        <v>-1</v>
      </c>
      <c r="U185" s="2">
        <v>-1</v>
      </c>
      <c r="V185" s="2">
        <v>-1</v>
      </c>
      <c r="W185" s="2">
        <v>-1</v>
      </c>
      <c r="X185" s="2"/>
      <c r="Y185" s="2">
        <v>-1</v>
      </c>
      <c r="Z185" s="2">
        <v>1</v>
      </c>
      <c r="AA185" s="2">
        <v>1</v>
      </c>
      <c r="AB185" s="2">
        <v>0</v>
      </c>
      <c r="AC185" s="2">
        <v>0</v>
      </c>
      <c r="AD185" s="2">
        <v>4</v>
      </c>
      <c r="AE185" s="2">
        <v>2</v>
      </c>
      <c r="AF185" s="2">
        <v>4</v>
      </c>
      <c r="AG185" s="2">
        <v>2</v>
      </c>
      <c r="AH185" s="2">
        <v>3</v>
      </c>
      <c r="AI185" s="2">
        <v>-1</v>
      </c>
      <c r="AJ185" s="2">
        <v>2</v>
      </c>
      <c r="AK185" s="2">
        <v>1</v>
      </c>
      <c r="AL185" s="2">
        <v>1</v>
      </c>
      <c r="AM185" s="2">
        <v>4</v>
      </c>
      <c r="AN185" s="2">
        <v>4</v>
      </c>
      <c r="AO185" s="2">
        <v>4</v>
      </c>
      <c r="AP185" s="2">
        <v>4</v>
      </c>
      <c r="AQ185" s="2">
        <v>3</v>
      </c>
      <c r="AR185" s="2">
        <v>3</v>
      </c>
      <c r="AS185" s="2">
        <v>2</v>
      </c>
      <c r="AT185" s="2">
        <v>2</v>
      </c>
      <c r="AU185" s="2">
        <v>3</v>
      </c>
      <c r="AV185" s="2"/>
      <c r="AW185" s="2">
        <v>3</v>
      </c>
      <c r="AX185" s="2">
        <v>2</v>
      </c>
      <c r="AY185" s="2">
        <v>0</v>
      </c>
      <c r="AZ185" s="2">
        <v>5</v>
      </c>
      <c r="BA185" s="2">
        <v>4</v>
      </c>
      <c r="BB185" s="2">
        <v>4</v>
      </c>
      <c r="BC185" s="2">
        <v>5</v>
      </c>
      <c r="BD185" s="2">
        <v>5</v>
      </c>
      <c r="BE185" s="2">
        <v>3</v>
      </c>
      <c r="BF185" s="2">
        <v>1</v>
      </c>
      <c r="BG185" s="2">
        <v>2</v>
      </c>
      <c r="BH185" s="2">
        <v>2</v>
      </c>
      <c r="BI185" s="2"/>
      <c r="BJ185" s="2">
        <v>2</v>
      </c>
      <c r="BK185" s="2">
        <v>2</v>
      </c>
      <c r="BL185" s="2">
        <v>1</v>
      </c>
      <c r="BM185" s="2">
        <v>7</v>
      </c>
      <c r="BN185" s="2">
        <v>8</v>
      </c>
      <c r="BO185" s="2">
        <v>9</v>
      </c>
      <c r="BP185" s="2" t="s">
        <v>668</v>
      </c>
      <c r="BQ185" s="2" t="s">
        <v>669</v>
      </c>
      <c r="BR185" s="2" t="s">
        <v>258</v>
      </c>
      <c r="BS185" s="2" t="s">
        <v>258</v>
      </c>
      <c r="BT185" s="2" t="s">
        <v>670</v>
      </c>
      <c r="BU185" s="2" t="s">
        <v>671</v>
      </c>
      <c r="BV185" s="2" t="s">
        <v>325</v>
      </c>
      <c r="BW185" s="2" t="s">
        <v>672</v>
      </c>
      <c r="BX185" s="2" t="s">
        <v>189</v>
      </c>
      <c r="BY185" s="2" t="s">
        <v>189</v>
      </c>
      <c r="BZ185" s="2" t="s">
        <v>189</v>
      </c>
      <c r="CA185" s="2" t="s">
        <v>189</v>
      </c>
      <c r="CB185" s="2" t="s">
        <v>191</v>
      </c>
      <c r="CC185" s="2" t="s">
        <v>191</v>
      </c>
      <c r="CD185" s="2" t="s">
        <v>189</v>
      </c>
      <c r="CE185" s="2" t="s">
        <v>189</v>
      </c>
      <c r="CF185" s="2" t="s">
        <v>189</v>
      </c>
      <c r="CG185" s="2" t="s">
        <v>189</v>
      </c>
      <c r="CH185" s="2" t="s">
        <v>191</v>
      </c>
      <c r="CI185" s="2" t="s">
        <v>189</v>
      </c>
      <c r="CJ185" s="2" t="s">
        <v>189</v>
      </c>
      <c r="CK185" s="2" t="s">
        <v>189</v>
      </c>
      <c r="CL185" s="2" t="s">
        <v>191</v>
      </c>
      <c r="CM185" s="2" t="s">
        <v>192</v>
      </c>
      <c r="CN185" s="2" t="s">
        <v>192</v>
      </c>
      <c r="CO185" s="2" t="s">
        <v>192</v>
      </c>
      <c r="CP185" s="2" t="s">
        <v>192</v>
      </c>
      <c r="CQ185" s="2" t="s">
        <v>193</v>
      </c>
      <c r="CR185" s="2" t="s">
        <v>200</v>
      </c>
      <c r="CS185" s="2" t="s">
        <v>193</v>
      </c>
      <c r="CT185" s="2" t="s">
        <v>192</v>
      </c>
      <c r="CU185" s="2" t="s">
        <v>192</v>
      </c>
      <c r="CV185" s="2" t="s">
        <v>193</v>
      </c>
      <c r="CW185" s="2" t="s">
        <v>192</v>
      </c>
      <c r="CX185" s="2" t="s">
        <v>193</v>
      </c>
      <c r="CY185" s="2" t="s">
        <v>192</v>
      </c>
      <c r="CZ185" s="2" t="s">
        <v>192</v>
      </c>
      <c r="DA185" s="2" t="s">
        <v>200</v>
      </c>
      <c r="DB185" s="2" t="s">
        <v>193</v>
      </c>
      <c r="DC185" s="2" t="s">
        <v>192</v>
      </c>
      <c r="DD185" s="2" t="s">
        <v>192</v>
      </c>
      <c r="DE185" s="2" t="s">
        <v>192</v>
      </c>
      <c r="DF185" s="2" t="s">
        <v>200</v>
      </c>
      <c r="DG185" s="2" t="s">
        <v>194</v>
      </c>
      <c r="DH185" s="2" t="s">
        <v>194</v>
      </c>
      <c r="DI185" s="2" t="s">
        <v>194</v>
      </c>
      <c r="DJ185" s="2" t="s">
        <v>194</v>
      </c>
      <c r="DK185" s="2" t="s">
        <v>196</v>
      </c>
      <c r="DL185" s="2" t="s">
        <v>194</v>
      </c>
      <c r="DM185" s="2" t="s">
        <v>194</v>
      </c>
      <c r="DN185" s="2" t="s">
        <v>196</v>
      </c>
      <c r="DO185" s="2" t="s">
        <v>220</v>
      </c>
      <c r="DP185" s="2" t="s">
        <v>194</v>
      </c>
      <c r="DQ185" s="2" t="s">
        <v>194</v>
      </c>
      <c r="DR185" s="2" t="s">
        <v>196</v>
      </c>
      <c r="DS185" s="2" t="s">
        <v>197</v>
      </c>
      <c r="DT185" s="2" t="s">
        <v>197</v>
      </c>
      <c r="DU185" s="2" t="s">
        <v>198</v>
      </c>
      <c r="DV185" s="2" t="s">
        <v>197</v>
      </c>
      <c r="DW185" s="2" t="s">
        <v>197</v>
      </c>
      <c r="DX185" s="2" t="s">
        <v>197</v>
      </c>
      <c r="DY185" s="2" t="s">
        <v>197</v>
      </c>
      <c r="DZ185" s="2"/>
      <c r="EA185" s="2">
        <v>1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1</v>
      </c>
      <c r="EJ185" s="2">
        <v>1</v>
      </c>
      <c r="EK185" s="2">
        <v>0</v>
      </c>
      <c r="EL185" s="2">
        <v>0</v>
      </c>
      <c r="EM185" s="2">
        <v>1</v>
      </c>
      <c r="EN185" s="2">
        <v>1</v>
      </c>
      <c r="EO185" s="2">
        <v>0</v>
      </c>
      <c r="EP185" s="2">
        <v>0</v>
      </c>
      <c r="EQ185" s="2">
        <v>1</v>
      </c>
      <c r="ER185" s="2">
        <v>0</v>
      </c>
      <c r="ES185" s="2">
        <v>1</v>
      </c>
      <c r="ET185" s="2">
        <v>0</v>
      </c>
      <c r="EU185" s="2">
        <v>1</v>
      </c>
      <c r="EV185" s="2">
        <v>1</v>
      </c>
      <c r="EW185" s="2">
        <v>0</v>
      </c>
      <c r="EX185" s="2">
        <v>0</v>
      </c>
      <c r="EY185" s="2">
        <v>1</v>
      </c>
      <c r="EZ185" s="2">
        <v>1</v>
      </c>
      <c r="FA185" s="2">
        <v>0</v>
      </c>
      <c r="FB185" s="2">
        <v>1</v>
      </c>
      <c r="FC185" s="2">
        <v>0</v>
      </c>
      <c r="FD185" s="2">
        <v>0</v>
      </c>
      <c r="FE185" s="2">
        <v>0</v>
      </c>
      <c r="FF185" s="2">
        <v>1</v>
      </c>
      <c r="FG185" s="2">
        <v>0</v>
      </c>
      <c r="FH185" s="2">
        <v>1</v>
      </c>
      <c r="FI185" s="2">
        <v>0</v>
      </c>
      <c r="FJ185" s="2">
        <v>1</v>
      </c>
      <c r="FK185" s="2">
        <v>0</v>
      </c>
      <c r="FL185" s="2">
        <v>1</v>
      </c>
      <c r="FM185" s="2">
        <v>0</v>
      </c>
      <c r="FN185" s="2">
        <v>1</v>
      </c>
      <c r="FO185" s="2">
        <v>0</v>
      </c>
      <c r="FP185" s="2">
        <v>0</v>
      </c>
      <c r="FQ185" s="2">
        <v>1</v>
      </c>
      <c r="FR185" s="2">
        <v>1</v>
      </c>
      <c r="FS185" s="2">
        <v>0</v>
      </c>
      <c r="FT185" s="2">
        <v>1</v>
      </c>
      <c r="FU185" s="2">
        <v>0</v>
      </c>
      <c r="FV185" s="2">
        <v>1</v>
      </c>
      <c r="FW185" s="2">
        <v>0</v>
      </c>
      <c r="FX185" s="2">
        <v>1</v>
      </c>
      <c r="FY185" s="2">
        <v>0</v>
      </c>
      <c r="FZ185" s="2"/>
      <c r="GA185" s="2">
        <v>4</v>
      </c>
      <c r="GB185" s="2">
        <v>4</v>
      </c>
      <c r="GC185" s="2">
        <v>4</v>
      </c>
      <c r="GD185" s="2">
        <v>4</v>
      </c>
      <c r="GE185" s="2">
        <v>3</v>
      </c>
      <c r="GG185" s="2">
        <v>5</v>
      </c>
      <c r="GH185" s="2">
        <v>4</v>
      </c>
      <c r="GI185" s="2">
        <v>4</v>
      </c>
      <c r="GJ185" s="2">
        <v>5</v>
      </c>
      <c r="GK185" s="2">
        <v>5</v>
      </c>
      <c r="GM185" s="2">
        <f t="shared" si="0"/>
        <v>19</v>
      </c>
      <c r="GN185" s="2">
        <f t="shared" si="1"/>
        <v>23</v>
      </c>
      <c r="GO185" s="2"/>
      <c r="GP185" s="2">
        <v>3</v>
      </c>
      <c r="GQ185" s="2">
        <v>2</v>
      </c>
      <c r="GR185" s="2">
        <v>2</v>
      </c>
      <c r="GS185" s="2">
        <v>3</v>
      </c>
      <c r="GU185" s="2">
        <v>3</v>
      </c>
      <c r="GV185" s="2">
        <v>2</v>
      </c>
      <c r="GW185" s="2">
        <v>0</v>
      </c>
      <c r="GY185" s="2">
        <v>3</v>
      </c>
      <c r="GZ185" s="2">
        <v>1</v>
      </c>
      <c r="HA185" s="2">
        <v>2</v>
      </c>
      <c r="HB185" s="2">
        <v>2</v>
      </c>
      <c r="HD185" s="2">
        <v>2</v>
      </c>
      <c r="HE185" s="2">
        <v>2</v>
      </c>
      <c r="HF185" s="2">
        <v>1</v>
      </c>
      <c r="HH185" s="2">
        <f t="shared" si="2"/>
        <v>15</v>
      </c>
      <c r="HI185" s="2">
        <f t="shared" si="3"/>
        <v>13</v>
      </c>
      <c r="HJ185" s="2"/>
      <c r="HK185" s="2">
        <v>8</v>
      </c>
      <c r="HL185" s="2">
        <v>9</v>
      </c>
      <c r="HM185" s="2"/>
      <c r="HN185" s="2"/>
    </row>
    <row r="186" spans="1:222" ht="15.75" customHeight="1" x14ac:dyDescent="0.2">
      <c r="A186" s="3" t="e">
        <f>VLOOKUP(B186,#REF!,1,FALSE)</f>
        <v>#REF!</v>
      </c>
      <c r="B186" s="3">
        <v>44503.770521805556</v>
      </c>
      <c r="C186" s="2">
        <v>245</v>
      </c>
      <c r="D186" s="2" t="s">
        <v>185</v>
      </c>
      <c r="E186" s="2">
        <v>0</v>
      </c>
      <c r="F186" s="2" t="s">
        <v>347</v>
      </c>
      <c r="G186" s="2">
        <v>2</v>
      </c>
      <c r="H186" s="2">
        <v>0.5</v>
      </c>
      <c r="I186" s="2">
        <v>1</v>
      </c>
      <c r="J186" s="2">
        <v>5</v>
      </c>
      <c r="K186" s="2">
        <v>0</v>
      </c>
      <c r="L186" s="2">
        <v>2</v>
      </c>
      <c r="M186" s="2" t="s">
        <v>187</v>
      </c>
      <c r="N186" s="2">
        <v>2</v>
      </c>
      <c r="O186" s="2">
        <v>6</v>
      </c>
      <c r="P186" s="2">
        <v>0</v>
      </c>
      <c r="Q186" s="2">
        <v>0</v>
      </c>
      <c r="R186" s="2">
        <v>3</v>
      </c>
      <c r="S186" s="2">
        <v>1</v>
      </c>
      <c r="T186" s="2">
        <v>1</v>
      </c>
      <c r="U186" s="2">
        <v>1</v>
      </c>
      <c r="V186" s="2">
        <v>1</v>
      </c>
      <c r="W186" s="2">
        <v>1</v>
      </c>
      <c r="X186" s="2"/>
      <c r="Y186" s="2">
        <v>1</v>
      </c>
      <c r="Z186" s="2">
        <v>0</v>
      </c>
      <c r="AA186" s="2">
        <v>-1</v>
      </c>
      <c r="AB186" s="2">
        <v>4</v>
      </c>
      <c r="AC186" s="2">
        <v>-99</v>
      </c>
      <c r="AD186" s="2">
        <v>-99</v>
      </c>
      <c r="AE186" s="2">
        <v>-99</v>
      </c>
      <c r="AF186" s="2">
        <v>-99</v>
      </c>
      <c r="AG186" s="2">
        <v>-3</v>
      </c>
      <c r="AH186" s="2">
        <v>-3</v>
      </c>
      <c r="AI186" s="2">
        <v>-3</v>
      </c>
      <c r="AJ186" s="2">
        <v>-3</v>
      </c>
      <c r="AK186" s="2">
        <v>-3</v>
      </c>
      <c r="AL186" s="2">
        <v>-3</v>
      </c>
      <c r="AM186" s="2"/>
      <c r="AN186" s="2">
        <v>5</v>
      </c>
      <c r="AO186" s="2">
        <v>5</v>
      </c>
      <c r="AP186" s="2">
        <v>5</v>
      </c>
      <c r="AQ186" s="2">
        <v>5</v>
      </c>
      <c r="AR186" s="2">
        <v>4</v>
      </c>
      <c r="AS186" s="2">
        <v>0</v>
      </c>
      <c r="AT186" s="2">
        <v>4</v>
      </c>
      <c r="AU186" s="2">
        <v>0</v>
      </c>
      <c r="AV186" s="2"/>
      <c r="AW186" s="2">
        <v>4</v>
      </c>
      <c r="AX186" s="2">
        <v>4</v>
      </c>
      <c r="AY186" s="2">
        <v>3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/>
      <c r="BJ186" s="2">
        <v>0</v>
      </c>
      <c r="BK186" s="2">
        <v>0</v>
      </c>
      <c r="BL186" s="2">
        <v>-3</v>
      </c>
      <c r="BM186" s="2">
        <v>1</v>
      </c>
      <c r="BN186" s="2">
        <v>1</v>
      </c>
      <c r="BO186" s="2">
        <v>1</v>
      </c>
      <c r="BP186" s="2"/>
      <c r="BQ186" s="2"/>
      <c r="BR186" s="2"/>
      <c r="BS186" s="2"/>
      <c r="BT186" s="2"/>
      <c r="BU186" s="2"/>
      <c r="BV186" s="2"/>
      <c r="BW186" s="2"/>
      <c r="BX186" s="2" t="s">
        <v>188</v>
      </c>
      <c r="BY186" s="2" t="s">
        <v>188</v>
      </c>
      <c r="BZ186" s="2" t="s">
        <v>188</v>
      </c>
      <c r="CA186" s="2" t="s">
        <v>188</v>
      </c>
      <c r="CB186" s="2" t="s">
        <v>188</v>
      </c>
      <c r="CC186" s="2" t="s">
        <v>188</v>
      </c>
      <c r="CD186" s="2" t="s">
        <v>188</v>
      </c>
      <c r="CE186" s="2" t="s">
        <v>188</v>
      </c>
      <c r="CF186" s="2" t="s">
        <v>188</v>
      </c>
      <c r="CG186" s="2" t="s">
        <v>188</v>
      </c>
      <c r="CH186" s="2" t="s">
        <v>188</v>
      </c>
      <c r="CI186" s="2" t="s">
        <v>188</v>
      </c>
      <c r="CJ186" s="2" t="s">
        <v>188</v>
      </c>
      <c r="CK186" s="2" t="s">
        <v>188</v>
      </c>
      <c r="CL186" s="2" t="s">
        <v>188</v>
      </c>
      <c r="CM186" s="2" t="s">
        <v>200</v>
      </c>
      <c r="CN186" s="2" t="s">
        <v>200</v>
      </c>
      <c r="CO186" s="2" t="s">
        <v>200</v>
      </c>
      <c r="CP186" s="2" t="s">
        <v>200</v>
      </c>
      <c r="CQ186" s="2" t="s">
        <v>200</v>
      </c>
      <c r="CR186" s="2" t="s">
        <v>200</v>
      </c>
      <c r="CS186" s="2" t="s">
        <v>200</v>
      </c>
      <c r="CT186" s="2" t="s">
        <v>200</v>
      </c>
      <c r="CU186" s="2" t="s">
        <v>200</v>
      </c>
      <c r="CV186" s="2" t="s">
        <v>200</v>
      </c>
      <c r="CW186" s="2" t="s">
        <v>200</v>
      </c>
      <c r="CX186" s="2" t="s">
        <v>200</v>
      </c>
      <c r="CY186" s="2" t="s">
        <v>200</v>
      </c>
      <c r="CZ186" s="2" t="s">
        <v>200</v>
      </c>
      <c r="DA186" s="2" t="s">
        <v>200</v>
      </c>
      <c r="DB186" s="2" t="s">
        <v>200</v>
      </c>
      <c r="DC186" s="2" t="s">
        <v>200</v>
      </c>
      <c r="DD186" s="2" t="s">
        <v>200</v>
      </c>
      <c r="DE186" s="2" t="s">
        <v>200</v>
      </c>
      <c r="DF186" s="2" t="s">
        <v>200</v>
      </c>
      <c r="DG186" s="2" t="s">
        <v>201</v>
      </c>
      <c r="DH186" s="2" t="s">
        <v>201</v>
      </c>
      <c r="DI186" s="2" t="s">
        <v>201</v>
      </c>
      <c r="DJ186" s="2" t="s">
        <v>201</v>
      </c>
      <c r="DK186" s="2" t="s">
        <v>201</v>
      </c>
      <c r="DL186" s="2" t="s">
        <v>201</v>
      </c>
      <c r="DM186" s="2" t="s">
        <v>201</v>
      </c>
      <c r="DN186" s="2" t="s">
        <v>201</v>
      </c>
      <c r="DO186" s="2" t="s">
        <v>201</v>
      </c>
      <c r="DP186" s="2" t="s">
        <v>201</v>
      </c>
      <c r="DQ186" s="2" t="s">
        <v>201</v>
      </c>
      <c r="DR186" s="2" t="s">
        <v>201</v>
      </c>
      <c r="DS186" s="2" t="s">
        <v>197</v>
      </c>
      <c r="DT186" s="2" t="s">
        <v>197</v>
      </c>
      <c r="DU186" s="2" t="s">
        <v>197</v>
      </c>
      <c r="DV186" s="2" t="s">
        <v>197</v>
      </c>
      <c r="DW186" s="2" t="s">
        <v>197</v>
      </c>
      <c r="DX186" s="2" t="s">
        <v>197</v>
      </c>
      <c r="DY186" s="2" t="s">
        <v>197</v>
      </c>
      <c r="DZ186" s="2"/>
      <c r="EA186" s="2">
        <v>1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1</v>
      </c>
      <c r="EJ186" s="2">
        <v>0</v>
      </c>
      <c r="EK186" s="2">
        <v>1</v>
      </c>
      <c r="EL186" s="2">
        <v>1</v>
      </c>
      <c r="EM186" s="2">
        <v>0</v>
      </c>
      <c r="EN186" s="2">
        <v>1</v>
      </c>
      <c r="EO186" s="2">
        <v>0</v>
      </c>
      <c r="EP186" s="2">
        <v>1</v>
      </c>
      <c r="EQ186" s="2">
        <v>0</v>
      </c>
      <c r="ER186" s="2">
        <v>0</v>
      </c>
      <c r="ES186" s="2">
        <v>1</v>
      </c>
      <c r="ET186" s="2">
        <v>0</v>
      </c>
      <c r="EU186" s="2">
        <v>1</v>
      </c>
      <c r="EV186" s="2">
        <v>0</v>
      </c>
      <c r="EW186" s="2">
        <v>1</v>
      </c>
      <c r="EX186" s="2">
        <v>0</v>
      </c>
      <c r="EY186" s="2">
        <v>1</v>
      </c>
      <c r="EZ186" s="2">
        <v>0</v>
      </c>
      <c r="FA186" s="2">
        <v>1</v>
      </c>
      <c r="FB186" s="2">
        <v>1</v>
      </c>
      <c r="FC186" s="2">
        <v>1</v>
      </c>
      <c r="FD186" s="2">
        <v>0</v>
      </c>
      <c r="FE186" s="2">
        <v>0</v>
      </c>
      <c r="FF186" s="2">
        <v>1</v>
      </c>
      <c r="FG186" s="2">
        <v>0</v>
      </c>
      <c r="FH186" s="2">
        <v>1</v>
      </c>
      <c r="FI186" s="2">
        <v>0</v>
      </c>
      <c r="FJ186" s="2">
        <v>1</v>
      </c>
      <c r="FK186" s="2">
        <v>0</v>
      </c>
      <c r="FL186" s="2">
        <v>1</v>
      </c>
      <c r="FM186" s="2">
        <v>0</v>
      </c>
      <c r="FN186" s="2">
        <v>1</v>
      </c>
      <c r="FO186" s="2">
        <v>0</v>
      </c>
      <c r="FP186" s="2">
        <v>1</v>
      </c>
      <c r="FQ186" s="2">
        <v>0</v>
      </c>
      <c r="FR186" s="2">
        <v>1</v>
      </c>
      <c r="FS186" s="2">
        <v>0</v>
      </c>
      <c r="FT186" s="2">
        <v>1</v>
      </c>
      <c r="FU186" s="2">
        <v>1</v>
      </c>
      <c r="FV186" s="2">
        <v>1</v>
      </c>
      <c r="FW186" s="2">
        <v>1</v>
      </c>
      <c r="FX186" s="2">
        <v>1</v>
      </c>
      <c r="FY186" s="2">
        <v>0</v>
      </c>
      <c r="FZ186" s="2"/>
      <c r="GA186" s="7"/>
      <c r="GB186" s="7">
        <v>5</v>
      </c>
      <c r="GC186" s="7">
        <v>5</v>
      </c>
      <c r="GD186" s="7">
        <v>5</v>
      </c>
      <c r="GE186" s="7">
        <v>5</v>
      </c>
      <c r="GF186" s="7"/>
      <c r="GG186" s="7">
        <v>0</v>
      </c>
      <c r="GH186" s="7">
        <v>0</v>
      </c>
      <c r="GI186" s="7">
        <v>0</v>
      </c>
      <c r="GJ186" s="7">
        <v>0</v>
      </c>
      <c r="GK186" s="7">
        <v>0</v>
      </c>
      <c r="GL186" s="7"/>
      <c r="GM186" s="7">
        <f t="shared" si="0"/>
        <v>20</v>
      </c>
      <c r="GN186" s="7">
        <f t="shared" si="1"/>
        <v>0</v>
      </c>
      <c r="GO186" s="7"/>
      <c r="GP186" s="2">
        <v>4</v>
      </c>
      <c r="GQ186" s="2">
        <v>0</v>
      </c>
      <c r="GR186" s="2">
        <v>4</v>
      </c>
      <c r="GS186" s="2">
        <v>0</v>
      </c>
      <c r="GU186" s="2">
        <v>4</v>
      </c>
      <c r="GV186" s="2">
        <v>4</v>
      </c>
      <c r="GW186" s="2">
        <v>3</v>
      </c>
      <c r="GY186" s="2">
        <v>0</v>
      </c>
      <c r="GZ186" s="2">
        <v>0</v>
      </c>
      <c r="HA186" s="2">
        <v>0</v>
      </c>
      <c r="HB186" s="2">
        <v>0</v>
      </c>
      <c r="HD186" s="2">
        <v>0</v>
      </c>
      <c r="HE186" s="2">
        <v>0</v>
      </c>
      <c r="HF186" s="2">
        <v>-3</v>
      </c>
      <c r="HH186" s="2">
        <f t="shared" si="2"/>
        <v>19</v>
      </c>
      <c r="HI186" s="2">
        <f t="shared" si="3"/>
        <v>-3</v>
      </c>
      <c r="HJ186" s="2"/>
      <c r="HK186" s="2">
        <v>1</v>
      </c>
      <c r="HL186" s="2">
        <v>1</v>
      </c>
      <c r="HM186" s="2"/>
      <c r="HN186" s="2"/>
    </row>
    <row r="187" spans="1:222" ht="15.75" customHeight="1" x14ac:dyDescent="0.2">
      <c r="A187" s="3" t="e">
        <f>VLOOKUP(B187,#REF!,1,FALSE)</f>
        <v>#REF!</v>
      </c>
      <c r="B187" s="3">
        <v>44503.862438692129</v>
      </c>
      <c r="C187" s="2">
        <v>246</v>
      </c>
      <c r="D187" s="2" t="s">
        <v>185</v>
      </c>
      <c r="E187" s="2">
        <v>0</v>
      </c>
      <c r="F187" s="2" t="s">
        <v>237</v>
      </c>
      <c r="G187" s="2">
        <v>2</v>
      </c>
      <c r="H187" s="2">
        <v>0.5</v>
      </c>
      <c r="I187" s="2">
        <v>1</v>
      </c>
      <c r="J187" s="2">
        <v>5</v>
      </c>
      <c r="K187" s="2">
        <v>0</v>
      </c>
      <c r="L187" s="2">
        <v>3</v>
      </c>
      <c r="M187" s="2" t="s">
        <v>187</v>
      </c>
      <c r="N187" s="2">
        <v>2</v>
      </c>
      <c r="O187" s="2">
        <v>4</v>
      </c>
      <c r="P187" s="2">
        <v>0</v>
      </c>
      <c r="Q187" s="2">
        <v>2</v>
      </c>
      <c r="R187" s="2">
        <v>3</v>
      </c>
      <c r="S187" s="2">
        <v>0</v>
      </c>
      <c r="T187" s="2">
        <v>-1</v>
      </c>
      <c r="U187" s="2">
        <v>-1</v>
      </c>
      <c r="V187" s="2">
        <v>-1</v>
      </c>
      <c r="W187" s="2">
        <v>-1</v>
      </c>
      <c r="X187" s="2"/>
      <c r="Y187" s="2">
        <v>-1</v>
      </c>
      <c r="Z187" s="2">
        <v>0</v>
      </c>
      <c r="AA187" s="2">
        <v>1</v>
      </c>
      <c r="AB187" s="2">
        <v>2</v>
      </c>
      <c r="AC187" s="2">
        <v>1</v>
      </c>
      <c r="AD187" s="2">
        <v>2</v>
      </c>
      <c r="AE187" s="2">
        <v>2</v>
      </c>
      <c r="AF187" s="2">
        <v>2</v>
      </c>
      <c r="AG187" s="2">
        <v>1</v>
      </c>
      <c r="AH187" s="2">
        <v>2</v>
      </c>
      <c r="AI187" s="2">
        <v>1</v>
      </c>
      <c r="AJ187" s="2">
        <v>2</v>
      </c>
      <c r="AK187" s="2">
        <v>2</v>
      </c>
      <c r="AL187" s="2">
        <v>1</v>
      </c>
      <c r="AM187" s="2">
        <v>3</v>
      </c>
      <c r="AN187" s="2">
        <v>3</v>
      </c>
      <c r="AO187" s="2">
        <v>4</v>
      </c>
      <c r="AP187" s="2">
        <v>3</v>
      </c>
      <c r="AQ187" s="2">
        <v>4</v>
      </c>
      <c r="AR187" s="2">
        <v>2</v>
      </c>
      <c r="AS187" s="2">
        <v>2</v>
      </c>
      <c r="AT187" s="2">
        <v>1</v>
      </c>
      <c r="AU187" s="2">
        <v>1</v>
      </c>
      <c r="AV187" s="2"/>
      <c r="AW187" s="2">
        <v>1</v>
      </c>
      <c r="AX187" s="2">
        <v>1</v>
      </c>
      <c r="AY187" s="2">
        <v>0</v>
      </c>
      <c r="AZ187" s="2">
        <v>4</v>
      </c>
      <c r="BA187" s="2">
        <v>4</v>
      </c>
      <c r="BB187" s="2">
        <v>3</v>
      </c>
      <c r="BC187" s="2">
        <v>4</v>
      </c>
      <c r="BD187" s="2">
        <v>3</v>
      </c>
      <c r="BE187" s="2">
        <v>2</v>
      </c>
      <c r="BF187" s="2">
        <v>2</v>
      </c>
      <c r="BG187" s="2">
        <v>2</v>
      </c>
      <c r="BH187" s="2">
        <v>2</v>
      </c>
      <c r="BI187" s="2"/>
      <c r="BJ187" s="2">
        <v>3</v>
      </c>
      <c r="BK187" s="2">
        <v>1</v>
      </c>
      <c r="BL187" s="2">
        <v>0</v>
      </c>
      <c r="BM187" s="2">
        <v>7</v>
      </c>
      <c r="BN187" s="2">
        <v>7</v>
      </c>
      <c r="BO187" s="2">
        <v>7</v>
      </c>
      <c r="BP187" s="2"/>
      <c r="BQ187" s="2"/>
      <c r="BR187" s="2"/>
      <c r="BS187" s="2"/>
      <c r="BT187" s="2"/>
      <c r="BU187" s="2"/>
      <c r="BV187" s="2"/>
      <c r="BW187" s="2"/>
      <c r="BX187" s="2" t="s">
        <v>190</v>
      </c>
      <c r="BY187" s="2" t="s">
        <v>190</v>
      </c>
      <c r="BZ187" s="2" t="s">
        <v>190</v>
      </c>
      <c r="CA187" s="2" t="s">
        <v>191</v>
      </c>
      <c r="CB187" s="2" t="s">
        <v>191</v>
      </c>
      <c r="CC187" s="2" t="s">
        <v>191</v>
      </c>
      <c r="CD187" s="2" t="s">
        <v>190</v>
      </c>
      <c r="CE187" s="2" t="s">
        <v>190</v>
      </c>
      <c r="CF187" s="2" t="s">
        <v>190</v>
      </c>
      <c r="CG187" s="2" t="s">
        <v>190</v>
      </c>
      <c r="CH187" s="2" t="s">
        <v>189</v>
      </c>
      <c r="CI187" s="2" t="s">
        <v>190</v>
      </c>
      <c r="CJ187" s="2" t="s">
        <v>189</v>
      </c>
      <c r="CK187" s="2" t="s">
        <v>189</v>
      </c>
      <c r="CL187" s="2" t="s">
        <v>189</v>
      </c>
      <c r="CM187" s="2" t="s">
        <v>193</v>
      </c>
      <c r="CN187" s="2" t="s">
        <v>192</v>
      </c>
      <c r="CO187" s="2" t="s">
        <v>192</v>
      </c>
      <c r="CP187" s="2" t="s">
        <v>193</v>
      </c>
      <c r="CQ187" s="2" t="s">
        <v>193</v>
      </c>
      <c r="CR187" s="2" t="s">
        <v>200</v>
      </c>
      <c r="CS187" s="2" t="s">
        <v>200</v>
      </c>
      <c r="CT187" s="2" t="s">
        <v>193</v>
      </c>
      <c r="CU187" s="2" t="s">
        <v>192</v>
      </c>
      <c r="CV187" s="2" t="s">
        <v>192</v>
      </c>
      <c r="CW187" s="2" t="s">
        <v>192</v>
      </c>
      <c r="CX187" s="2" t="s">
        <v>193</v>
      </c>
      <c r="CY187" s="2" t="s">
        <v>192</v>
      </c>
      <c r="CZ187" s="2" t="s">
        <v>192</v>
      </c>
      <c r="DA187" s="2" t="s">
        <v>193</v>
      </c>
      <c r="DB187" s="2" t="s">
        <v>193</v>
      </c>
      <c r="DC187" s="2" t="s">
        <v>192</v>
      </c>
      <c r="DD187" s="2" t="s">
        <v>192</v>
      </c>
      <c r="DE187" s="2" t="s">
        <v>193</v>
      </c>
      <c r="DF187" s="2" t="s">
        <v>192</v>
      </c>
      <c r="DG187" s="2" t="s">
        <v>194</v>
      </c>
      <c r="DH187" s="2" t="s">
        <v>194</v>
      </c>
      <c r="DI187" s="2" t="s">
        <v>194</v>
      </c>
      <c r="DJ187" s="2" t="s">
        <v>194</v>
      </c>
      <c r="DK187" s="2" t="s">
        <v>194</v>
      </c>
      <c r="DL187" s="2" t="s">
        <v>194</v>
      </c>
      <c r="DM187" s="2" t="s">
        <v>194</v>
      </c>
      <c r="DN187" s="2" t="s">
        <v>195</v>
      </c>
      <c r="DO187" s="2" t="s">
        <v>195</v>
      </c>
      <c r="DP187" s="2" t="s">
        <v>194</v>
      </c>
      <c r="DQ187" s="2" t="s">
        <v>194</v>
      </c>
      <c r="DR187" s="2" t="s">
        <v>194</v>
      </c>
      <c r="DS187" s="2" t="s">
        <v>197</v>
      </c>
      <c r="DT187" s="2" t="s">
        <v>198</v>
      </c>
      <c r="DU187" s="2" t="s">
        <v>222</v>
      </c>
      <c r="DV187" s="2" t="s">
        <v>197</v>
      </c>
      <c r="DW187" s="2" t="s">
        <v>199</v>
      </c>
      <c r="DX187" s="2" t="s">
        <v>197</v>
      </c>
      <c r="DY187" s="2" t="s">
        <v>197</v>
      </c>
      <c r="DZ187" s="2"/>
      <c r="EA187" s="2">
        <v>0</v>
      </c>
      <c r="EB187" s="2">
        <v>1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1</v>
      </c>
      <c r="EI187" s="2">
        <v>0</v>
      </c>
      <c r="EJ187" s="2">
        <v>1</v>
      </c>
      <c r="EK187" s="2">
        <v>0</v>
      </c>
      <c r="EL187" s="2">
        <v>0</v>
      </c>
      <c r="EM187" s="2">
        <v>1</v>
      </c>
      <c r="EN187" s="2">
        <v>1</v>
      </c>
      <c r="EO187" s="2">
        <v>0</v>
      </c>
      <c r="EP187" s="2">
        <v>0</v>
      </c>
      <c r="EQ187" s="2">
        <v>1</v>
      </c>
      <c r="ER187" s="2">
        <v>0</v>
      </c>
      <c r="ES187" s="2">
        <v>1</v>
      </c>
      <c r="ET187" s="2">
        <v>0</v>
      </c>
      <c r="EU187" s="2">
        <v>1</v>
      </c>
      <c r="EV187" s="2">
        <v>0</v>
      </c>
      <c r="EW187" s="2">
        <v>1</v>
      </c>
      <c r="EX187" s="2">
        <v>0</v>
      </c>
      <c r="EY187" s="2">
        <v>1</v>
      </c>
      <c r="EZ187" s="2">
        <v>1</v>
      </c>
      <c r="FA187" s="2">
        <v>0</v>
      </c>
      <c r="FB187" s="2">
        <v>1</v>
      </c>
      <c r="FC187" s="2">
        <v>0</v>
      </c>
      <c r="FD187" s="2">
        <v>0</v>
      </c>
      <c r="FE187" s="2">
        <v>0</v>
      </c>
      <c r="FF187" s="2">
        <v>1</v>
      </c>
      <c r="FG187" s="2">
        <v>0</v>
      </c>
      <c r="FH187" s="2">
        <v>1</v>
      </c>
      <c r="FI187" s="2">
        <v>0</v>
      </c>
      <c r="FJ187" s="2">
        <v>1</v>
      </c>
      <c r="FK187" s="2">
        <v>0</v>
      </c>
      <c r="FL187" s="2">
        <v>1</v>
      </c>
      <c r="FM187" s="2">
        <v>0</v>
      </c>
      <c r="FN187" s="2">
        <v>0</v>
      </c>
      <c r="FO187" s="2">
        <v>1</v>
      </c>
      <c r="FP187" s="2">
        <v>0</v>
      </c>
      <c r="FQ187" s="2">
        <v>1</v>
      </c>
      <c r="FR187" s="2">
        <v>1</v>
      </c>
      <c r="FS187" s="2">
        <v>0</v>
      </c>
      <c r="FT187" s="2">
        <v>1</v>
      </c>
      <c r="FU187" s="2">
        <v>0</v>
      </c>
      <c r="FV187" s="2">
        <v>1</v>
      </c>
      <c r="FW187" s="2">
        <v>0</v>
      </c>
      <c r="FX187" s="2">
        <v>1</v>
      </c>
      <c r="FY187" s="2">
        <v>0</v>
      </c>
      <c r="FZ187" s="2"/>
      <c r="GA187" s="2">
        <v>3</v>
      </c>
      <c r="GB187" s="2">
        <v>3</v>
      </c>
      <c r="GC187" s="2">
        <v>4</v>
      </c>
      <c r="GD187" s="2">
        <v>3</v>
      </c>
      <c r="GE187" s="2">
        <v>4</v>
      </c>
      <c r="GG187" s="2">
        <v>4</v>
      </c>
      <c r="GH187" s="2">
        <v>4</v>
      </c>
      <c r="GI187" s="2">
        <v>3</v>
      </c>
      <c r="GJ187" s="2">
        <v>4</v>
      </c>
      <c r="GK187" s="2">
        <v>3</v>
      </c>
      <c r="GM187" s="2">
        <f t="shared" si="0"/>
        <v>17</v>
      </c>
      <c r="GN187" s="2">
        <f t="shared" si="1"/>
        <v>18</v>
      </c>
      <c r="GO187" s="2"/>
      <c r="GP187" s="2">
        <v>2</v>
      </c>
      <c r="GQ187" s="2">
        <v>2</v>
      </c>
      <c r="GR187" s="2">
        <v>1</v>
      </c>
      <c r="GS187" s="2">
        <v>1</v>
      </c>
      <c r="GU187" s="2">
        <v>1</v>
      </c>
      <c r="GV187" s="2">
        <v>1</v>
      </c>
      <c r="GW187" s="2">
        <v>0</v>
      </c>
      <c r="GY187" s="2">
        <v>2</v>
      </c>
      <c r="GZ187" s="2">
        <v>2</v>
      </c>
      <c r="HA187" s="2">
        <v>2</v>
      </c>
      <c r="HB187" s="2">
        <v>2</v>
      </c>
      <c r="HD187" s="2">
        <v>3</v>
      </c>
      <c r="HE187" s="2">
        <v>1</v>
      </c>
      <c r="HF187" s="2">
        <v>0</v>
      </c>
      <c r="HH187" s="2">
        <f t="shared" si="2"/>
        <v>8</v>
      </c>
      <c r="HI187" s="2">
        <f t="shared" si="3"/>
        <v>12</v>
      </c>
      <c r="HJ187" s="2"/>
      <c r="HK187" s="2">
        <v>7</v>
      </c>
      <c r="HL187" s="2">
        <v>7</v>
      </c>
      <c r="HM187" s="2"/>
      <c r="HN187" s="2"/>
    </row>
    <row r="188" spans="1:222" ht="15.75" customHeight="1" x14ac:dyDescent="0.2">
      <c r="A188" s="3" t="e">
        <f>VLOOKUP(B188,#REF!,1,FALSE)</f>
        <v>#REF!</v>
      </c>
      <c r="B188" s="3">
        <v>44503.874738229169</v>
      </c>
      <c r="C188" s="2">
        <v>247</v>
      </c>
      <c r="D188" s="2" t="s">
        <v>185</v>
      </c>
      <c r="E188" s="2">
        <v>0</v>
      </c>
      <c r="F188" s="2" t="s">
        <v>232</v>
      </c>
      <c r="G188" s="2">
        <v>15</v>
      </c>
      <c r="H188" s="2">
        <v>0.5</v>
      </c>
      <c r="I188" s="2">
        <v>1</v>
      </c>
      <c r="J188" s="2">
        <v>4</v>
      </c>
      <c r="K188" s="2">
        <v>2</v>
      </c>
      <c r="L188" s="2">
        <v>6</v>
      </c>
      <c r="M188" s="2" t="s">
        <v>187</v>
      </c>
      <c r="N188" s="2">
        <v>3</v>
      </c>
      <c r="O188" s="2">
        <v>3</v>
      </c>
      <c r="P188" s="2">
        <v>2</v>
      </c>
      <c r="Q188" s="2">
        <v>0</v>
      </c>
      <c r="R188" s="2">
        <v>3</v>
      </c>
      <c r="S188" s="2">
        <v>1</v>
      </c>
      <c r="T188" s="2">
        <v>0</v>
      </c>
      <c r="U188" s="2">
        <v>0</v>
      </c>
      <c r="V188" s="2">
        <v>1</v>
      </c>
      <c r="W188" s="2">
        <v>1</v>
      </c>
      <c r="X188" s="2"/>
      <c r="Y188" s="2">
        <v>1</v>
      </c>
      <c r="Z188" s="2">
        <v>1</v>
      </c>
      <c r="AA188" s="2">
        <v>1</v>
      </c>
      <c r="AB188" s="2">
        <v>4</v>
      </c>
      <c r="AC188" s="2">
        <v>4</v>
      </c>
      <c r="AD188" s="2">
        <v>2</v>
      </c>
      <c r="AE188" s="2">
        <v>4</v>
      </c>
      <c r="AF188" s="2">
        <v>4</v>
      </c>
      <c r="AG188" s="2">
        <v>3</v>
      </c>
      <c r="AH188" s="2">
        <v>3</v>
      </c>
      <c r="AI188" s="2">
        <v>3</v>
      </c>
      <c r="AJ188" s="2">
        <v>3</v>
      </c>
      <c r="AK188" s="2">
        <v>3</v>
      </c>
      <c r="AL188" s="2">
        <v>3</v>
      </c>
      <c r="AM188" s="2">
        <v>4</v>
      </c>
      <c r="AN188" s="2">
        <v>5</v>
      </c>
      <c r="AO188" s="2">
        <v>5</v>
      </c>
      <c r="AP188" s="2">
        <v>5</v>
      </c>
      <c r="AQ188" s="2">
        <v>5</v>
      </c>
      <c r="AR188" s="2">
        <v>3</v>
      </c>
      <c r="AS188" s="2">
        <v>2</v>
      </c>
      <c r="AT188" s="2">
        <v>1</v>
      </c>
      <c r="AU188" s="2">
        <v>0</v>
      </c>
      <c r="AV188" s="2"/>
      <c r="AW188" s="2">
        <v>2</v>
      </c>
      <c r="AX188" s="2">
        <v>1</v>
      </c>
      <c r="AY188" s="2">
        <v>0</v>
      </c>
      <c r="AZ188" s="2">
        <v>5</v>
      </c>
      <c r="BA188" s="2">
        <v>5</v>
      </c>
      <c r="BB188" s="2">
        <v>5</v>
      </c>
      <c r="BC188" s="2">
        <v>5</v>
      </c>
      <c r="BD188" s="2">
        <v>5</v>
      </c>
      <c r="BE188" s="2">
        <v>3</v>
      </c>
      <c r="BF188" s="2">
        <v>2</v>
      </c>
      <c r="BG188" s="2">
        <v>0</v>
      </c>
      <c r="BH188" s="2">
        <v>0</v>
      </c>
      <c r="BI188" s="2"/>
      <c r="BJ188" s="2">
        <v>3</v>
      </c>
      <c r="BK188" s="2">
        <v>3</v>
      </c>
      <c r="BL188" s="2">
        <v>0</v>
      </c>
      <c r="BM188" s="2">
        <v>7</v>
      </c>
      <c r="BN188" s="2">
        <v>7</v>
      </c>
      <c r="BO188" s="2">
        <v>5</v>
      </c>
      <c r="BP188" s="2"/>
      <c r="BQ188" s="2" t="s">
        <v>673</v>
      </c>
      <c r="BR188" s="2" t="s">
        <v>674</v>
      </c>
      <c r="BS188" s="2" t="s">
        <v>258</v>
      </c>
      <c r="BT188" s="2" t="s">
        <v>258</v>
      </c>
      <c r="BU188" s="2" t="s">
        <v>675</v>
      </c>
      <c r="BV188" s="2" t="s">
        <v>676</v>
      </c>
      <c r="BW188" s="2" t="s">
        <v>677</v>
      </c>
      <c r="BX188" s="2" t="s">
        <v>188</v>
      </c>
      <c r="BY188" s="2" t="s">
        <v>188</v>
      </c>
      <c r="BZ188" s="2" t="s">
        <v>191</v>
      </c>
      <c r="CA188" s="2" t="s">
        <v>188</v>
      </c>
      <c r="CB188" s="2" t="s">
        <v>191</v>
      </c>
      <c r="CC188" s="2" t="s">
        <v>188</v>
      </c>
      <c r="CD188" s="2" t="s">
        <v>188</v>
      </c>
      <c r="CE188" s="2" t="s">
        <v>188</v>
      </c>
      <c r="CF188" s="2" t="s">
        <v>188</v>
      </c>
      <c r="CG188" s="2" t="s">
        <v>188</v>
      </c>
      <c r="CH188" s="2" t="s">
        <v>191</v>
      </c>
      <c r="CI188" s="2" t="s">
        <v>188</v>
      </c>
      <c r="CJ188" s="2" t="s">
        <v>188</v>
      </c>
      <c r="CK188" s="2" t="s">
        <v>188</v>
      </c>
      <c r="CL188" s="2" t="s">
        <v>188</v>
      </c>
      <c r="CM188" s="2" t="s">
        <v>192</v>
      </c>
      <c r="CN188" s="2" t="s">
        <v>193</v>
      </c>
      <c r="CO188" s="2" t="s">
        <v>193</v>
      </c>
      <c r="CP188" s="2" t="s">
        <v>192</v>
      </c>
      <c r="CQ188" s="2" t="s">
        <v>193</v>
      </c>
      <c r="CR188" s="2" t="s">
        <v>192</v>
      </c>
      <c r="CS188" s="2" t="s">
        <v>192</v>
      </c>
      <c r="CT188" s="2" t="s">
        <v>192</v>
      </c>
      <c r="CU188" s="2" t="s">
        <v>192</v>
      </c>
      <c r="CV188" s="2" t="s">
        <v>192</v>
      </c>
      <c r="CW188" s="2" t="s">
        <v>192</v>
      </c>
      <c r="CX188" s="2" t="s">
        <v>192</v>
      </c>
      <c r="CY188" s="2" t="s">
        <v>193</v>
      </c>
      <c r="CZ188" s="2" t="s">
        <v>193</v>
      </c>
      <c r="DA188" s="2" t="s">
        <v>193</v>
      </c>
      <c r="DB188" s="2" t="s">
        <v>192</v>
      </c>
      <c r="DC188" s="2" t="s">
        <v>193</v>
      </c>
      <c r="DD188" s="2" t="s">
        <v>192</v>
      </c>
      <c r="DE188" s="2" t="s">
        <v>192</v>
      </c>
      <c r="DF188" s="2" t="s">
        <v>192</v>
      </c>
      <c r="DG188" s="2" t="s">
        <v>220</v>
      </c>
      <c r="DH188" s="2" t="s">
        <v>220</v>
      </c>
      <c r="DI188" s="2" t="s">
        <v>220</v>
      </c>
      <c r="DJ188" s="2" t="s">
        <v>220</v>
      </c>
      <c r="DK188" s="2" t="s">
        <v>220</v>
      </c>
      <c r="DL188" s="2" t="s">
        <v>220</v>
      </c>
      <c r="DM188" s="2" t="s">
        <v>220</v>
      </c>
      <c r="DN188" s="2" t="s">
        <v>220</v>
      </c>
      <c r="DO188" s="2" t="s">
        <v>220</v>
      </c>
      <c r="DP188" s="2" t="s">
        <v>220</v>
      </c>
      <c r="DQ188" s="2" t="s">
        <v>220</v>
      </c>
      <c r="DR188" s="2" t="s">
        <v>196</v>
      </c>
      <c r="DS188" s="2" t="s">
        <v>197</v>
      </c>
      <c r="DT188" s="2" t="s">
        <v>199</v>
      </c>
      <c r="DU188" s="2" t="s">
        <v>198</v>
      </c>
      <c r="DV188" s="2" t="s">
        <v>197</v>
      </c>
      <c r="DW188" s="2" t="s">
        <v>198</v>
      </c>
      <c r="DX188" s="2" t="s">
        <v>199</v>
      </c>
      <c r="DY188" s="2" t="s">
        <v>198</v>
      </c>
      <c r="DZ188" s="2"/>
      <c r="EA188" s="2">
        <v>1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1</v>
      </c>
      <c r="EI188" s="2">
        <v>0</v>
      </c>
      <c r="EJ188" s="2">
        <v>0</v>
      </c>
      <c r="EK188" s="2">
        <v>1</v>
      </c>
      <c r="EL188" s="2">
        <v>0</v>
      </c>
      <c r="EM188" s="2">
        <v>1</v>
      </c>
      <c r="EN188" s="2">
        <v>1</v>
      </c>
      <c r="EO188" s="2">
        <v>0</v>
      </c>
      <c r="EP188" s="2">
        <v>0</v>
      </c>
      <c r="EQ188" s="2">
        <v>1</v>
      </c>
      <c r="ER188" s="2">
        <v>0</v>
      </c>
      <c r="ES188" s="2">
        <v>1</v>
      </c>
      <c r="ET188" s="2">
        <v>0</v>
      </c>
      <c r="EU188" s="2">
        <v>1</v>
      </c>
      <c r="EV188" s="2">
        <v>0</v>
      </c>
      <c r="EW188" s="2">
        <v>1</v>
      </c>
      <c r="EX188" s="2">
        <v>0</v>
      </c>
      <c r="EY188" s="2">
        <v>1</v>
      </c>
      <c r="EZ188" s="2">
        <v>0</v>
      </c>
      <c r="FA188" s="2">
        <v>1</v>
      </c>
      <c r="FB188" s="2">
        <v>0</v>
      </c>
      <c r="FC188" s="2">
        <v>1</v>
      </c>
      <c r="FD188" s="2">
        <v>0</v>
      </c>
      <c r="FE188" s="2">
        <v>0</v>
      </c>
      <c r="FF188" s="2">
        <v>0</v>
      </c>
      <c r="FG188" s="2">
        <v>1</v>
      </c>
      <c r="FH188" s="2">
        <v>1</v>
      </c>
      <c r="FI188" s="2">
        <v>0</v>
      </c>
      <c r="FJ188" s="2">
        <v>1</v>
      </c>
      <c r="FK188" s="2">
        <v>0</v>
      </c>
      <c r="FL188" s="2">
        <v>1</v>
      </c>
      <c r="FM188" s="2">
        <v>0</v>
      </c>
      <c r="FN188" s="2">
        <v>0</v>
      </c>
      <c r="FO188" s="2">
        <v>1</v>
      </c>
      <c r="FP188" s="2">
        <v>0</v>
      </c>
      <c r="FQ188" s="2">
        <v>1</v>
      </c>
      <c r="FR188" s="2">
        <v>0</v>
      </c>
      <c r="FS188" s="2">
        <v>1</v>
      </c>
      <c r="FT188" s="2">
        <v>0</v>
      </c>
      <c r="FU188" s="2">
        <v>1</v>
      </c>
      <c r="FV188" s="2">
        <v>0</v>
      </c>
      <c r="FW188" s="2">
        <v>1</v>
      </c>
      <c r="FX188" s="2">
        <v>0</v>
      </c>
      <c r="FY188" s="2">
        <v>1</v>
      </c>
      <c r="FZ188" s="2"/>
      <c r="GA188" s="2">
        <v>4</v>
      </c>
      <c r="GB188" s="2">
        <v>5</v>
      </c>
      <c r="GC188" s="2">
        <v>5</v>
      </c>
      <c r="GD188" s="2">
        <v>5</v>
      </c>
      <c r="GE188" s="2">
        <v>5</v>
      </c>
      <c r="GG188" s="2">
        <v>5</v>
      </c>
      <c r="GH188" s="2">
        <v>5</v>
      </c>
      <c r="GI188" s="2">
        <v>5</v>
      </c>
      <c r="GJ188" s="2">
        <v>5</v>
      </c>
      <c r="GK188" s="2">
        <v>5</v>
      </c>
      <c r="GM188" s="2">
        <f t="shared" si="0"/>
        <v>24</v>
      </c>
      <c r="GN188" s="2">
        <f t="shared" si="1"/>
        <v>25</v>
      </c>
      <c r="GO188" s="2"/>
      <c r="GP188" s="2">
        <v>3</v>
      </c>
      <c r="GQ188" s="2">
        <v>2</v>
      </c>
      <c r="GR188" s="2">
        <v>1</v>
      </c>
      <c r="GS188" s="2">
        <v>0</v>
      </c>
      <c r="GU188" s="2">
        <v>2</v>
      </c>
      <c r="GV188" s="2">
        <v>1</v>
      </c>
      <c r="GW188" s="2">
        <v>0</v>
      </c>
      <c r="GY188" s="2">
        <v>3</v>
      </c>
      <c r="GZ188" s="2">
        <v>2</v>
      </c>
      <c r="HA188" s="2">
        <v>0</v>
      </c>
      <c r="HB188" s="2">
        <v>0</v>
      </c>
      <c r="HD188" s="2">
        <v>3</v>
      </c>
      <c r="HE188" s="2">
        <v>3</v>
      </c>
      <c r="HF188" s="2">
        <v>0</v>
      </c>
      <c r="HH188" s="2">
        <f t="shared" si="2"/>
        <v>9</v>
      </c>
      <c r="HI188" s="2">
        <f t="shared" si="3"/>
        <v>11</v>
      </c>
      <c r="HJ188" s="2"/>
      <c r="HK188" s="2">
        <v>7</v>
      </c>
      <c r="HL188" s="2">
        <v>5</v>
      </c>
      <c r="HM188" s="2"/>
      <c r="HN188" s="2"/>
    </row>
    <row r="189" spans="1:222" ht="15.75" customHeight="1" x14ac:dyDescent="0.2">
      <c r="A189" s="3" t="e">
        <f>VLOOKUP(B189,#REF!,1,FALSE)</f>
        <v>#REF!</v>
      </c>
      <c r="B189" s="3">
        <v>44503.938040266206</v>
      </c>
      <c r="C189" s="2">
        <v>248</v>
      </c>
      <c r="D189" s="2" t="s">
        <v>185</v>
      </c>
      <c r="E189" s="2">
        <v>0</v>
      </c>
      <c r="F189" s="2" t="s">
        <v>186</v>
      </c>
      <c r="G189" s="2">
        <v>2</v>
      </c>
      <c r="H189" s="2">
        <v>0.5</v>
      </c>
      <c r="I189" s="2">
        <v>1</v>
      </c>
      <c r="J189" s="2">
        <v>1</v>
      </c>
      <c r="K189" s="2">
        <v>0</v>
      </c>
      <c r="L189" s="2">
        <v>3</v>
      </c>
      <c r="M189" s="2" t="s">
        <v>187</v>
      </c>
      <c r="N189" s="2">
        <v>2</v>
      </c>
      <c r="O189" s="2">
        <v>2</v>
      </c>
      <c r="P189" s="2">
        <v>0</v>
      </c>
      <c r="Q189" s="2">
        <v>0</v>
      </c>
      <c r="R189" s="2">
        <v>3</v>
      </c>
      <c r="S189" s="2">
        <v>1</v>
      </c>
      <c r="T189" s="2">
        <v>0</v>
      </c>
      <c r="U189" s="2">
        <v>0</v>
      </c>
      <c r="V189" s="2">
        <v>-1</v>
      </c>
      <c r="W189" s="2">
        <v>-1</v>
      </c>
      <c r="X189" s="2"/>
      <c r="Y189" s="2">
        <v>0</v>
      </c>
      <c r="Z189" s="2">
        <v>1</v>
      </c>
      <c r="AA189" s="2">
        <v>1</v>
      </c>
      <c r="AB189" s="2">
        <v>2</v>
      </c>
      <c r="AC189" s="2">
        <v>1</v>
      </c>
      <c r="AD189" s="2">
        <v>2</v>
      </c>
      <c r="AE189" s="2">
        <v>2</v>
      </c>
      <c r="AF189" s="2">
        <v>2</v>
      </c>
      <c r="AG189" s="2">
        <v>2</v>
      </c>
      <c r="AH189" s="2">
        <v>3</v>
      </c>
      <c r="AI189" s="2">
        <v>2</v>
      </c>
      <c r="AJ189" s="2">
        <v>2</v>
      </c>
      <c r="AK189" s="2">
        <v>2</v>
      </c>
      <c r="AL189" s="2">
        <v>3</v>
      </c>
      <c r="AM189" s="2">
        <v>4</v>
      </c>
      <c r="AN189" s="2">
        <v>4</v>
      </c>
      <c r="AO189" s="2">
        <v>3</v>
      </c>
      <c r="AP189" s="2">
        <v>3</v>
      </c>
      <c r="AQ189" s="2">
        <v>4</v>
      </c>
      <c r="AR189" s="2">
        <v>3</v>
      </c>
      <c r="AS189" s="2">
        <v>1</v>
      </c>
      <c r="AT189" s="2">
        <v>1</v>
      </c>
      <c r="AU189" s="2">
        <v>0</v>
      </c>
      <c r="AV189" s="2"/>
      <c r="AW189" s="2">
        <v>1</v>
      </c>
      <c r="AX189" s="2">
        <v>0</v>
      </c>
      <c r="AY189" s="2">
        <v>0</v>
      </c>
      <c r="AZ189" s="2">
        <v>4</v>
      </c>
      <c r="BA189" s="2">
        <v>4</v>
      </c>
      <c r="BB189" s="2">
        <v>4</v>
      </c>
      <c r="BC189" s="2">
        <v>4</v>
      </c>
      <c r="BD189" s="2">
        <v>4</v>
      </c>
      <c r="BE189" s="2">
        <v>2</v>
      </c>
      <c r="BF189" s="2">
        <v>1</v>
      </c>
      <c r="BG189" s="2">
        <v>0</v>
      </c>
      <c r="BH189" s="2">
        <v>1</v>
      </c>
      <c r="BI189" s="2"/>
      <c r="BJ189" s="2">
        <v>1</v>
      </c>
      <c r="BK189" s="2">
        <v>0</v>
      </c>
      <c r="BL189" s="2">
        <v>1</v>
      </c>
      <c r="BM189" s="2">
        <v>7</v>
      </c>
      <c r="BN189" s="2">
        <v>8</v>
      </c>
      <c r="BO189" s="2">
        <v>7</v>
      </c>
      <c r="BP189" s="2" t="s">
        <v>678</v>
      </c>
      <c r="BQ189" s="2"/>
      <c r="BR189" s="2"/>
      <c r="BS189" s="2"/>
      <c r="BT189" s="2" t="s">
        <v>224</v>
      </c>
      <c r="BU189" s="2" t="s">
        <v>679</v>
      </c>
      <c r="BV189" s="2" t="s">
        <v>680</v>
      </c>
      <c r="BW189" s="2" t="s">
        <v>224</v>
      </c>
      <c r="BX189" s="2" t="s">
        <v>190</v>
      </c>
      <c r="BY189" s="2" t="s">
        <v>190</v>
      </c>
      <c r="BZ189" s="2" t="s">
        <v>190</v>
      </c>
      <c r="CA189" s="2" t="s">
        <v>190</v>
      </c>
      <c r="CB189" s="2" t="s">
        <v>191</v>
      </c>
      <c r="CC189" s="2" t="s">
        <v>190</v>
      </c>
      <c r="CD189" s="2" t="s">
        <v>189</v>
      </c>
      <c r="CE189" s="2" t="s">
        <v>190</v>
      </c>
      <c r="CF189" s="2" t="s">
        <v>191</v>
      </c>
      <c r="CG189" s="2" t="s">
        <v>190</v>
      </c>
      <c r="CH189" s="2" t="s">
        <v>190</v>
      </c>
      <c r="CI189" s="2" t="s">
        <v>191</v>
      </c>
      <c r="CJ189" s="2" t="s">
        <v>190</v>
      </c>
      <c r="CK189" s="2" t="s">
        <v>189</v>
      </c>
      <c r="CL189" s="2" t="s">
        <v>190</v>
      </c>
      <c r="CM189" s="2" t="s">
        <v>192</v>
      </c>
      <c r="CN189" s="2" t="s">
        <v>192</v>
      </c>
      <c r="CO189" s="2" t="s">
        <v>192</v>
      </c>
      <c r="CP189" s="2" t="s">
        <v>192</v>
      </c>
      <c r="CQ189" s="2" t="s">
        <v>192</v>
      </c>
      <c r="CR189" s="2" t="s">
        <v>192</v>
      </c>
      <c r="CS189" s="2" t="s">
        <v>192</v>
      </c>
      <c r="CT189" s="2" t="s">
        <v>192</v>
      </c>
      <c r="CU189" s="2" t="s">
        <v>192</v>
      </c>
      <c r="CV189" s="2" t="s">
        <v>192</v>
      </c>
      <c r="CW189" s="2" t="s">
        <v>192</v>
      </c>
      <c r="CX189" s="2" t="s">
        <v>192</v>
      </c>
      <c r="CY189" s="2" t="s">
        <v>192</v>
      </c>
      <c r="CZ189" s="2" t="s">
        <v>192</v>
      </c>
      <c r="DA189" s="2" t="s">
        <v>192</v>
      </c>
      <c r="DB189" s="2" t="s">
        <v>192</v>
      </c>
      <c r="DC189" s="2" t="s">
        <v>192</v>
      </c>
      <c r="DD189" s="2" t="s">
        <v>192</v>
      </c>
      <c r="DE189" s="2" t="s">
        <v>192</v>
      </c>
      <c r="DF189" s="2" t="s">
        <v>192</v>
      </c>
      <c r="DG189" s="2" t="s">
        <v>194</v>
      </c>
      <c r="DH189" s="2" t="s">
        <v>194</v>
      </c>
      <c r="DI189" s="2" t="s">
        <v>195</v>
      </c>
      <c r="DJ189" s="2" t="s">
        <v>194</v>
      </c>
      <c r="DK189" s="2" t="s">
        <v>194</v>
      </c>
      <c r="DL189" s="2" t="s">
        <v>194</v>
      </c>
      <c r="DM189" s="2" t="s">
        <v>194</v>
      </c>
      <c r="DN189" s="2" t="s">
        <v>196</v>
      </c>
      <c r="DO189" s="2" t="s">
        <v>194</v>
      </c>
      <c r="DP189" s="2" t="s">
        <v>194</v>
      </c>
      <c r="DQ189" s="2" t="s">
        <v>194</v>
      </c>
      <c r="DR189" s="2" t="s">
        <v>194</v>
      </c>
      <c r="DS189" s="2" t="s">
        <v>198</v>
      </c>
      <c r="DT189" s="2" t="s">
        <v>221</v>
      </c>
      <c r="DU189" s="2" t="s">
        <v>221</v>
      </c>
      <c r="DV189" s="2" t="s">
        <v>221</v>
      </c>
      <c r="DW189" s="2" t="s">
        <v>199</v>
      </c>
      <c r="DX189" s="2" t="s">
        <v>199</v>
      </c>
      <c r="DY189" s="2" t="s">
        <v>199</v>
      </c>
      <c r="DZ189" s="2"/>
      <c r="EA189" s="2">
        <v>1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1</v>
      </c>
      <c r="EI189" s="2">
        <v>1</v>
      </c>
      <c r="EJ189" s="2">
        <v>1</v>
      </c>
      <c r="EK189" s="2">
        <v>0</v>
      </c>
      <c r="EL189" s="2">
        <v>1</v>
      </c>
      <c r="EM189" s="2">
        <v>0</v>
      </c>
      <c r="EN189" s="2">
        <v>1</v>
      </c>
      <c r="EO189" s="2">
        <v>0</v>
      </c>
      <c r="EP189" s="2">
        <v>0</v>
      </c>
      <c r="EQ189" s="2">
        <v>0</v>
      </c>
      <c r="ER189" s="2">
        <v>1</v>
      </c>
      <c r="ES189" s="2">
        <v>1</v>
      </c>
      <c r="ET189" s="2">
        <v>1</v>
      </c>
      <c r="EU189" s="2">
        <v>1</v>
      </c>
      <c r="EV189" s="2">
        <v>1</v>
      </c>
      <c r="EW189" s="2">
        <v>1</v>
      </c>
      <c r="EX189" s="2">
        <v>1</v>
      </c>
      <c r="EY189" s="2">
        <v>1</v>
      </c>
      <c r="EZ189" s="2">
        <v>1</v>
      </c>
      <c r="FA189" s="2">
        <v>1</v>
      </c>
      <c r="FB189" s="2">
        <v>1</v>
      </c>
      <c r="FC189" s="2">
        <v>1</v>
      </c>
      <c r="FD189" s="2">
        <v>0</v>
      </c>
      <c r="FE189" s="2">
        <v>0</v>
      </c>
      <c r="FF189" s="2">
        <v>1</v>
      </c>
      <c r="FG189" s="2">
        <v>1</v>
      </c>
      <c r="FH189" s="2">
        <v>1</v>
      </c>
      <c r="FI189" s="2">
        <v>0</v>
      </c>
      <c r="FJ189" s="2">
        <v>1</v>
      </c>
      <c r="FK189" s="2">
        <v>0</v>
      </c>
      <c r="FL189" s="2">
        <v>1</v>
      </c>
      <c r="FM189" s="2">
        <v>0</v>
      </c>
      <c r="FN189" s="2">
        <v>1</v>
      </c>
      <c r="FO189" s="2">
        <v>1</v>
      </c>
      <c r="FP189" s="2">
        <v>1</v>
      </c>
      <c r="FQ189" s="2">
        <v>1</v>
      </c>
      <c r="FR189" s="2">
        <v>1</v>
      </c>
      <c r="FS189" s="2">
        <v>1</v>
      </c>
      <c r="FT189" s="2">
        <v>1</v>
      </c>
      <c r="FU189" s="2">
        <v>0</v>
      </c>
      <c r="FV189" s="2">
        <v>1</v>
      </c>
      <c r="FW189" s="2">
        <v>1</v>
      </c>
      <c r="FX189" s="2">
        <v>1</v>
      </c>
      <c r="FY189" s="2">
        <v>1</v>
      </c>
      <c r="FZ189" s="2"/>
      <c r="GA189" s="2">
        <v>4</v>
      </c>
      <c r="GB189" s="2">
        <v>4</v>
      </c>
      <c r="GC189" s="2">
        <v>3</v>
      </c>
      <c r="GD189" s="2">
        <v>3</v>
      </c>
      <c r="GE189" s="2">
        <v>4</v>
      </c>
      <c r="GG189" s="2">
        <v>4</v>
      </c>
      <c r="GH189" s="2">
        <v>4</v>
      </c>
      <c r="GI189" s="2">
        <v>4</v>
      </c>
      <c r="GJ189" s="2">
        <v>4</v>
      </c>
      <c r="GK189" s="2">
        <v>4</v>
      </c>
      <c r="GM189" s="2">
        <f t="shared" si="0"/>
        <v>18</v>
      </c>
      <c r="GN189" s="2">
        <f t="shared" si="1"/>
        <v>20</v>
      </c>
      <c r="GO189" s="2"/>
      <c r="GP189" s="2">
        <v>3</v>
      </c>
      <c r="GQ189" s="2">
        <v>1</v>
      </c>
      <c r="GR189" s="2">
        <v>1</v>
      </c>
      <c r="GS189" s="2">
        <v>0</v>
      </c>
      <c r="GU189" s="2">
        <v>1</v>
      </c>
      <c r="GV189" s="2">
        <v>0</v>
      </c>
      <c r="GW189" s="2">
        <v>0</v>
      </c>
      <c r="GY189" s="2">
        <v>2</v>
      </c>
      <c r="GZ189" s="2">
        <v>1</v>
      </c>
      <c r="HA189" s="2">
        <v>0</v>
      </c>
      <c r="HB189" s="2">
        <v>1</v>
      </c>
      <c r="HD189" s="2">
        <v>1</v>
      </c>
      <c r="HE189" s="2">
        <v>0</v>
      </c>
      <c r="HF189" s="2">
        <v>1</v>
      </c>
      <c r="HH189" s="2">
        <f t="shared" si="2"/>
        <v>6</v>
      </c>
      <c r="HI189" s="2">
        <f t="shared" si="3"/>
        <v>6</v>
      </c>
      <c r="HJ189" s="2"/>
      <c r="HK189" s="2">
        <v>8</v>
      </c>
      <c r="HL189" s="2">
        <v>7</v>
      </c>
      <c r="HM189" s="2"/>
      <c r="HN189" s="2"/>
    </row>
    <row r="190" spans="1:222" ht="15.75" customHeight="1" x14ac:dyDescent="0.2">
      <c r="A190" s="3" t="e">
        <f>VLOOKUP(B190,#REF!,1,FALSE)</f>
        <v>#REF!</v>
      </c>
      <c r="B190" s="3">
        <v>44503.954357418981</v>
      </c>
      <c r="C190" s="2">
        <v>249</v>
      </c>
      <c r="D190" s="2" t="s">
        <v>185</v>
      </c>
      <c r="E190" s="2">
        <v>0</v>
      </c>
      <c r="F190" s="2" t="s">
        <v>347</v>
      </c>
      <c r="G190" s="2">
        <v>2</v>
      </c>
      <c r="H190" s="2">
        <v>0.5</v>
      </c>
      <c r="I190" s="2">
        <v>1</v>
      </c>
      <c r="J190" s="2">
        <v>4</v>
      </c>
      <c r="K190" s="2">
        <v>0</v>
      </c>
      <c r="L190" s="2">
        <v>2</v>
      </c>
      <c r="M190" s="2" t="s">
        <v>213</v>
      </c>
      <c r="N190" s="2">
        <v>2</v>
      </c>
      <c r="O190" s="2">
        <v>3</v>
      </c>
      <c r="P190" s="2">
        <v>0</v>
      </c>
      <c r="Q190" s="2">
        <v>2</v>
      </c>
      <c r="R190" s="2">
        <v>3</v>
      </c>
      <c r="S190" s="2">
        <v>1</v>
      </c>
      <c r="T190" s="2">
        <v>1</v>
      </c>
      <c r="U190" s="2">
        <v>1</v>
      </c>
      <c r="V190" s="2">
        <v>1</v>
      </c>
      <c r="W190" s="2">
        <v>1</v>
      </c>
      <c r="X190" s="2"/>
      <c r="Y190" s="2">
        <v>1</v>
      </c>
      <c r="Z190" s="2">
        <v>1</v>
      </c>
      <c r="AA190" s="2">
        <v>1</v>
      </c>
      <c r="AB190" s="2">
        <v>4</v>
      </c>
      <c r="AC190" s="2">
        <v>0</v>
      </c>
      <c r="AD190" s="2">
        <v>0</v>
      </c>
      <c r="AE190" s="2">
        <v>4</v>
      </c>
      <c r="AF190" s="2">
        <v>2</v>
      </c>
      <c r="AG190" s="2">
        <v>1</v>
      </c>
      <c r="AH190" s="2">
        <v>1</v>
      </c>
      <c r="AI190" s="2">
        <v>-1</v>
      </c>
      <c r="AJ190" s="2">
        <v>3</v>
      </c>
      <c r="AK190" s="2">
        <v>3</v>
      </c>
      <c r="AL190" s="2">
        <v>2</v>
      </c>
      <c r="AM190" s="2">
        <v>5</v>
      </c>
      <c r="AN190" s="2">
        <v>5</v>
      </c>
      <c r="AO190" s="2">
        <v>5</v>
      </c>
      <c r="AP190" s="2">
        <v>3</v>
      </c>
      <c r="AQ190" s="2">
        <v>5</v>
      </c>
      <c r="AR190" s="2">
        <v>4</v>
      </c>
      <c r="AS190" s="2">
        <v>1</v>
      </c>
      <c r="AT190" s="2">
        <v>1</v>
      </c>
      <c r="AU190" s="2">
        <v>1</v>
      </c>
      <c r="AV190" s="2"/>
      <c r="AW190" s="2">
        <v>3</v>
      </c>
      <c r="AX190" s="2">
        <v>2</v>
      </c>
      <c r="AY190" s="2">
        <v>3</v>
      </c>
      <c r="AZ190" s="2">
        <v>2</v>
      </c>
      <c r="BA190" s="2">
        <v>2</v>
      </c>
      <c r="BB190" s="2">
        <v>2</v>
      </c>
      <c r="BC190" s="2">
        <v>5</v>
      </c>
      <c r="BD190" s="2">
        <v>2</v>
      </c>
      <c r="BE190" s="2">
        <v>4</v>
      </c>
      <c r="BF190" s="2">
        <v>1</v>
      </c>
      <c r="BG190" s="2">
        <v>1</v>
      </c>
      <c r="BH190" s="2">
        <v>1</v>
      </c>
      <c r="BI190" s="2"/>
      <c r="BJ190" s="2">
        <v>2</v>
      </c>
      <c r="BK190" s="2">
        <v>2</v>
      </c>
      <c r="BL190" s="2">
        <v>3</v>
      </c>
      <c r="BM190" s="2">
        <v>10</v>
      </c>
      <c r="BN190" s="2">
        <v>10</v>
      </c>
      <c r="BO190" s="2">
        <v>9</v>
      </c>
      <c r="BP190" s="2"/>
      <c r="BQ190" s="2"/>
      <c r="BR190" s="2"/>
      <c r="BS190" s="2"/>
      <c r="BT190" s="2"/>
      <c r="BU190" s="2"/>
      <c r="BV190" s="2"/>
      <c r="BW190" s="2"/>
      <c r="BX190" s="2" t="s">
        <v>191</v>
      </c>
      <c r="BY190" s="2" t="s">
        <v>189</v>
      </c>
      <c r="BZ190" s="2" t="s">
        <v>191</v>
      </c>
      <c r="CA190" s="2" t="s">
        <v>191</v>
      </c>
      <c r="CB190" s="2" t="s">
        <v>188</v>
      </c>
      <c r="CC190" s="2" t="s">
        <v>191</v>
      </c>
      <c r="CD190" s="2" t="s">
        <v>189</v>
      </c>
      <c r="CE190" s="2" t="s">
        <v>189</v>
      </c>
      <c r="CF190" s="2" t="s">
        <v>191</v>
      </c>
      <c r="CG190" s="2" t="s">
        <v>189</v>
      </c>
      <c r="CH190" s="2" t="s">
        <v>191</v>
      </c>
      <c r="CI190" s="2" t="s">
        <v>189</v>
      </c>
      <c r="CJ190" s="2" t="s">
        <v>189</v>
      </c>
      <c r="CK190" s="2" t="s">
        <v>189</v>
      </c>
      <c r="CL190" s="2" t="s">
        <v>189</v>
      </c>
      <c r="CM190" s="2" t="s">
        <v>193</v>
      </c>
      <c r="CN190" s="2" t="s">
        <v>200</v>
      </c>
      <c r="CO190" s="2" t="s">
        <v>193</v>
      </c>
      <c r="CP190" s="2" t="s">
        <v>193</v>
      </c>
      <c r="CQ190" s="2" t="s">
        <v>193</v>
      </c>
      <c r="CR190" s="2" t="s">
        <v>200</v>
      </c>
      <c r="CS190" s="2" t="s">
        <v>193</v>
      </c>
      <c r="CT190" s="2" t="s">
        <v>192</v>
      </c>
      <c r="CU190" s="2" t="s">
        <v>193</v>
      </c>
      <c r="CV190" s="2" t="s">
        <v>200</v>
      </c>
      <c r="CW190" s="2" t="s">
        <v>193</v>
      </c>
      <c r="CX190" s="2" t="s">
        <v>192</v>
      </c>
      <c r="CY190" s="2" t="s">
        <v>192</v>
      </c>
      <c r="CZ190" s="2" t="s">
        <v>192</v>
      </c>
      <c r="DA190" s="2" t="s">
        <v>193</v>
      </c>
      <c r="DB190" s="2" t="s">
        <v>192</v>
      </c>
      <c r="DC190" s="2" t="s">
        <v>192</v>
      </c>
      <c r="DD190" s="2" t="s">
        <v>200</v>
      </c>
      <c r="DE190" s="2" t="s">
        <v>192</v>
      </c>
      <c r="DF190" s="2" t="s">
        <v>193</v>
      </c>
      <c r="DG190" s="2" t="s">
        <v>195</v>
      </c>
      <c r="DH190" s="2" t="s">
        <v>195</v>
      </c>
      <c r="DI190" s="2" t="s">
        <v>194</v>
      </c>
      <c r="DJ190" s="2" t="s">
        <v>195</v>
      </c>
      <c r="DK190" s="2" t="s">
        <v>194</v>
      </c>
      <c r="DL190" s="2" t="s">
        <v>194</v>
      </c>
      <c r="DM190" s="2" t="s">
        <v>194</v>
      </c>
      <c r="DN190" s="2" t="s">
        <v>220</v>
      </c>
      <c r="DO190" s="2" t="s">
        <v>194</v>
      </c>
      <c r="DP190" s="2" t="s">
        <v>196</v>
      </c>
      <c r="DQ190" s="2" t="s">
        <v>194</v>
      </c>
      <c r="DR190" s="2" t="s">
        <v>194</v>
      </c>
      <c r="DS190" s="2" t="s">
        <v>198</v>
      </c>
      <c r="DT190" s="2" t="s">
        <v>198</v>
      </c>
      <c r="DU190" s="2" t="s">
        <v>199</v>
      </c>
      <c r="DV190" s="2" t="s">
        <v>199</v>
      </c>
      <c r="DW190" s="2" t="s">
        <v>221</v>
      </c>
      <c r="DX190" s="2" t="s">
        <v>221</v>
      </c>
      <c r="DY190" s="2" t="s">
        <v>221</v>
      </c>
      <c r="DZ190" s="2"/>
      <c r="EA190" s="2">
        <v>0</v>
      </c>
      <c r="EB190" s="2">
        <v>1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1</v>
      </c>
      <c r="EI190" s="2">
        <v>0</v>
      </c>
      <c r="EJ190" s="2">
        <v>1</v>
      </c>
      <c r="EK190" s="2">
        <v>0</v>
      </c>
      <c r="EL190" s="2">
        <v>1</v>
      </c>
      <c r="EM190" s="2">
        <v>0</v>
      </c>
      <c r="EN190" s="2">
        <v>1</v>
      </c>
      <c r="EO190" s="2">
        <v>0</v>
      </c>
      <c r="EP190" s="2">
        <v>1</v>
      </c>
      <c r="EQ190" s="2">
        <v>0</v>
      </c>
      <c r="ER190" s="2">
        <v>1</v>
      </c>
      <c r="ES190" s="2">
        <v>0</v>
      </c>
      <c r="ET190" s="2">
        <v>0</v>
      </c>
      <c r="EU190" s="2">
        <v>1</v>
      </c>
      <c r="EV190" s="2">
        <v>1</v>
      </c>
      <c r="EW190" s="2">
        <v>0</v>
      </c>
      <c r="EX190" s="2">
        <v>0</v>
      </c>
      <c r="EY190" s="2">
        <v>1</v>
      </c>
      <c r="EZ190" s="2">
        <v>1</v>
      </c>
      <c r="FA190" s="2">
        <v>0</v>
      </c>
      <c r="FB190" s="2">
        <v>0</v>
      </c>
      <c r="FC190" s="2">
        <v>1</v>
      </c>
      <c r="FD190" s="2">
        <v>0</v>
      </c>
      <c r="FE190" s="2">
        <v>0</v>
      </c>
      <c r="FF190" s="2">
        <v>0</v>
      </c>
      <c r="FG190" s="2">
        <v>1</v>
      </c>
      <c r="FH190" s="2">
        <v>1</v>
      </c>
      <c r="FI190" s="2">
        <v>0</v>
      </c>
      <c r="FJ190" s="2">
        <v>1</v>
      </c>
      <c r="FK190" s="2">
        <v>0</v>
      </c>
      <c r="FL190" s="2">
        <v>1</v>
      </c>
      <c r="FM190" s="2">
        <v>0</v>
      </c>
      <c r="FN190" s="2">
        <v>0</v>
      </c>
      <c r="FO190" s="2">
        <v>1</v>
      </c>
      <c r="FP190" s="2">
        <v>0</v>
      </c>
      <c r="FQ190" s="2">
        <v>1</v>
      </c>
      <c r="FR190" s="2">
        <v>0</v>
      </c>
      <c r="FS190" s="2">
        <v>1</v>
      </c>
      <c r="FT190" s="2">
        <v>0</v>
      </c>
      <c r="FU190" s="2">
        <v>1</v>
      </c>
      <c r="FV190" s="2">
        <v>0</v>
      </c>
      <c r="FW190" s="2">
        <v>1</v>
      </c>
      <c r="FX190" s="2">
        <v>0</v>
      </c>
      <c r="FY190" s="2">
        <v>1</v>
      </c>
      <c r="FZ190" s="2"/>
      <c r="GA190" s="2">
        <v>5</v>
      </c>
      <c r="GB190" s="2">
        <v>5</v>
      </c>
      <c r="GC190" s="2">
        <v>5</v>
      </c>
      <c r="GD190" s="2">
        <v>3</v>
      </c>
      <c r="GE190" s="2">
        <v>5</v>
      </c>
      <c r="GG190" s="2">
        <v>2</v>
      </c>
      <c r="GH190" s="2">
        <v>2</v>
      </c>
      <c r="GI190" s="2">
        <v>2</v>
      </c>
      <c r="GJ190" s="2">
        <v>5</v>
      </c>
      <c r="GK190" s="2">
        <v>2</v>
      </c>
      <c r="GM190" s="2">
        <f t="shared" si="0"/>
        <v>23</v>
      </c>
      <c r="GN190" s="2">
        <f t="shared" si="1"/>
        <v>13</v>
      </c>
      <c r="GO190" s="2"/>
      <c r="GP190" s="2">
        <v>4</v>
      </c>
      <c r="GQ190" s="2">
        <v>1</v>
      </c>
      <c r="GR190" s="2">
        <v>1</v>
      </c>
      <c r="GS190" s="2">
        <v>1</v>
      </c>
      <c r="GU190" s="2">
        <v>3</v>
      </c>
      <c r="GV190" s="2">
        <v>2</v>
      </c>
      <c r="GW190" s="2">
        <v>3</v>
      </c>
      <c r="GY190" s="2">
        <v>4</v>
      </c>
      <c r="GZ190" s="2">
        <v>1</v>
      </c>
      <c r="HA190" s="2">
        <v>1</v>
      </c>
      <c r="HB190" s="2">
        <v>1</v>
      </c>
      <c r="HD190" s="2">
        <v>2</v>
      </c>
      <c r="HE190" s="2">
        <v>2</v>
      </c>
      <c r="HF190" s="2">
        <v>3</v>
      </c>
      <c r="HH190" s="2">
        <f t="shared" si="2"/>
        <v>15</v>
      </c>
      <c r="HI190" s="2">
        <f t="shared" si="3"/>
        <v>14</v>
      </c>
      <c r="HJ190" s="2"/>
      <c r="HK190" s="2">
        <v>10</v>
      </c>
      <c r="HL190" s="2">
        <v>9</v>
      </c>
      <c r="HM190" s="2"/>
      <c r="HN190" s="2"/>
    </row>
    <row r="191" spans="1:222" ht="15.75" customHeight="1" x14ac:dyDescent="0.2">
      <c r="A191" s="3" t="e">
        <f>VLOOKUP(B191,#REF!,1,FALSE)</f>
        <v>#REF!</v>
      </c>
      <c r="B191" s="3">
        <v>44504.481511736114</v>
      </c>
      <c r="C191" s="2">
        <v>250</v>
      </c>
      <c r="D191" s="2" t="s">
        <v>185</v>
      </c>
      <c r="E191" s="2">
        <v>0</v>
      </c>
      <c r="F191" s="2" t="s">
        <v>186</v>
      </c>
      <c r="G191" s="2">
        <v>8</v>
      </c>
      <c r="H191" s="2">
        <v>0.5</v>
      </c>
      <c r="I191" s="2">
        <v>1</v>
      </c>
      <c r="J191" s="2">
        <v>2</v>
      </c>
      <c r="K191" s="2">
        <v>0</v>
      </c>
      <c r="L191" s="2">
        <v>4</v>
      </c>
      <c r="M191" s="2" t="s">
        <v>187</v>
      </c>
      <c r="N191" s="2">
        <v>3</v>
      </c>
      <c r="O191" s="2">
        <v>3</v>
      </c>
      <c r="P191" s="2">
        <v>0</v>
      </c>
      <c r="Q191" s="2">
        <v>0</v>
      </c>
      <c r="R191" s="2">
        <v>3</v>
      </c>
      <c r="S191" s="2">
        <v>1</v>
      </c>
      <c r="T191" s="2">
        <v>0</v>
      </c>
      <c r="U191" s="2">
        <v>1</v>
      </c>
      <c r="V191" s="2">
        <v>0</v>
      </c>
      <c r="W191" s="2">
        <v>0</v>
      </c>
      <c r="X191" s="2"/>
      <c r="Y191" s="2">
        <v>1</v>
      </c>
      <c r="Z191" s="2">
        <v>-1</v>
      </c>
      <c r="AA191" s="2">
        <v>-1</v>
      </c>
      <c r="AB191" s="2">
        <v>2</v>
      </c>
      <c r="AC191" s="2">
        <v>2</v>
      </c>
      <c r="AD191" s="2">
        <v>2</v>
      </c>
      <c r="AE191" s="2">
        <v>2</v>
      </c>
      <c r="AF191" s="2">
        <v>-99</v>
      </c>
      <c r="AG191" s="2">
        <v>-2</v>
      </c>
      <c r="AH191" s="2">
        <v>-2</v>
      </c>
      <c r="AI191" s="2">
        <v>-1</v>
      </c>
      <c r="AJ191" s="2">
        <v>-1</v>
      </c>
      <c r="AK191" s="2">
        <v>-2</v>
      </c>
      <c r="AL191" s="2">
        <v>-2</v>
      </c>
      <c r="AM191" s="2">
        <v>3</v>
      </c>
      <c r="AN191" s="2">
        <v>3</v>
      </c>
      <c r="AO191" s="2">
        <v>2</v>
      </c>
      <c r="AP191" s="2">
        <v>1</v>
      </c>
      <c r="AQ191" s="2">
        <v>2</v>
      </c>
      <c r="AR191" s="2">
        <v>4</v>
      </c>
      <c r="AS191" s="2">
        <v>1</v>
      </c>
      <c r="AT191" s="2">
        <v>2</v>
      </c>
      <c r="AU191" s="2">
        <v>0</v>
      </c>
      <c r="AV191" s="2"/>
      <c r="AW191" s="2">
        <v>2</v>
      </c>
      <c r="AX191" s="2">
        <v>3</v>
      </c>
      <c r="AY191" s="2">
        <v>3</v>
      </c>
      <c r="AZ191" s="2">
        <v>2</v>
      </c>
      <c r="BA191" s="2">
        <v>2</v>
      </c>
      <c r="BB191" s="2">
        <v>2</v>
      </c>
      <c r="BC191" s="2">
        <v>0</v>
      </c>
      <c r="BD191" s="2">
        <v>1</v>
      </c>
      <c r="BE191" s="2">
        <v>4</v>
      </c>
      <c r="BF191" s="2">
        <v>0</v>
      </c>
      <c r="BG191" s="2">
        <v>1</v>
      </c>
      <c r="BH191" s="2">
        <v>0</v>
      </c>
      <c r="BI191" s="2"/>
      <c r="BJ191" s="2">
        <v>2</v>
      </c>
      <c r="BK191" s="2">
        <v>3</v>
      </c>
      <c r="BL191" s="2">
        <v>3</v>
      </c>
      <c r="BM191" s="2">
        <v>5</v>
      </c>
      <c r="BN191" s="2">
        <v>10</v>
      </c>
      <c r="BO191" s="2">
        <v>10</v>
      </c>
      <c r="BP191" s="2" t="s">
        <v>681</v>
      </c>
      <c r="BQ191" s="2" t="s">
        <v>682</v>
      </c>
      <c r="BR191" s="2" t="s">
        <v>683</v>
      </c>
      <c r="BS191" s="2" t="s">
        <v>684</v>
      </c>
      <c r="BT191" s="2" t="e">
        <f>- การโยนงานมากกว่า เวลาทำงานจริงมีหลายหน่วยที่เกืี่ยวข้อง บอกครั้งจะอ้างว่าทำอะไรไม่ได้ แล้วเอาลูกค้ามาบีบ เพื่อให้รับเคสไปดูก่อน ทำให้กระทบกับงานที่มีอยู่เดิม
- การที่ลูกค้าเลือกจะคุยกับ DEV ตรง เพราะตอบได้ถูกจุดกว่า Support</f>
        <v>#NAME?</v>
      </c>
      <c r="BU191" s="2" t="s">
        <v>258</v>
      </c>
      <c r="BV191" s="2" t="s">
        <v>685</v>
      </c>
      <c r="BW191" s="2" t="s">
        <v>686</v>
      </c>
      <c r="BX191" s="2" t="s">
        <v>190</v>
      </c>
      <c r="BY191" s="2" t="s">
        <v>188</v>
      </c>
      <c r="BZ191" s="2" t="s">
        <v>188</v>
      </c>
      <c r="CA191" s="2" t="s">
        <v>188</v>
      </c>
      <c r="CB191" s="2" t="s">
        <v>188</v>
      </c>
      <c r="CC191" s="2" t="s">
        <v>188</v>
      </c>
      <c r="CD191" s="2" t="s">
        <v>189</v>
      </c>
      <c r="CE191" s="2" t="s">
        <v>188</v>
      </c>
      <c r="CF191" s="2" t="s">
        <v>188</v>
      </c>
      <c r="CG191" s="2" t="s">
        <v>188</v>
      </c>
      <c r="CH191" s="2" t="s">
        <v>188</v>
      </c>
      <c r="CI191" s="2" t="s">
        <v>190</v>
      </c>
      <c r="CJ191" s="2" t="s">
        <v>190</v>
      </c>
      <c r="CK191" s="2" t="s">
        <v>189</v>
      </c>
      <c r="CL191" s="2" t="s">
        <v>189</v>
      </c>
      <c r="CM191" s="2" t="s">
        <v>193</v>
      </c>
      <c r="CN191" s="2" t="s">
        <v>200</v>
      </c>
      <c r="CO191" s="2" t="s">
        <v>200</v>
      </c>
      <c r="CP191" s="2" t="s">
        <v>200</v>
      </c>
      <c r="CQ191" s="2" t="s">
        <v>200</v>
      </c>
      <c r="CR191" s="2" t="s">
        <v>200</v>
      </c>
      <c r="CS191" s="2" t="s">
        <v>200</v>
      </c>
      <c r="CT191" s="2" t="s">
        <v>200</v>
      </c>
      <c r="CU191" s="2" t="s">
        <v>200</v>
      </c>
      <c r="CV191" s="2" t="s">
        <v>200</v>
      </c>
      <c r="CW191" s="2" t="s">
        <v>200</v>
      </c>
      <c r="CX191" s="2" t="s">
        <v>200</v>
      </c>
      <c r="CY191" s="2" t="s">
        <v>200</v>
      </c>
      <c r="CZ191" s="2" t="s">
        <v>200</v>
      </c>
      <c r="DA191" s="2" t="s">
        <v>200</v>
      </c>
      <c r="DB191" s="2" t="s">
        <v>193</v>
      </c>
      <c r="DC191" s="2" t="s">
        <v>192</v>
      </c>
      <c r="DD191" s="2" t="s">
        <v>193</v>
      </c>
      <c r="DE191" s="2" t="s">
        <v>200</v>
      </c>
      <c r="DF191" s="2" t="s">
        <v>193</v>
      </c>
      <c r="DG191" s="2" t="s">
        <v>201</v>
      </c>
      <c r="DH191" s="2" t="s">
        <v>195</v>
      </c>
      <c r="DI191" s="2" t="s">
        <v>195</v>
      </c>
      <c r="DJ191" s="2" t="s">
        <v>196</v>
      </c>
      <c r="DK191" s="2" t="s">
        <v>220</v>
      </c>
      <c r="DL191" s="2" t="s">
        <v>196</v>
      </c>
      <c r="DM191" s="2" t="s">
        <v>194</v>
      </c>
      <c r="DN191" s="2" t="s">
        <v>220</v>
      </c>
      <c r="DO191" s="2" t="s">
        <v>220</v>
      </c>
      <c r="DP191" s="2" t="s">
        <v>201</v>
      </c>
      <c r="DQ191" s="2" t="s">
        <v>194</v>
      </c>
      <c r="DR191" s="2" t="s">
        <v>201</v>
      </c>
      <c r="DS191" s="2" t="s">
        <v>197</v>
      </c>
      <c r="DT191" s="2" t="s">
        <v>197</v>
      </c>
      <c r="DU191" s="2" t="s">
        <v>197</v>
      </c>
      <c r="DV191" s="2" t="s">
        <v>197</v>
      </c>
      <c r="DW191" s="2" t="s">
        <v>197</v>
      </c>
      <c r="DX191" s="2" t="s">
        <v>197</v>
      </c>
      <c r="DY191" s="2" t="s">
        <v>197</v>
      </c>
      <c r="DZ191" s="2"/>
      <c r="EA191" s="2">
        <v>1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1</v>
      </c>
      <c r="EI191" s="2">
        <v>0</v>
      </c>
      <c r="EJ191" s="2">
        <v>1</v>
      </c>
      <c r="EK191" s="2">
        <v>0</v>
      </c>
      <c r="EL191" s="2">
        <v>1</v>
      </c>
      <c r="EM191" s="2">
        <v>0</v>
      </c>
      <c r="EN191" s="2">
        <v>1</v>
      </c>
      <c r="EO191" s="2">
        <v>0</v>
      </c>
      <c r="EP191" s="2">
        <v>1</v>
      </c>
      <c r="EQ191" s="2">
        <v>0</v>
      </c>
      <c r="ER191" s="2">
        <v>1</v>
      </c>
      <c r="ES191" s="2">
        <v>0</v>
      </c>
      <c r="ET191" s="2">
        <v>1</v>
      </c>
      <c r="EU191" s="2">
        <v>0</v>
      </c>
      <c r="EV191" s="2">
        <v>1</v>
      </c>
      <c r="EW191" s="2">
        <v>0</v>
      </c>
      <c r="EX191" s="2">
        <v>0</v>
      </c>
      <c r="EY191" s="2">
        <v>1</v>
      </c>
      <c r="EZ191" s="2">
        <v>1</v>
      </c>
      <c r="FA191" s="2">
        <v>0</v>
      </c>
      <c r="FB191" s="2">
        <v>1</v>
      </c>
      <c r="FC191" s="2">
        <v>0</v>
      </c>
      <c r="FD191" s="2">
        <v>0</v>
      </c>
      <c r="FE191" s="2">
        <v>0</v>
      </c>
      <c r="FF191" s="2">
        <v>1</v>
      </c>
      <c r="FG191" s="2">
        <v>0</v>
      </c>
      <c r="FH191" s="2">
        <v>1</v>
      </c>
      <c r="FI191" s="2">
        <v>0</v>
      </c>
      <c r="FJ191" s="2">
        <v>1</v>
      </c>
      <c r="FK191" s="2">
        <v>0</v>
      </c>
      <c r="FL191" s="2">
        <v>1</v>
      </c>
      <c r="FM191" s="2">
        <v>0</v>
      </c>
      <c r="FN191" s="2">
        <v>1</v>
      </c>
      <c r="FO191" s="2">
        <v>0</v>
      </c>
      <c r="FP191" s="2">
        <v>0</v>
      </c>
      <c r="FQ191" s="2">
        <v>1</v>
      </c>
      <c r="FR191" s="2">
        <v>0</v>
      </c>
      <c r="FS191" s="2">
        <v>1</v>
      </c>
      <c r="FT191" s="2">
        <v>0</v>
      </c>
      <c r="FU191" s="2">
        <v>1</v>
      </c>
      <c r="FV191" s="2">
        <v>1</v>
      </c>
      <c r="FW191" s="2">
        <v>0</v>
      </c>
      <c r="FX191" s="2">
        <v>1</v>
      </c>
      <c r="FY191" s="2">
        <v>0</v>
      </c>
      <c r="FZ191" s="2"/>
      <c r="GA191" s="2">
        <v>3</v>
      </c>
      <c r="GB191" s="2">
        <v>3</v>
      </c>
      <c r="GC191" s="2">
        <v>2</v>
      </c>
      <c r="GD191" s="2">
        <v>1</v>
      </c>
      <c r="GE191" s="2">
        <v>2</v>
      </c>
      <c r="GG191" s="2">
        <v>2</v>
      </c>
      <c r="GH191" s="2">
        <v>2</v>
      </c>
      <c r="GI191" s="2">
        <v>2</v>
      </c>
      <c r="GJ191" s="2">
        <v>0</v>
      </c>
      <c r="GK191" s="2">
        <v>1</v>
      </c>
      <c r="GM191" s="2">
        <f t="shared" si="0"/>
        <v>11</v>
      </c>
      <c r="GN191" s="2">
        <f t="shared" si="1"/>
        <v>7</v>
      </c>
      <c r="GO191" s="2"/>
      <c r="GP191" s="2">
        <v>4</v>
      </c>
      <c r="GQ191" s="2">
        <v>1</v>
      </c>
      <c r="GR191" s="2">
        <v>2</v>
      </c>
      <c r="GS191" s="2">
        <v>0</v>
      </c>
      <c r="GU191" s="2">
        <v>2</v>
      </c>
      <c r="GV191" s="2">
        <v>3</v>
      </c>
      <c r="GW191" s="2">
        <v>3</v>
      </c>
      <c r="GY191" s="2">
        <v>4</v>
      </c>
      <c r="GZ191" s="2">
        <v>0</v>
      </c>
      <c r="HA191" s="2">
        <v>1</v>
      </c>
      <c r="HB191" s="2">
        <v>0</v>
      </c>
      <c r="HD191" s="2">
        <v>2</v>
      </c>
      <c r="HE191" s="2">
        <v>3</v>
      </c>
      <c r="HF191" s="2">
        <v>3</v>
      </c>
      <c r="HH191" s="2">
        <f t="shared" si="2"/>
        <v>15</v>
      </c>
      <c r="HI191" s="2">
        <f t="shared" si="3"/>
        <v>13</v>
      </c>
      <c r="HJ191" s="2"/>
      <c r="HK191" s="2">
        <v>10</v>
      </c>
      <c r="HL191" s="2">
        <v>10</v>
      </c>
      <c r="HM191" s="2"/>
      <c r="HN191" s="2"/>
    </row>
    <row r="192" spans="1:222" ht="15.75" customHeight="1" x14ac:dyDescent="0.2">
      <c r="A192" s="3" t="e">
        <f>VLOOKUP(B192,#REF!,1,FALSE)</f>
        <v>#REF!</v>
      </c>
      <c r="B192" s="3">
        <v>44504.482567071762</v>
      </c>
      <c r="C192" s="2">
        <v>251</v>
      </c>
      <c r="D192" s="2" t="s">
        <v>185</v>
      </c>
      <c r="E192" s="2">
        <v>0</v>
      </c>
      <c r="F192" s="2" t="s">
        <v>687</v>
      </c>
      <c r="G192" s="2">
        <v>0.5</v>
      </c>
      <c r="H192" s="2">
        <v>0.5</v>
      </c>
      <c r="I192" s="2">
        <v>1</v>
      </c>
      <c r="J192" s="2">
        <v>3</v>
      </c>
      <c r="K192" s="2">
        <v>0</v>
      </c>
      <c r="L192" s="2">
        <v>9</v>
      </c>
      <c r="M192" s="2" t="s">
        <v>213</v>
      </c>
      <c r="N192" s="2">
        <v>3</v>
      </c>
      <c r="O192" s="2">
        <v>4</v>
      </c>
      <c r="P192" s="2">
        <v>0</v>
      </c>
      <c r="Q192" s="2">
        <v>0</v>
      </c>
      <c r="R192" s="2">
        <v>3</v>
      </c>
      <c r="S192" s="2">
        <v>-1</v>
      </c>
      <c r="T192" s="2">
        <v>-1</v>
      </c>
      <c r="U192" s="2">
        <v>-1</v>
      </c>
      <c r="V192" s="2">
        <v>-1</v>
      </c>
      <c r="W192" s="2">
        <v>-1</v>
      </c>
      <c r="X192" s="2"/>
      <c r="Y192" s="2">
        <v>-1</v>
      </c>
      <c r="Z192" s="2">
        <v>0</v>
      </c>
      <c r="AA192" s="2">
        <v>1</v>
      </c>
      <c r="AB192" s="2">
        <v>4</v>
      </c>
      <c r="AC192" s="2">
        <v>1</v>
      </c>
      <c r="AD192" s="2">
        <v>4</v>
      </c>
      <c r="AE192" s="2">
        <v>4</v>
      </c>
      <c r="AF192" s="2">
        <v>4</v>
      </c>
      <c r="AG192" s="2">
        <v>3</v>
      </c>
      <c r="AH192" s="2">
        <v>3</v>
      </c>
      <c r="AI192" s="2">
        <v>3</v>
      </c>
      <c r="AJ192" s="2">
        <v>3</v>
      </c>
      <c r="AK192" s="2">
        <v>3</v>
      </c>
      <c r="AL192" s="2">
        <v>2</v>
      </c>
      <c r="AM192" s="2">
        <v>4</v>
      </c>
      <c r="AN192" s="2">
        <v>4</v>
      </c>
      <c r="AO192" s="2">
        <v>4</v>
      </c>
      <c r="AP192" s="2">
        <v>3</v>
      </c>
      <c r="AQ192" s="2">
        <v>3</v>
      </c>
      <c r="AR192" s="2">
        <v>2</v>
      </c>
      <c r="AS192" s="2">
        <v>1</v>
      </c>
      <c r="AT192" s="2">
        <v>0</v>
      </c>
      <c r="AU192" s="2">
        <v>0</v>
      </c>
      <c r="AV192" s="2"/>
      <c r="AW192" s="2">
        <v>1</v>
      </c>
      <c r="AX192" s="2">
        <v>0</v>
      </c>
      <c r="AY192" s="2">
        <v>1</v>
      </c>
      <c r="AZ192" s="2">
        <v>3</v>
      </c>
      <c r="BA192" s="2">
        <v>3</v>
      </c>
      <c r="BB192" s="2">
        <v>4</v>
      </c>
      <c r="BC192" s="2">
        <v>3</v>
      </c>
      <c r="BD192" s="2">
        <v>4</v>
      </c>
      <c r="BE192" s="2">
        <v>1</v>
      </c>
      <c r="BF192" s="2">
        <v>1</v>
      </c>
      <c r="BG192" s="2">
        <v>1</v>
      </c>
      <c r="BH192" s="2">
        <v>1</v>
      </c>
      <c r="BI192" s="2"/>
      <c r="BJ192" s="2">
        <v>0</v>
      </c>
      <c r="BK192" s="2">
        <v>1</v>
      </c>
      <c r="BL192" s="2">
        <v>0</v>
      </c>
      <c r="BM192" s="2">
        <v>3</v>
      </c>
      <c r="BN192" s="2">
        <v>3</v>
      </c>
      <c r="BO192" s="2">
        <v>5</v>
      </c>
      <c r="BP192" s="2" t="s">
        <v>688</v>
      </c>
      <c r="BQ192" s="2" t="s">
        <v>258</v>
      </c>
      <c r="BR192" s="2" t="s">
        <v>258</v>
      </c>
      <c r="BS192" s="2" t="s">
        <v>262</v>
      </c>
      <c r="BT192" s="2" t="s">
        <v>258</v>
      </c>
      <c r="BU192" s="2"/>
      <c r="BV192" s="2" t="s">
        <v>689</v>
      </c>
      <c r="BW192" s="2" t="s">
        <v>690</v>
      </c>
      <c r="BX192" s="2" t="s">
        <v>191</v>
      </c>
      <c r="BY192" s="2" t="s">
        <v>191</v>
      </c>
      <c r="BZ192" s="2" t="s">
        <v>191</v>
      </c>
      <c r="CA192" s="2" t="s">
        <v>191</v>
      </c>
      <c r="CB192" s="2" t="s">
        <v>191</v>
      </c>
      <c r="CC192" s="2" t="s">
        <v>191</v>
      </c>
      <c r="CD192" s="2" t="s">
        <v>191</v>
      </c>
      <c r="CE192" s="2" t="s">
        <v>191</v>
      </c>
      <c r="CF192" s="2" t="s">
        <v>191</v>
      </c>
      <c r="CG192" s="2" t="s">
        <v>191</v>
      </c>
      <c r="CH192" s="2" t="s">
        <v>188</v>
      </c>
      <c r="CI192" s="2" t="s">
        <v>191</v>
      </c>
      <c r="CJ192" s="2" t="s">
        <v>191</v>
      </c>
      <c r="CK192" s="2" t="s">
        <v>191</v>
      </c>
      <c r="CL192" s="2" t="s">
        <v>191</v>
      </c>
      <c r="CM192" s="2" t="s">
        <v>192</v>
      </c>
      <c r="CN192" s="2" t="s">
        <v>192</v>
      </c>
      <c r="CO192" s="2" t="s">
        <v>192</v>
      </c>
      <c r="CP192" s="2" t="s">
        <v>192</v>
      </c>
      <c r="CQ192" s="2" t="s">
        <v>192</v>
      </c>
      <c r="CR192" s="2" t="s">
        <v>192</v>
      </c>
      <c r="CS192" s="2" t="s">
        <v>192</v>
      </c>
      <c r="CT192" s="2" t="s">
        <v>192</v>
      </c>
      <c r="CU192" s="2" t="s">
        <v>192</v>
      </c>
      <c r="CV192" s="2" t="s">
        <v>192</v>
      </c>
      <c r="CW192" s="2" t="s">
        <v>192</v>
      </c>
      <c r="CX192" s="2" t="s">
        <v>192</v>
      </c>
      <c r="CY192" s="2" t="s">
        <v>192</v>
      </c>
      <c r="CZ192" s="2" t="s">
        <v>192</v>
      </c>
      <c r="DA192" s="2" t="s">
        <v>192</v>
      </c>
      <c r="DB192" s="2" t="s">
        <v>192</v>
      </c>
      <c r="DC192" s="2" t="s">
        <v>192</v>
      </c>
      <c r="DD192" s="2" t="s">
        <v>192</v>
      </c>
      <c r="DE192" s="2" t="s">
        <v>192</v>
      </c>
      <c r="DF192" s="2" t="s">
        <v>192</v>
      </c>
      <c r="DG192" s="2" t="s">
        <v>196</v>
      </c>
      <c r="DH192" s="2" t="s">
        <v>196</v>
      </c>
      <c r="DI192" s="2" t="s">
        <v>196</v>
      </c>
      <c r="DJ192" s="2" t="s">
        <v>196</v>
      </c>
      <c r="DK192" s="2" t="s">
        <v>196</v>
      </c>
      <c r="DL192" s="2" t="s">
        <v>196</v>
      </c>
      <c r="DM192" s="2" t="s">
        <v>196</v>
      </c>
      <c r="DN192" s="2" t="s">
        <v>194</v>
      </c>
      <c r="DO192" s="2" t="s">
        <v>196</v>
      </c>
      <c r="DP192" s="2" t="s">
        <v>194</v>
      </c>
      <c r="DQ192" s="2" t="s">
        <v>196</v>
      </c>
      <c r="DR192" s="2" t="s">
        <v>196</v>
      </c>
      <c r="DS192" s="2" t="s">
        <v>222</v>
      </c>
      <c r="DT192" s="2" t="s">
        <v>199</v>
      </c>
      <c r="DU192" s="2" t="s">
        <v>222</v>
      </c>
      <c r="DV192" s="2" t="s">
        <v>199</v>
      </c>
      <c r="DW192" s="2" t="s">
        <v>199</v>
      </c>
      <c r="DX192" s="2" t="s">
        <v>199</v>
      </c>
      <c r="DY192" s="2" t="s">
        <v>199</v>
      </c>
      <c r="DZ192" s="2"/>
      <c r="EA192" s="2">
        <v>1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1</v>
      </c>
      <c r="EI192" s="2">
        <v>0</v>
      </c>
      <c r="EJ192" s="2">
        <v>1</v>
      </c>
      <c r="EK192" s="2">
        <v>0</v>
      </c>
      <c r="EL192" s="2">
        <v>1</v>
      </c>
      <c r="EM192" s="2">
        <v>0</v>
      </c>
      <c r="EN192" s="2">
        <v>1</v>
      </c>
      <c r="EO192" s="2">
        <v>0</v>
      </c>
      <c r="EP192" s="2">
        <v>0</v>
      </c>
      <c r="EQ192" s="2">
        <v>1</v>
      </c>
      <c r="ER192" s="2">
        <v>1</v>
      </c>
      <c r="ES192" s="2">
        <v>0</v>
      </c>
      <c r="ET192" s="2">
        <v>1</v>
      </c>
      <c r="EU192" s="2">
        <v>0</v>
      </c>
      <c r="EV192" s="2">
        <v>1</v>
      </c>
      <c r="EW192" s="2">
        <v>0</v>
      </c>
      <c r="EX192" s="2">
        <v>0</v>
      </c>
      <c r="EY192" s="2">
        <v>1</v>
      </c>
      <c r="EZ192" s="2">
        <v>0</v>
      </c>
      <c r="FA192" s="2">
        <v>1</v>
      </c>
      <c r="FB192" s="2">
        <v>0</v>
      </c>
      <c r="FC192" s="2">
        <v>1</v>
      </c>
      <c r="FD192" s="2">
        <v>0</v>
      </c>
      <c r="FE192" s="2">
        <v>0</v>
      </c>
      <c r="FF192" s="2">
        <v>1</v>
      </c>
      <c r="FG192" s="2">
        <v>0</v>
      </c>
      <c r="FH192" s="2">
        <v>1</v>
      </c>
      <c r="FI192" s="2">
        <v>0</v>
      </c>
      <c r="FJ192" s="2">
        <v>1</v>
      </c>
      <c r="FK192" s="2">
        <v>0</v>
      </c>
      <c r="FL192" s="2">
        <v>1</v>
      </c>
      <c r="FM192" s="2">
        <v>0</v>
      </c>
      <c r="FN192" s="2">
        <v>1</v>
      </c>
      <c r="FO192" s="2">
        <v>0</v>
      </c>
      <c r="FP192" s="2">
        <v>1</v>
      </c>
      <c r="FQ192" s="2">
        <v>0</v>
      </c>
      <c r="FR192" s="2">
        <v>1</v>
      </c>
      <c r="FS192" s="2">
        <v>0</v>
      </c>
      <c r="FT192" s="2">
        <v>1</v>
      </c>
      <c r="FU192" s="2">
        <v>0</v>
      </c>
      <c r="FV192" s="2">
        <v>1</v>
      </c>
      <c r="FW192" s="2">
        <v>0</v>
      </c>
      <c r="FX192" s="2">
        <v>1</v>
      </c>
      <c r="FY192" s="2">
        <v>0</v>
      </c>
      <c r="FZ192" s="2"/>
      <c r="GA192" s="2">
        <v>4</v>
      </c>
      <c r="GB192" s="2">
        <v>4</v>
      </c>
      <c r="GC192" s="2">
        <v>4</v>
      </c>
      <c r="GD192" s="2">
        <v>3</v>
      </c>
      <c r="GE192" s="2">
        <v>3</v>
      </c>
      <c r="GG192" s="2">
        <v>3</v>
      </c>
      <c r="GH192" s="2">
        <v>3</v>
      </c>
      <c r="GI192" s="2">
        <v>4</v>
      </c>
      <c r="GJ192" s="2">
        <v>3</v>
      </c>
      <c r="GK192" s="2">
        <v>4</v>
      </c>
      <c r="GM192" s="2">
        <f t="shared" si="0"/>
        <v>18</v>
      </c>
      <c r="GN192" s="2">
        <f t="shared" si="1"/>
        <v>17</v>
      </c>
      <c r="GO192" s="2"/>
      <c r="GP192" s="2">
        <v>2</v>
      </c>
      <c r="GQ192" s="2">
        <v>1</v>
      </c>
      <c r="GR192" s="2">
        <v>0</v>
      </c>
      <c r="GS192" s="2">
        <v>0</v>
      </c>
      <c r="GU192" s="2">
        <v>1</v>
      </c>
      <c r="GV192" s="2">
        <v>0</v>
      </c>
      <c r="GW192" s="2">
        <v>1</v>
      </c>
      <c r="GY192" s="2">
        <v>1</v>
      </c>
      <c r="GZ192" s="2">
        <v>1</v>
      </c>
      <c r="HA192" s="2">
        <v>1</v>
      </c>
      <c r="HB192" s="2">
        <v>1</v>
      </c>
      <c r="HD192" s="2">
        <v>0</v>
      </c>
      <c r="HE192" s="2">
        <v>1</v>
      </c>
      <c r="HF192" s="2">
        <v>0</v>
      </c>
      <c r="HH192" s="2">
        <f t="shared" si="2"/>
        <v>5</v>
      </c>
      <c r="HI192" s="2">
        <f t="shared" si="3"/>
        <v>5</v>
      </c>
      <c r="HJ192" s="2"/>
      <c r="HK192" s="2">
        <v>3</v>
      </c>
      <c r="HL192" s="2">
        <v>5</v>
      </c>
      <c r="HM192" s="2"/>
      <c r="HN192" s="2"/>
    </row>
    <row r="193" spans="1:222" ht="15.75" customHeight="1" x14ac:dyDescent="0.2">
      <c r="A193" s="3" t="e">
        <f>VLOOKUP(B193,#REF!,1,FALSE)</f>
        <v>#REF!</v>
      </c>
      <c r="B193" s="3">
        <v>44505.40865759259</v>
      </c>
      <c r="C193" s="2">
        <v>252</v>
      </c>
      <c r="D193" s="2" t="s">
        <v>185</v>
      </c>
      <c r="E193" s="2">
        <v>0</v>
      </c>
      <c r="F193" s="2" t="s">
        <v>232</v>
      </c>
      <c r="G193" s="2">
        <v>15</v>
      </c>
      <c r="H193" s="2">
        <v>0.5</v>
      </c>
      <c r="I193" s="2">
        <v>1</v>
      </c>
      <c r="J193" s="2">
        <v>5</v>
      </c>
      <c r="K193" s="2">
        <v>1</v>
      </c>
      <c r="L193" s="2">
        <v>5</v>
      </c>
      <c r="M193" s="2" t="s">
        <v>187</v>
      </c>
      <c r="N193" s="2">
        <v>4</v>
      </c>
      <c r="O193" s="2">
        <v>2</v>
      </c>
      <c r="P193" s="2">
        <v>0</v>
      </c>
      <c r="Q193" s="2">
        <v>0</v>
      </c>
      <c r="R193" s="2">
        <v>3</v>
      </c>
      <c r="S193" s="2">
        <v>1</v>
      </c>
      <c r="T193" s="2">
        <v>-1</v>
      </c>
      <c r="U193" s="2">
        <v>0</v>
      </c>
      <c r="V193" s="2">
        <v>0</v>
      </c>
      <c r="W193" s="2">
        <v>0</v>
      </c>
      <c r="X193" s="2"/>
      <c r="Y193" s="2">
        <v>-1</v>
      </c>
      <c r="Z193" s="2">
        <v>1</v>
      </c>
      <c r="AA193" s="2">
        <v>1</v>
      </c>
      <c r="AB193" s="2">
        <v>1</v>
      </c>
      <c r="AC193" s="2">
        <v>1</v>
      </c>
      <c r="AD193" s="2">
        <v>2</v>
      </c>
      <c r="AE193" s="2">
        <v>2</v>
      </c>
      <c r="AF193" s="2">
        <v>2</v>
      </c>
      <c r="AG193" s="2">
        <v>2</v>
      </c>
      <c r="AH193" s="2">
        <v>2</v>
      </c>
      <c r="AI193" s="2">
        <v>2</v>
      </c>
      <c r="AJ193" s="2">
        <v>2</v>
      </c>
      <c r="AK193" s="2">
        <v>2</v>
      </c>
      <c r="AL193" s="2">
        <v>2</v>
      </c>
      <c r="AM193" s="2">
        <v>4</v>
      </c>
      <c r="AN193" s="2">
        <v>4</v>
      </c>
      <c r="AO193" s="2">
        <v>4</v>
      </c>
      <c r="AP193" s="2">
        <v>4</v>
      </c>
      <c r="AQ193" s="2">
        <v>4</v>
      </c>
      <c r="AR193" s="2">
        <v>3</v>
      </c>
      <c r="AS193" s="2">
        <v>1</v>
      </c>
      <c r="AT193" s="2">
        <v>1</v>
      </c>
      <c r="AU193" s="2">
        <v>1</v>
      </c>
      <c r="AV193" s="2"/>
      <c r="AW193" s="2">
        <v>1</v>
      </c>
      <c r="AX193" s="2">
        <v>3</v>
      </c>
      <c r="AY193" s="2"/>
      <c r="AZ193" s="2">
        <v>4</v>
      </c>
      <c r="BA193" s="2">
        <v>4</v>
      </c>
      <c r="BB193" s="2">
        <v>4</v>
      </c>
      <c r="BC193" s="2">
        <v>4</v>
      </c>
      <c r="BD193" s="2">
        <v>4</v>
      </c>
      <c r="BE193" s="2">
        <v>3</v>
      </c>
      <c r="BF193" s="2">
        <v>1</v>
      </c>
      <c r="BG193" s="2">
        <v>1</v>
      </c>
      <c r="BH193" s="2">
        <v>1</v>
      </c>
      <c r="BI193" s="2"/>
      <c r="BJ193" s="2">
        <v>1</v>
      </c>
      <c r="BK193" s="2">
        <v>1</v>
      </c>
      <c r="BL193" s="2"/>
      <c r="BM193" s="2">
        <v>7</v>
      </c>
      <c r="BN193" s="2">
        <v>8</v>
      </c>
      <c r="BO193" s="2">
        <v>8</v>
      </c>
      <c r="BP193" s="2"/>
      <c r="BQ193" s="2"/>
      <c r="BR193" s="2"/>
      <c r="BS193" s="2"/>
      <c r="BT193" s="2"/>
      <c r="BU193" s="2"/>
      <c r="BV193" s="2"/>
      <c r="BW193" s="2"/>
      <c r="BX193" s="2" t="s">
        <v>191</v>
      </c>
      <c r="BY193" s="2" t="s">
        <v>191</v>
      </c>
      <c r="BZ193" s="2" t="s">
        <v>191</v>
      </c>
      <c r="CA193" s="2" t="s">
        <v>191</v>
      </c>
      <c r="CB193" s="2" t="s">
        <v>190</v>
      </c>
      <c r="CC193" s="2" t="s">
        <v>191</v>
      </c>
      <c r="CD193" s="2" t="s">
        <v>188</v>
      </c>
      <c r="CE193" s="2" t="s">
        <v>191</v>
      </c>
      <c r="CF193" s="2" t="s">
        <v>191</v>
      </c>
      <c r="CG193" s="2" t="s">
        <v>191</v>
      </c>
      <c r="CH193" s="2" t="s">
        <v>190</v>
      </c>
      <c r="CI193" s="2" t="s">
        <v>188</v>
      </c>
      <c r="CJ193" s="2" t="s">
        <v>191</v>
      </c>
      <c r="CK193" s="2" t="s">
        <v>191</v>
      </c>
      <c r="CL193" s="2" t="s">
        <v>191</v>
      </c>
      <c r="CM193" s="2" t="s">
        <v>192</v>
      </c>
      <c r="CN193" s="2" t="s">
        <v>192</v>
      </c>
      <c r="CO193" s="2" t="s">
        <v>192</v>
      </c>
      <c r="CP193" s="2" t="s">
        <v>192</v>
      </c>
      <c r="CQ193" s="2" t="s">
        <v>192</v>
      </c>
      <c r="CR193" s="2" t="s">
        <v>193</v>
      </c>
      <c r="CS193" s="2" t="s">
        <v>193</v>
      </c>
      <c r="CT193" s="2" t="s">
        <v>193</v>
      </c>
      <c r="CU193" s="2" t="s">
        <v>193</v>
      </c>
      <c r="CV193" s="2" t="s">
        <v>192</v>
      </c>
      <c r="CW193" s="2" t="s">
        <v>193</v>
      </c>
      <c r="CX193" s="2" t="s">
        <v>193</v>
      </c>
      <c r="CY193" s="2" t="s">
        <v>193</v>
      </c>
      <c r="CZ193" s="2" t="s">
        <v>193</v>
      </c>
      <c r="DA193" s="2" t="s">
        <v>193</v>
      </c>
      <c r="DB193" s="2" t="s">
        <v>193</v>
      </c>
      <c r="DC193" s="2" t="s">
        <v>193</v>
      </c>
      <c r="DD193" s="2" t="s">
        <v>192</v>
      </c>
      <c r="DE193" s="2" t="s">
        <v>193</v>
      </c>
      <c r="DF193" s="2" t="s">
        <v>192</v>
      </c>
      <c r="DG193" s="2" t="s">
        <v>194</v>
      </c>
      <c r="DH193" s="2" t="s">
        <v>195</v>
      </c>
      <c r="DI193" s="2" t="s">
        <v>195</v>
      </c>
      <c r="DJ193" s="2" t="s">
        <v>194</v>
      </c>
      <c r="DK193" s="2" t="s">
        <v>194</v>
      </c>
      <c r="DL193" s="2" t="s">
        <v>194</v>
      </c>
      <c r="DM193" s="2" t="s">
        <v>194</v>
      </c>
      <c r="DN193" s="2" t="s">
        <v>196</v>
      </c>
      <c r="DO193" s="2" t="s">
        <v>196</v>
      </c>
      <c r="DP193" s="2" t="s">
        <v>194</v>
      </c>
      <c r="DQ193" s="2" t="s">
        <v>194</v>
      </c>
      <c r="DR193" s="2" t="s">
        <v>194</v>
      </c>
      <c r="DS193" s="2" t="s">
        <v>197</v>
      </c>
      <c r="DT193" s="2" t="s">
        <v>198</v>
      </c>
      <c r="DU193" s="2" t="s">
        <v>199</v>
      </c>
      <c r="DV193" s="2" t="s">
        <v>197</v>
      </c>
      <c r="DW193" s="2" t="s">
        <v>199</v>
      </c>
      <c r="DX193" s="2" t="s">
        <v>199</v>
      </c>
      <c r="DY193" s="2" t="s">
        <v>197</v>
      </c>
      <c r="DZ193" s="2"/>
      <c r="EA193" s="2">
        <v>1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1</v>
      </c>
      <c r="EJ193" s="2">
        <v>1</v>
      </c>
      <c r="EK193" s="2">
        <v>0</v>
      </c>
      <c r="EL193" s="2">
        <v>0</v>
      </c>
      <c r="EM193" s="2">
        <v>1</v>
      </c>
      <c r="EN193" s="2">
        <v>1</v>
      </c>
      <c r="EO193" s="2">
        <v>0</v>
      </c>
      <c r="EP193" s="2">
        <v>1</v>
      </c>
      <c r="EQ193" s="2">
        <v>0</v>
      </c>
      <c r="ER193" s="2">
        <v>1</v>
      </c>
      <c r="ES193" s="2">
        <v>0</v>
      </c>
      <c r="ET193" s="2">
        <v>0</v>
      </c>
      <c r="EU193" s="2">
        <v>1</v>
      </c>
      <c r="EV193" s="2">
        <v>1</v>
      </c>
      <c r="EW193" s="2">
        <v>0</v>
      </c>
      <c r="EX193" s="2">
        <v>0</v>
      </c>
      <c r="EY193" s="2">
        <v>1</v>
      </c>
      <c r="EZ193" s="2">
        <v>1</v>
      </c>
      <c r="FA193" s="2">
        <v>0</v>
      </c>
      <c r="FB193" s="2">
        <v>1</v>
      </c>
      <c r="FC193" s="2">
        <v>0</v>
      </c>
      <c r="FD193" s="2">
        <v>0</v>
      </c>
      <c r="FE193" s="2">
        <v>0</v>
      </c>
      <c r="FF193" s="2">
        <v>1</v>
      </c>
      <c r="FG193" s="2">
        <v>0</v>
      </c>
      <c r="FH193" s="2">
        <v>1</v>
      </c>
      <c r="FI193" s="2">
        <v>0</v>
      </c>
      <c r="FJ193" s="2">
        <v>1</v>
      </c>
      <c r="FK193" s="2">
        <v>0</v>
      </c>
      <c r="FL193" s="2">
        <v>1</v>
      </c>
      <c r="FM193" s="2">
        <v>0</v>
      </c>
      <c r="FN193" s="2">
        <v>0</v>
      </c>
      <c r="FO193" s="2">
        <v>1</v>
      </c>
      <c r="FP193" s="2">
        <v>0</v>
      </c>
      <c r="FQ193" s="2">
        <v>1</v>
      </c>
      <c r="FR193" s="2">
        <v>0</v>
      </c>
      <c r="FS193" s="2">
        <v>1</v>
      </c>
      <c r="FT193" s="2">
        <v>0</v>
      </c>
      <c r="FU193" s="2">
        <v>1</v>
      </c>
      <c r="FV193" s="2">
        <v>1</v>
      </c>
      <c r="FW193" s="2">
        <v>0</v>
      </c>
      <c r="FX193" s="2">
        <v>1</v>
      </c>
      <c r="FY193" s="2">
        <v>0</v>
      </c>
      <c r="FZ193" s="2"/>
      <c r="GA193" s="2">
        <v>4</v>
      </c>
      <c r="GB193" s="2">
        <v>4</v>
      </c>
      <c r="GC193" s="2">
        <v>4</v>
      </c>
      <c r="GD193" s="2">
        <v>4</v>
      </c>
      <c r="GE193" s="2">
        <v>4</v>
      </c>
      <c r="GG193" s="2">
        <v>4</v>
      </c>
      <c r="GH193" s="2">
        <v>4</v>
      </c>
      <c r="GI193" s="2">
        <v>4</v>
      </c>
      <c r="GJ193" s="2">
        <v>4</v>
      </c>
      <c r="GK193" s="2">
        <v>4</v>
      </c>
      <c r="GM193" s="2">
        <f t="shared" si="0"/>
        <v>20</v>
      </c>
      <c r="GN193" s="2">
        <f t="shared" si="1"/>
        <v>20</v>
      </c>
      <c r="GO193" s="2"/>
      <c r="GP193" s="7">
        <v>3</v>
      </c>
      <c r="GQ193" s="7">
        <v>1</v>
      </c>
      <c r="GR193" s="7">
        <v>1</v>
      </c>
      <c r="GS193" s="7">
        <v>1</v>
      </c>
      <c r="GT193" s="7"/>
      <c r="GU193" s="7">
        <v>1</v>
      </c>
      <c r="GV193" s="7">
        <v>3</v>
      </c>
      <c r="GW193" s="7"/>
      <c r="GX193" s="7"/>
      <c r="GY193" s="7">
        <v>3</v>
      </c>
      <c r="GZ193" s="7">
        <v>1</v>
      </c>
      <c r="HA193" s="7">
        <v>1</v>
      </c>
      <c r="HB193" s="7">
        <v>1</v>
      </c>
      <c r="HC193" s="7"/>
      <c r="HD193" s="7">
        <v>1</v>
      </c>
      <c r="HE193" s="7">
        <v>1</v>
      </c>
      <c r="HF193" s="7"/>
      <c r="HG193" s="7"/>
      <c r="HH193" s="7">
        <f t="shared" si="2"/>
        <v>10</v>
      </c>
      <c r="HI193" s="7">
        <f t="shared" si="3"/>
        <v>8</v>
      </c>
      <c r="HJ193" s="7"/>
      <c r="HK193" s="2">
        <v>8</v>
      </c>
      <c r="HL193" s="2">
        <v>8</v>
      </c>
      <c r="HM193" s="2"/>
      <c r="HN193" s="2"/>
    </row>
    <row r="194" spans="1:222" ht="15.75" customHeight="1" x14ac:dyDescent="0.2">
      <c r="A194" s="3" t="e">
        <f>VLOOKUP(B194,#REF!,1,FALSE)</f>
        <v>#REF!</v>
      </c>
      <c r="B194" s="3">
        <v>44515.74622552083</v>
      </c>
      <c r="C194" s="2">
        <v>254</v>
      </c>
      <c r="D194" s="2" t="s">
        <v>185</v>
      </c>
      <c r="E194" s="2">
        <v>0</v>
      </c>
      <c r="F194" s="2" t="s">
        <v>691</v>
      </c>
      <c r="G194" s="2">
        <v>2</v>
      </c>
      <c r="H194" s="2">
        <v>0.5</v>
      </c>
      <c r="I194" s="2">
        <v>1</v>
      </c>
      <c r="J194" s="2">
        <v>1</v>
      </c>
      <c r="K194" s="2">
        <v>0</v>
      </c>
      <c r="L194" s="2">
        <v>3</v>
      </c>
      <c r="M194" s="2" t="s">
        <v>187</v>
      </c>
      <c r="N194" s="2">
        <v>2</v>
      </c>
      <c r="O194" s="2">
        <v>2</v>
      </c>
      <c r="P194" s="2">
        <v>0</v>
      </c>
      <c r="Q194" s="2">
        <v>3</v>
      </c>
      <c r="R194" s="2">
        <v>3</v>
      </c>
      <c r="S194" s="2">
        <v>-1</v>
      </c>
      <c r="T194" s="2">
        <v>0</v>
      </c>
      <c r="U194" s="2">
        <v>1</v>
      </c>
      <c r="V194" s="2">
        <v>-1</v>
      </c>
      <c r="W194" s="2">
        <v>-1</v>
      </c>
      <c r="X194" s="2"/>
      <c r="Y194" s="2">
        <v>1</v>
      </c>
      <c r="Z194" s="2">
        <v>1</v>
      </c>
      <c r="AA194" s="2">
        <v>1</v>
      </c>
      <c r="AB194" s="2">
        <v>1</v>
      </c>
      <c r="AC194" s="2">
        <v>0</v>
      </c>
      <c r="AD194" s="2">
        <v>1</v>
      </c>
      <c r="AE194" s="2">
        <v>4</v>
      </c>
      <c r="AF194" s="2">
        <v>4</v>
      </c>
      <c r="AG194" s="2">
        <v>3</v>
      </c>
      <c r="AH194" s="2">
        <v>2</v>
      </c>
      <c r="AI194" s="2">
        <v>3</v>
      </c>
      <c r="AJ194" s="2">
        <v>3</v>
      </c>
      <c r="AK194" s="2">
        <v>3</v>
      </c>
      <c r="AL194" s="2">
        <v>2</v>
      </c>
      <c r="AM194" s="2">
        <v>3</v>
      </c>
      <c r="AN194" s="2">
        <v>3</v>
      </c>
      <c r="AO194" s="2">
        <v>1</v>
      </c>
      <c r="AP194" s="2">
        <v>2</v>
      </c>
      <c r="AQ194" s="2">
        <v>3</v>
      </c>
      <c r="AR194" s="2">
        <v>1</v>
      </c>
      <c r="AS194" s="2">
        <v>2</v>
      </c>
      <c r="AT194" s="2">
        <v>1</v>
      </c>
      <c r="AU194" s="2">
        <v>2</v>
      </c>
      <c r="AV194" s="2"/>
      <c r="AW194" s="2">
        <v>2</v>
      </c>
      <c r="AX194" s="2">
        <v>1</v>
      </c>
      <c r="AY194" s="2">
        <v>-1</v>
      </c>
      <c r="AZ194" s="2">
        <v>2</v>
      </c>
      <c r="BA194" s="2">
        <v>2</v>
      </c>
      <c r="BB194" s="2">
        <v>2</v>
      </c>
      <c r="BC194" s="2">
        <v>2</v>
      </c>
      <c r="BD194" s="2">
        <v>2</v>
      </c>
      <c r="BE194" s="2">
        <v>1</v>
      </c>
      <c r="BF194" s="2">
        <v>2</v>
      </c>
      <c r="BG194" s="2">
        <v>2</v>
      </c>
      <c r="BH194" s="2">
        <v>2</v>
      </c>
      <c r="BI194" s="2"/>
      <c r="BJ194" s="2">
        <v>2</v>
      </c>
      <c r="BK194" s="2">
        <v>0</v>
      </c>
      <c r="BL194" s="2">
        <v>-1</v>
      </c>
      <c r="BM194" s="2">
        <v>5</v>
      </c>
      <c r="BN194" s="2">
        <v>5</v>
      </c>
      <c r="BO194" s="2">
        <v>3</v>
      </c>
      <c r="BP194" s="2"/>
      <c r="BQ194" s="2"/>
      <c r="BR194" s="2"/>
      <c r="BS194" s="2"/>
      <c r="BT194" s="2"/>
      <c r="BU194" s="2"/>
      <c r="BV194" s="2" t="s">
        <v>692</v>
      </c>
      <c r="BW194" s="2" t="s">
        <v>693</v>
      </c>
      <c r="BX194" s="2" t="s">
        <v>191</v>
      </c>
      <c r="BY194" s="2" t="s">
        <v>191</v>
      </c>
      <c r="BZ194" s="2" t="s">
        <v>191</v>
      </c>
      <c r="CA194" s="2" t="s">
        <v>188</v>
      </c>
      <c r="CB194" s="2" t="s">
        <v>188</v>
      </c>
      <c r="CC194" s="2" t="s">
        <v>191</v>
      </c>
      <c r="CD194" s="2" t="s">
        <v>189</v>
      </c>
      <c r="CE194" s="2" t="s">
        <v>189</v>
      </c>
      <c r="CF194" s="2" t="s">
        <v>188</v>
      </c>
      <c r="CG194" s="2" t="s">
        <v>190</v>
      </c>
      <c r="CH194" s="2" t="s">
        <v>191</v>
      </c>
      <c r="CI194" s="2" t="s">
        <v>188</v>
      </c>
      <c r="CJ194" s="2" t="s">
        <v>188</v>
      </c>
      <c r="CK194" s="2" t="s">
        <v>188</v>
      </c>
      <c r="CL194" s="2" t="s">
        <v>191</v>
      </c>
      <c r="CM194" s="2" t="s">
        <v>192</v>
      </c>
      <c r="CN194" s="2" t="s">
        <v>192</v>
      </c>
      <c r="CO194" s="2" t="s">
        <v>192</v>
      </c>
      <c r="CP194" s="2" t="s">
        <v>192</v>
      </c>
      <c r="CQ194" s="2" t="s">
        <v>192</v>
      </c>
      <c r="CR194" s="2" t="s">
        <v>193</v>
      </c>
      <c r="CS194" s="2" t="s">
        <v>193</v>
      </c>
      <c r="CT194" s="2" t="s">
        <v>192</v>
      </c>
      <c r="CU194" s="2" t="s">
        <v>192</v>
      </c>
      <c r="CV194" s="2" t="s">
        <v>192</v>
      </c>
      <c r="CW194" s="2" t="s">
        <v>192</v>
      </c>
      <c r="CX194" s="2" t="s">
        <v>200</v>
      </c>
      <c r="CY194" s="2" t="s">
        <v>193</v>
      </c>
      <c r="CZ194" s="2" t="s">
        <v>193</v>
      </c>
      <c r="DA194" s="2" t="s">
        <v>193</v>
      </c>
      <c r="DB194" s="2" t="s">
        <v>192</v>
      </c>
      <c r="DC194" s="2" t="s">
        <v>192</v>
      </c>
      <c r="DD194" s="2" t="s">
        <v>192</v>
      </c>
      <c r="DE194" s="2" t="s">
        <v>192</v>
      </c>
      <c r="DF194" s="2" t="s">
        <v>192</v>
      </c>
      <c r="DG194" s="2" t="s">
        <v>195</v>
      </c>
      <c r="DH194" s="2" t="s">
        <v>194</v>
      </c>
      <c r="DI194" s="2" t="s">
        <v>195</v>
      </c>
      <c r="DJ194" s="2" t="s">
        <v>195</v>
      </c>
      <c r="DK194" s="2" t="s">
        <v>194</v>
      </c>
      <c r="DL194" s="2" t="s">
        <v>194</v>
      </c>
      <c r="DM194" s="2" t="s">
        <v>194</v>
      </c>
      <c r="DN194" s="2" t="s">
        <v>194</v>
      </c>
      <c r="DO194" s="2" t="s">
        <v>194</v>
      </c>
      <c r="DP194" s="2" t="s">
        <v>194</v>
      </c>
      <c r="DQ194" s="2" t="s">
        <v>201</v>
      </c>
      <c r="DR194" s="2" t="s">
        <v>201</v>
      </c>
      <c r="DS194" s="2" t="s">
        <v>197</v>
      </c>
      <c r="DT194" s="2" t="s">
        <v>197</v>
      </c>
      <c r="DU194" s="2" t="s">
        <v>198</v>
      </c>
      <c r="DV194" s="2" t="s">
        <v>197</v>
      </c>
      <c r="DW194" s="2" t="s">
        <v>197</v>
      </c>
      <c r="DX194" s="2" t="s">
        <v>198</v>
      </c>
      <c r="DY194" s="2" t="s">
        <v>197</v>
      </c>
      <c r="DZ194" s="2"/>
      <c r="EA194" s="2">
        <v>0</v>
      </c>
      <c r="EB194" s="2">
        <v>0</v>
      </c>
      <c r="EC194" s="2">
        <v>1</v>
      </c>
      <c r="ED194" s="2">
        <v>0</v>
      </c>
      <c r="EE194" s="2">
        <v>0</v>
      </c>
      <c r="EF194" s="2">
        <v>0</v>
      </c>
      <c r="EG194" s="2">
        <v>0</v>
      </c>
      <c r="EH194" s="2">
        <v>1</v>
      </c>
      <c r="EI194" s="2">
        <v>0</v>
      </c>
      <c r="EJ194" s="2">
        <v>1</v>
      </c>
      <c r="EK194" s="2">
        <v>0</v>
      </c>
      <c r="EL194" s="2">
        <v>0</v>
      </c>
      <c r="EM194" s="2">
        <v>1</v>
      </c>
      <c r="EN194" s="2">
        <v>1</v>
      </c>
      <c r="EO194" s="2">
        <v>0</v>
      </c>
      <c r="EP194" s="2">
        <v>1</v>
      </c>
      <c r="EQ194" s="2">
        <v>0</v>
      </c>
      <c r="ER194" s="2">
        <v>0</v>
      </c>
      <c r="ES194" s="2">
        <v>1</v>
      </c>
      <c r="ET194" s="2">
        <v>0</v>
      </c>
      <c r="EU194" s="2">
        <v>1</v>
      </c>
      <c r="EV194" s="2">
        <v>1</v>
      </c>
      <c r="EW194" s="2">
        <v>0</v>
      </c>
      <c r="EX194" s="2">
        <v>0</v>
      </c>
      <c r="EY194" s="2">
        <v>1</v>
      </c>
      <c r="EZ194" s="2">
        <v>1</v>
      </c>
      <c r="FA194" s="2">
        <v>0</v>
      </c>
      <c r="FB194" s="2">
        <v>0</v>
      </c>
      <c r="FC194" s="2">
        <v>1</v>
      </c>
      <c r="FD194" s="2">
        <v>0</v>
      </c>
      <c r="FE194" s="2">
        <v>0</v>
      </c>
      <c r="FF194" s="2">
        <v>1</v>
      </c>
      <c r="FG194" s="2">
        <v>0</v>
      </c>
      <c r="FH194" s="2">
        <v>1</v>
      </c>
      <c r="FI194" s="2">
        <v>0</v>
      </c>
      <c r="FJ194" s="2">
        <v>1</v>
      </c>
      <c r="FK194" s="2">
        <v>0</v>
      </c>
      <c r="FL194" s="2">
        <v>1</v>
      </c>
      <c r="FM194" s="2">
        <v>0</v>
      </c>
      <c r="FN194" s="2">
        <v>1</v>
      </c>
      <c r="FO194" s="2">
        <v>0</v>
      </c>
      <c r="FP194" s="2">
        <v>0</v>
      </c>
      <c r="FQ194" s="2">
        <v>1</v>
      </c>
      <c r="FR194" s="2">
        <v>0</v>
      </c>
      <c r="FS194" s="2">
        <v>1</v>
      </c>
      <c r="FT194" s="2">
        <v>0</v>
      </c>
      <c r="FU194" s="2">
        <v>1</v>
      </c>
      <c r="FV194" s="2">
        <v>1</v>
      </c>
      <c r="FW194" s="2">
        <v>0</v>
      </c>
      <c r="FX194" s="2">
        <v>0</v>
      </c>
      <c r="FY194" s="2">
        <v>1</v>
      </c>
      <c r="FZ194" s="2"/>
      <c r="GA194" s="2">
        <v>3</v>
      </c>
      <c r="GB194" s="2">
        <v>3</v>
      </c>
      <c r="GC194" s="2">
        <v>1</v>
      </c>
      <c r="GD194" s="2">
        <v>2</v>
      </c>
      <c r="GE194" s="2">
        <v>3</v>
      </c>
      <c r="GG194" s="2">
        <v>2</v>
      </c>
      <c r="GH194" s="2">
        <v>2</v>
      </c>
      <c r="GI194" s="2">
        <v>2</v>
      </c>
      <c r="GJ194" s="2">
        <v>2</v>
      </c>
      <c r="GK194" s="2">
        <v>2</v>
      </c>
      <c r="GM194" s="2">
        <f t="shared" si="0"/>
        <v>12</v>
      </c>
      <c r="GN194" s="2">
        <f t="shared" si="1"/>
        <v>10</v>
      </c>
      <c r="GO194" s="2"/>
      <c r="GP194" s="2">
        <v>1</v>
      </c>
      <c r="GQ194" s="2">
        <v>2</v>
      </c>
      <c r="GR194" s="2">
        <v>1</v>
      </c>
      <c r="GS194" s="2">
        <v>2</v>
      </c>
      <c r="GU194" s="2">
        <v>2</v>
      </c>
      <c r="GV194" s="2">
        <v>1</v>
      </c>
      <c r="GW194" s="2">
        <v>-1</v>
      </c>
      <c r="GY194" s="2">
        <v>1</v>
      </c>
      <c r="GZ194" s="2">
        <v>2</v>
      </c>
      <c r="HA194" s="2">
        <v>2</v>
      </c>
      <c r="HB194" s="2">
        <v>2</v>
      </c>
      <c r="HD194" s="2">
        <v>2</v>
      </c>
      <c r="HE194" s="2">
        <v>0</v>
      </c>
      <c r="HF194" s="2">
        <v>-1</v>
      </c>
      <c r="HH194" s="2">
        <f t="shared" si="2"/>
        <v>8</v>
      </c>
      <c r="HI194" s="2">
        <f t="shared" si="3"/>
        <v>8</v>
      </c>
      <c r="HJ194" s="2"/>
      <c r="HK194" s="2">
        <v>5</v>
      </c>
      <c r="HL194" s="2">
        <v>3</v>
      </c>
      <c r="HM194" s="2"/>
      <c r="HN194" s="2"/>
    </row>
    <row r="195" spans="1:222" ht="15.75" customHeight="1" x14ac:dyDescent="0.2">
      <c r="A195" s="3" t="e">
        <f>VLOOKUP(B195,#REF!,1,FALSE)</f>
        <v>#REF!</v>
      </c>
      <c r="B195" s="3">
        <v>44547.477886342589</v>
      </c>
      <c r="C195" s="2">
        <v>255</v>
      </c>
      <c r="D195" s="2" t="s">
        <v>185</v>
      </c>
      <c r="E195" s="2">
        <v>0</v>
      </c>
      <c r="F195" s="2" t="s">
        <v>186</v>
      </c>
      <c r="G195" s="2">
        <v>15</v>
      </c>
      <c r="H195" s="2">
        <v>0.5</v>
      </c>
      <c r="I195" s="2">
        <v>1</v>
      </c>
      <c r="J195" s="2">
        <v>8</v>
      </c>
      <c r="K195" s="2">
        <v>1</v>
      </c>
      <c r="L195" s="2">
        <v>5</v>
      </c>
      <c r="M195" s="2" t="s">
        <v>187</v>
      </c>
      <c r="N195" s="2">
        <v>2</v>
      </c>
      <c r="O195" s="2">
        <v>3</v>
      </c>
      <c r="P195" s="2">
        <v>0</v>
      </c>
      <c r="Q195" s="2">
        <v>3</v>
      </c>
      <c r="R195" s="2">
        <v>2</v>
      </c>
      <c r="S195" s="2">
        <v>1</v>
      </c>
      <c r="T195" s="2">
        <v>1</v>
      </c>
      <c r="U195" s="2">
        <v>1</v>
      </c>
      <c r="V195" s="2">
        <v>0</v>
      </c>
      <c r="W195" s="2">
        <v>0</v>
      </c>
      <c r="X195" s="2"/>
      <c r="Y195" s="2">
        <v>-1</v>
      </c>
      <c r="Z195" s="2">
        <v>1</v>
      </c>
      <c r="AA195" s="2">
        <v>1</v>
      </c>
      <c r="AB195" s="2">
        <v>2</v>
      </c>
      <c r="AC195" s="2">
        <v>0</v>
      </c>
      <c r="AD195" s="2">
        <v>1</v>
      </c>
      <c r="AE195" s="2">
        <v>2</v>
      </c>
      <c r="AF195" s="2">
        <v>-99</v>
      </c>
      <c r="AG195" s="2">
        <v>-3</v>
      </c>
      <c r="AH195" s="2">
        <v>-3</v>
      </c>
      <c r="AI195" s="2">
        <v>-3</v>
      </c>
      <c r="AJ195" s="2">
        <v>1</v>
      </c>
      <c r="AK195" s="2">
        <v>-2</v>
      </c>
      <c r="AL195" s="2">
        <v>-3</v>
      </c>
      <c r="AM195" s="2">
        <v>4</v>
      </c>
      <c r="AN195" s="2">
        <v>3</v>
      </c>
      <c r="AO195" s="2">
        <v>4</v>
      </c>
      <c r="AP195" s="2">
        <v>4</v>
      </c>
      <c r="AQ195" s="2">
        <v>5</v>
      </c>
      <c r="AR195" s="2">
        <v>2</v>
      </c>
      <c r="AS195" s="2">
        <v>2</v>
      </c>
      <c r="AT195" s="2">
        <v>1</v>
      </c>
      <c r="AU195" s="2">
        <v>1</v>
      </c>
      <c r="AV195" s="2"/>
      <c r="AW195" s="2">
        <v>3</v>
      </c>
      <c r="AX195" s="2">
        <v>4</v>
      </c>
      <c r="AY195" s="2">
        <v>-1</v>
      </c>
      <c r="AZ195" s="2">
        <v>1</v>
      </c>
      <c r="BA195" s="2">
        <v>1</v>
      </c>
      <c r="BB195" s="2">
        <v>1</v>
      </c>
      <c r="BC195" s="2">
        <v>5</v>
      </c>
      <c r="BD195" s="2">
        <v>1</v>
      </c>
      <c r="BE195" s="2">
        <v>1</v>
      </c>
      <c r="BF195" s="2">
        <v>3</v>
      </c>
      <c r="BG195" s="2">
        <v>3</v>
      </c>
      <c r="BH195" s="2">
        <v>2</v>
      </c>
      <c r="BI195" s="2"/>
      <c r="BJ195" s="2">
        <v>4</v>
      </c>
      <c r="BK195" s="2">
        <v>4</v>
      </c>
      <c r="BL195" s="2">
        <v>-2</v>
      </c>
      <c r="BM195" s="2">
        <v>5</v>
      </c>
      <c r="BN195" s="2">
        <v>4</v>
      </c>
      <c r="BO195" s="2">
        <v>4</v>
      </c>
      <c r="BP195" s="2"/>
      <c r="BQ195" s="2"/>
      <c r="BR195" s="2"/>
      <c r="BS195" s="2" t="s">
        <v>694</v>
      </c>
      <c r="BT195" s="2"/>
      <c r="BU195" s="2" t="s">
        <v>258</v>
      </c>
      <c r="BV195" s="2" t="s">
        <v>695</v>
      </c>
      <c r="BW195" s="2" t="s">
        <v>696</v>
      </c>
      <c r="BX195" s="2" t="s">
        <v>188</v>
      </c>
      <c r="BY195" s="2" t="s">
        <v>188</v>
      </c>
      <c r="BZ195" s="2" t="s">
        <v>188</v>
      </c>
      <c r="CA195" s="2" t="s">
        <v>188</v>
      </c>
      <c r="CB195" s="2" t="s">
        <v>188</v>
      </c>
      <c r="CC195" s="2" t="s">
        <v>188</v>
      </c>
      <c r="CD195" s="2" t="s">
        <v>191</v>
      </c>
      <c r="CE195" s="2" t="s">
        <v>191</v>
      </c>
      <c r="CF195" s="2" t="s">
        <v>188</v>
      </c>
      <c r="CG195" s="2" t="s">
        <v>191</v>
      </c>
      <c r="CH195" s="2" t="s">
        <v>188</v>
      </c>
      <c r="CI195" s="2" t="s">
        <v>190</v>
      </c>
      <c r="CJ195" s="2" t="s">
        <v>189</v>
      </c>
      <c r="CK195" s="2" t="s">
        <v>189</v>
      </c>
      <c r="CL195" s="2" t="s">
        <v>188</v>
      </c>
      <c r="CM195" s="2" t="s">
        <v>200</v>
      </c>
      <c r="CN195" s="2" t="s">
        <v>192</v>
      </c>
      <c r="CO195" s="2" t="s">
        <v>200</v>
      </c>
      <c r="CP195" s="2" t="s">
        <v>200</v>
      </c>
      <c r="CQ195" s="2" t="s">
        <v>193</v>
      </c>
      <c r="CR195" s="2" t="s">
        <v>192</v>
      </c>
      <c r="CS195" s="2" t="s">
        <v>193</v>
      </c>
      <c r="CT195" s="2" t="s">
        <v>192</v>
      </c>
      <c r="CU195" s="2" t="s">
        <v>192</v>
      </c>
      <c r="CV195" s="2" t="s">
        <v>200</v>
      </c>
      <c r="CW195" s="2" t="s">
        <v>193</v>
      </c>
      <c r="CX195" s="2" t="s">
        <v>200</v>
      </c>
      <c r="CY195" s="2" t="s">
        <v>192</v>
      </c>
      <c r="CZ195" s="2" t="s">
        <v>193</v>
      </c>
      <c r="DA195" s="2" t="s">
        <v>200</v>
      </c>
      <c r="DB195" s="2" t="s">
        <v>200</v>
      </c>
      <c r="DC195" s="2" t="s">
        <v>192</v>
      </c>
      <c r="DD195" s="2" t="s">
        <v>200</v>
      </c>
      <c r="DE195" s="2" t="s">
        <v>192</v>
      </c>
      <c r="DF195" s="2" t="s">
        <v>200</v>
      </c>
      <c r="DG195" s="2" t="s">
        <v>195</v>
      </c>
      <c r="DH195" s="2" t="s">
        <v>196</v>
      </c>
      <c r="DI195" s="2" t="s">
        <v>196</v>
      </c>
      <c r="DJ195" s="2" t="s">
        <v>196</v>
      </c>
      <c r="DK195" s="2" t="s">
        <v>194</v>
      </c>
      <c r="DL195" s="2" t="s">
        <v>194</v>
      </c>
      <c r="DM195" s="2" t="s">
        <v>195</v>
      </c>
      <c r="DN195" s="2" t="s">
        <v>220</v>
      </c>
      <c r="DO195" s="2" t="s">
        <v>194</v>
      </c>
      <c r="DP195" s="2" t="s">
        <v>201</v>
      </c>
      <c r="DQ195" s="2" t="s">
        <v>196</v>
      </c>
      <c r="DR195" s="2" t="s">
        <v>201</v>
      </c>
      <c r="DS195" s="2" t="s">
        <v>197</v>
      </c>
      <c r="DT195" s="2" t="s">
        <v>197</v>
      </c>
      <c r="DU195" s="2" t="s">
        <v>199</v>
      </c>
      <c r="DV195" s="2" t="s">
        <v>198</v>
      </c>
      <c r="DW195" s="2" t="s">
        <v>222</v>
      </c>
      <c r="DX195" s="2" t="s">
        <v>222</v>
      </c>
      <c r="DY195" s="2" t="s">
        <v>197</v>
      </c>
      <c r="DZ195" s="2"/>
      <c r="EA195" s="2">
        <v>0</v>
      </c>
      <c r="EB195" s="2">
        <v>0</v>
      </c>
      <c r="EC195" s="2">
        <v>1</v>
      </c>
      <c r="ED195" s="2">
        <v>0</v>
      </c>
      <c r="EE195" s="2">
        <v>0</v>
      </c>
      <c r="EF195" s="2">
        <v>0</v>
      </c>
      <c r="EG195" s="2">
        <v>0</v>
      </c>
      <c r="EH195" s="2">
        <v>1</v>
      </c>
      <c r="EI195" s="2">
        <v>1</v>
      </c>
      <c r="EJ195" s="2">
        <v>0</v>
      </c>
      <c r="EK195" s="2">
        <v>0</v>
      </c>
      <c r="EL195" s="2">
        <v>1</v>
      </c>
      <c r="EM195" s="2">
        <v>1</v>
      </c>
      <c r="EN195" s="2">
        <v>0</v>
      </c>
      <c r="EO195" s="2">
        <v>0</v>
      </c>
      <c r="EP195" s="2">
        <v>1</v>
      </c>
      <c r="EQ195" s="2">
        <v>0</v>
      </c>
      <c r="ER195" s="2">
        <v>1</v>
      </c>
      <c r="ES195" s="2">
        <v>1</v>
      </c>
      <c r="ET195" s="2">
        <v>1</v>
      </c>
      <c r="EU195" s="2">
        <v>1</v>
      </c>
      <c r="EV195" s="2">
        <v>1</v>
      </c>
      <c r="EW195" s="2">
        <v>1</v>
      </c>
      <c r="EX195" s="2">
        <v>1</v>
      </c>
      <c r="EY195" s="2">
        <v>1</v>
      </c>
      <c r="EZ195" s="2">
        <v>0</v>
      </c>
      <c r="FA195" s="2">
        <v>0</v>
      </c>
      <c r="FB195" s="2">
        <v>1</v>
      </c>
      <c r="FC195" s="2">
        <v>0</v>
      </c>
      <c r="FD195" s="2">
        <v>0</v>
      </c>
      <c r="FE195" s="2">
        <v>0</v>
      </c>
      <c r="FF195" s="2">
        <v>1</v>
      </c>
      <c r="FG195" s="2">
        <v>1</v>
      </c>
      <c r="FH195" s="2">
        <v>0</v>
      </c>
      <c r="FI195" s="2">
        <v>0</v>
      </c>
      <c r="FJ195" s="2">
        <v>0</v>
      </c>
      <c r="FK195" s="2">
        <v>0</v>
      </c>
      <c r="FL195" s="2">
        <v>1</v>
      </c>
      <c r="FM195" s="2">
        <v>1</v>
      </c>
      <c r="FN195" s="2">
        <v>1</v>
      </c>
      <c r="FO195" s="2">
        <v>0</v>
      </c>
      <c r="FP195" s="2">
        <v>1</v>
      </c>
      <c r="FQ195" s="2">
        <v>1</v>
      </c>
      <c r="FR195" s="2">
        <v>1</v>
      </c>
      <c r="FS195" s="2">
        <v>0</v>
      </c>
      <c r="FT195" s="2">
        <v>1</v>
      </c>
      <c r="FU195" s="2">
        <v>0</v>
      </c>
      <c r="FV195" s="2">
        <v>0</v>
      </c>
      <c r="FW195" s="2">
        <v>0</v>
      </c>
      <c r="FX195" s="2">
        <v>1</v>
      </c>
      <c r="FY195" s="2">
        <v>0</v>
      </c>
      <c r="FZ195" s="2"/>
      <c r="GA195" s="2">
        <v>4</v>
      </c>
      <c r="GB195" s="2">
        <v>3</v>
      </c>
      <c r="GC195" s="2">
        <v>4</v>
      </c>
      <c r="GD195" s="2">
        <v>4</v>
      </c>
      <c r="GE195" s="2">
        <v>5</v>
      </c>
      <c r="GG195" s="2">
        <v>1</v>
      </c>
      <c r="GH195" s="2">
        <v>1</v>
      </c>
      <c r="GI195" s="2">
        <v>1</v>
      </c>
      <c r="GJ195" s="2">
        <v>5</v>
      </c>
      <c r="GK195" s="2">
        <v>1</v>
      </c>
      <c r="GM195" s="2">
        <f t="shared" si="0"/>
        <v>20</v>
      </c>
      <c r="GN195" s="2">
        <f t="shared" si="1"/>
        <v>9</v>
      </c>
      <c r="GO195" s="2"/>
      <c r="GP195" s="2">
        <v>2</v>
      </c>
      <c r="GQ195" s="2">
        <v>2</v>
      </c>
      <c r="GR195" s="2">
        <v>1</v>
      </c>
      <c r="GS195" s="2">
        <v>1</v>
      </c>
      <c r="GU195" s="2">
        <v>3</v>
      </c>
      <c r="GV195" s="2">
        <v>4</v>
      </c>
      <c r="GW195" s="2">
        <v>-1</v>
      </c>
      <c r="GY195" s="2">
        <v>1</v>
      </c>
      <c r="GZ195" s="2">
        <v>3</v>
      </c>
      <c r="HA195" s="2">
        <v>3</v>
      </c>
      <c r="HB195" s="2">
        <v>2</v>
      </c>
      <c r="HD195" s="2">
        <v>4</v>
      </c>
      <c r="HE195" s="2">
        <v>4</v>
      </c>
      <c r="HF195" s="2">
        <v>-2</v>
      </c>
      <c r="HH195" s="2">
        <f t="shared" si="2"/>
        <v>12</v>
      </c>
      <c r="HI195" s="2">
        <f t="shared" si="3"/>
        <v>15</v>
      </c>
      <c r="HJ195" s="2"/>
      <c r="HK195" s="2">
        <v>4</v>
      </c>
      <c r="HL195" s="2">
        <v>4</v>
      </c>
      <c r="HM195" s="2"/>
      <c r="HN195" s="2"/>
    </row>
    <row r="196" spans="1:222" ht="15.75" customHeight="1" x14ac:dyDescent="0.2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</row>
    <row r="197" spans="1:222" ht="15.75" customHeight="1" x14ac:dyDescent="0.2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</row>
    <row r="198" spans="1:222" ht="15.75" customHeight="1" x14ac:dyDescent="0.2">
      <c r="A198" s="8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</row>
    <row r="199" spans="1:222" ht="15.75" customHeight="1" x14ac:dyDescent="0.2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</row>
    <row r="200" spans="1:222" ht="15.75" customHeight="1" x14ac:dyDescent="0.2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</row>
    <row r="201" spans="1:222" ht="15.75" customHeight="1" x14ac:dyDescent="0.2">
      <c r="A201" s="3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</row>
    <row r="202" spans="1:222" ht="15.75" customHeight="1" x14ac:dyDescent="0.2">
      <c r="A202" s="3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</row>
    <row r="203" spans="1:222" ht="15.75" customHeight="1" x14ac:dyDescent="0.2">
      <c r="A203" s="3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</row>
    <row r="204" spans="1:222" ht="15.75" customHeight="1" x14ac:dyDescent="0.2">
      <c r="A204" s="3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</row>
    <row r="205" spans="1:222" ht="15.75" customHeight="1" x14ac:dyDescent="0.2">
      <c r="A205" s="3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</row>
    <row r="206" spans="1:222" ht="15.75" customHeight="1" x14ac:dyDescent="0.2">
      <c r="A206" s="3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</row>
    <row r="207" spans="1:222" ht="15.75" customHeight="1" x14ac:dyDescent="0.2">
      <c r="A207" s="3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</row>
    <row r="208" spans="1:222" ht="15.75" customHeight="1" x14ac:dyDescent="0.2">
      <c r="A208" s="3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</row>
    <row r="209" spans="1:182" ht="15.75" customHeight="1" x14ac:dyDescent="0.2">
      <c r="A209" s="3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</row>
    <row r="210" spans="1:182" ht="15.75" customHeight="1" x14ac:dyDescent="0.2">
      <c r="A210" s="3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</row>
    <row r="211" spans="1:182" ht="15.75" customHeight="1" x14ac:dyDescent="0.2">
      <c r="A211" s="3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</row>
    <row r="212" spans="1:182" ht="15.75" customHeight="1" x14ac:dyDescent="0.2">
      <c r="A212" s="3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</row>
    <row r="213" spans="1:182" ht="15.75" customHeight="1" x14ac:dyDescent="0.2">
      <c r="A213" s="3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</row>
    <row r="214" spans="1:182" ht="15.75" customHeight="1" x14ac:dyDescent="0.2">
      <c r="A214" s="3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</row>
    <row r="215" spans="1:182" ht="15.75" customHeight="1" x14ac:dyDescent="0.2">
      <c r="A215" s="3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</row>
    <row r="216" spans="1:182" ht="15.75" customHeight="1" x14ac:dyDescent="0.2">
      <c r="A216" s="3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</row>
    <row r="217" spans="1:182" ht="15.75" customHeight="1" x14ac:dyDescent="0.2">
      <c r="A217" s="3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</row>
    <row r="218" spans="1:182" ht="15.75" customHeight="1" x14ac:dyDescent="0.2">
      <c r="A218" s="3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</row>
    <row r="219" spans="1:182" ht="15.75" customHeight="1" x14ac:dyDescent="0.2">
      <c r="A219" s="3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</row>
    <row r="220" spans="1:182" ht="15.75" customHeight="1" x14ac:dyDescent="0.2">
      <c r="A220" s="3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</row>
    <row r="221" spans="1:182" ht="15.75" customHeight="1" x14ac:dyDescent="0.2">
      <c r="A221" s="3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</row>
    <row r="222" spans="1:182" ht="15.75" customHeight="1" x14ac:dyDescent="0.2">
      <c r="A222" s="3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</row>
    <row r="223" spans="1:182" ht="15.75" customHeight="1" x14ac:dyDescent="0.2">
      <c r="A223" s="3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</row>
    <row r="224" spans="1:182" ht="15.75" customHeight="1" x14ac:dyDescent="0.2">
      <c r="A224" s="3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</row>
    <row r="225" spans="1:182" ht="15.75" customHeight="1" x14ac:dyDescent="0.2">
      <c r="A225" s="3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</row>
    <row r="226" spans="1:182" ht="15.75" customHeight="1" x14ac:dyDescent="0.2">
      <c r="A226" s="3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</row>
    <row r="227" spans="1:182" ht="15.75" customHeight="1" x14ac:dyDescent="0.2">
      <c r="A227" s="3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</row>
    <row r="228" spans="1:182" ht="15.75" customHeight="1" x14ac:dyDescent="0.2">
      <c r="A228" s="3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</row>
    <row r="229" spans="1:182" ht="15.75" customHeight="1" x14ac:dyDescent="0.2">
      <c r="A229" s="3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</row>
    <row r="230" spans="1:182" ht="15.75" customHeight="1" x14ac:dyDescent="0.2">
      <c r="A230" s="3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</row>
    <row r="231" spans="1:182" ht="15.75" customHeight="1" x14ac:dyDescent="0.2">
      <c r="A231" s="3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</row>
    <row r="232" spans="1:182" ht="15.75" customHeight="1" x14ac:dyDescent="0.2">
      <c r="A232" s="3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</row>
    <row r="233" spans="1:182" ht="15.75" customHeight="1" x14ac:dyDescent="0.2">
      <c r="A233" s="3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</row>
    <row r="234" spans="1:182" ht="15.75" customHeight="1" x14ac:dyDescent="0.2">
      <c r="A234" s="3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</row>
    <row r="235" spans="1:182" ht="15.75" customHeight="1" x14ac:dyDescent="0.2">
      <c r="A235" s="3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</row>
    <row r="236" spans="1:182" ht="15.75" customHeight="1" x14ac:dyDescent="0.2">
      <c r="A236" s="3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</row>
    <row r="237" spans="1:182" ht="15.75" customHeight="1" x14ac:dyDescent="0.2">
      <c r="A237" s="3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</row>
    <row r="238" spans="1:182" ht="15.75" customHeight="1" x14ac:dyDescent="0.2">
      <c r="A238" s="3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</row>
    <row r="239" spans="1:182" ht="15.75" customHeight="1" x14ac:dyDescent="0.2">
      <c r="A239" s="3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</row>
    <row r="240" spans="1:182" ht="15.75" customHeight="1" x14ac:dyDescent="0.2">
      <c r="A240" s="3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</row>
    <row r="241" spans="1:182" ht="15.75" customHeight="1" x14ac:dyDescent="0.2">
      <c r="A241" s="3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</row>
    <row r="242" spans="1:182" ht="15.75" customHeight="1" x14ac:dyDescent="0.2">
      <c r="A242" s="3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</row>
    <row r="243" spans="1:182" ht="15.75" customHeight="1" x14ac:dyDescent="0.2">
      <c r="A243" s="3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</row>
    <row r="244" spans="1:182" ht="15.75" customHeight="1" x14ac:dyDescent="0.2">
      <c r="A244" s="3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</row>
    <row r="245" spans="1:182" ht="15.75" customHeight="1" x14ac:dyDescent="0.2">
      <c r="A245" s="3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</row>
    <row r="246" spans="1:182" ht="15.75" customHeight="1" x14ac:dyDescent="0.2">
      <c r="A246" s="3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</row>
    <row r="247" spans="1:182" ht="15.75" customHeight="1" x14ac:dyDescent="0.2">
      <c r="A247" s="3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</row>
    <row r="248" spans="1:182" ht="15.75" customHeight="1" x14ac:dyDescent="0.2">
      <c r="A248" s="3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</row>
    <row r="249" spans="1:182" ht="15.75" customHeight="1" x14ac:dyDescent="0.2">
      <c r="A249" s="3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</row>
    <row r="250" spans="1:182" ht="15.75" customHeight="1" x14ac:dyDescent="0.2">
      <c r="A250" s="3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</row>
    <row r="251" spans="1:182" ht="15.75" customHeight="1" x14ac:dyDescent="0.2">
      <c r="A251" s="3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</row>
    <row r="252" spans="1:182" ht="15.75" customHeight="1" x14ac:dyDescent="0.2">
      <c r="A252" s="3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</row>
    <row r="253" spans="1:182" ht="15.75" customHeight="1" x14ac:dyDescent="0.2">
      <c r="A253" s="3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</row>
    <row r="254" spans="1:182" ht="15.75" customHeight="1" x14ac:dyDescent="0.2">
      <c r="A254" s="3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</row>
    <row r="255" spans="1:182" ht="15.75" customHeight="1" x14ac:dyDescent="0.2">
      <c r="A255" s="3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</row>
    <row r="256" spans="1:182" ht="15.75" customHeight="1" x14ac:dyDescent="0.2">
      <c r="A256" s="3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</row>
    <row r="257" spans="1:182" ht="15.75" customHeight="1" x14ac:dyDescent="0.2">
      <c r="A257" s="3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</row>
    <row r="258" spans="1:182" ht="15.75" customHeight="1" x14ac:dyDescent="0.2">
      <c r="A258" s="3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</row>
    <row r="259" spans="1:182" ht="15.75" customHeight="1" x14ac:dyDescent="0.2">
      <c r="A259" s="3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</row>
    <row r="260" spans="1:182" ht="15.75" customHeight="1" x14ac:dyDescent="0.2">
      <c r="A260" s="3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</row>
    <row r="261" spans="1:182" ht="15.75" customHeight="1" x14ac:dyDescent="0.2">
      <c r="A261" s="3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</row>
    <row r="262" spans="1:182" ht="15.75" customHeight="1" x14ac:dyDescent="0.2">
      <c r="A262" s="3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</row>
    <row r="263" spans="1:182" ht="15.75" customHeight="1" x14ac:dyDescent="0.2">
      <c r="A263" s="3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</row>
    <row r="264" spans="1:182" ht="15.75" customHeight="1" x14ac:dyDescent="0.2">
      <c r="A264" s="3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</row>
    <row r="265" spans="1:182" ht="15.75" customHeight="1" x14ac:dyDescent="0.2">
      <c r="A265" s="3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</row>
    <row r="266" spans="1:182" ht="15.75" customHeight="1" x14ac:dyDescent="0.2">
      <c r="A266" s="3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</row>
    <row r="267" spans="1:182" ht="15.75" customHeight="1" x14ac:dyDescent="0.2">
      <c r="A267" s="3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</row>
    <row r="268" spans="1:182" ht="15.75" customHeight="1" x14ac:dyDescent="0.2">
      <c r="A268" s="3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</row>
    <row r="269" spans="1:182" ht="15.75" customHeight="1" x14ac:dyDescent="0.2">
      <c r="A269" s="3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</row>
    <row r="270" spans="1:182" ht="15.75" customHeight="1" x14ac:dyDescent="0.2">
      <c r="A270" s="3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</row>
    <row r="271" spans="1:182" ht="15.75" customHeight="1" x14ac:dyDescent="0.2">
      <c r="A271" s="3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</row>
    <row r="272" spans="1:182" ht="15.75" customHeight="1" x14ac:dyDescent="0.2">
      <c r="A272" s="3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</row>
    <row r="273" spans="1:182" ht="15.75" customHeight="1" x14ac:dyDescent="0.2">
      <c r="A273" s="3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</row>
    <row r="274" spans="1:182" ht="15.75" customHeight="1" x14ac:dyDescent="0.2">
      <c r="A274" s="3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</row>
    <row r="275" spans="1:182" ht="15.75" customHeight="1" x14ac:dyDescent="0.2">
      <c r="A275" s="3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</row>
    <row r="276" spans="1:182" ht="15.75" customHeight="1" x14ac:dyDescent="0.2">
      <c r="A276" s="3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</row>
    <row r="277" spans="1:182" ht="15.75" customHeight="1" x14ac:dyDescent="0.2">
      <c r="A277" s="3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</row>
    <row r="278" spans="1:182" ht="15.75" customHeight="1" x14ac:dyDescent="0.2">
      <c r="A278" s="3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</row>
    <row r="279" spans="1:182" ht="15.75" customHeight="1" x14ac:dyDescent="0.2">
      <c r="A279" s="3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</row>
    <row r="280" spans="1:182" ht="15.75" customHeight="1" x14ac:dyDescent="0.2">
      <c r="A280" s="3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</row>
    <row r="281" spans="1:182" ht="15.75" customHeight="1" x14ac:dyDescent="0.2">
      <c r="A281" s="3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</row>
    <row r="282" spans="1:182" ht="15.75" customHeight="1" x14ac:dyDescent="0.2">
      <c r="A282" s="3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</row>
    <row r="283" spans="1:182" ht="15.75" customHeight="1" x14ac:dyDescent="0.2">
      <c r="A283" s="3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</row>
    <row r="284" spans="1:182" ht="15.75" customHeight="1" x14ac:dyDescent="0.2">
      <c r="A284" s="3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</row>
    <row r="285" spans="1:182" ht="15.75" customHeight="1" x14ac:dyDescent="0.2">
      <c r="A285" s="3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</row>
    <row r="286" spans="1:182" ht="15.75" customHeight="1" x14ac:dyDescent="0.2">
      <c r="A286" s="3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</row>
    <row r="287" spans="1:182" ht="15.75" customHeight="1" x14ac:dyDescent="0.2">
      <c r="A287" s="3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</row>
    <row r="288" spans="1:182" ht="15.75" customHeight="1" x14ac:dyDescent="0.2">
      <c r="A288" s="3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</row>
    <row r="289" spans="1:182" ht="15.75" customHeight="1" x14ac:dyDescent="0.2">
      <c r="A289" s="3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</row>
    <row r="290" spans="1:182" ht="15.75" customHeight="1" x14ac:dyDescent="0.2">
      <c r="A290" s="3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</row>
    <row r="291" spans="1:182" ht="15.75" customHeight="1" x14ac:dyDescent="0.2">
      <c r="A291" s="3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</row>
    <row r="292" spans="1:182" ht="15.75" customHeight="1" x14ac:dyDescent="0.2">
      <c r="A292" s="3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</row>
    <row r="293" spans="1:182" ht="15.75" customHeight="1" x14ac:dyDescent="0.2">
      <c r="A293" s="3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</row>
    <row r="294" spans="1:182" ht="15.75" customHeight="1" x14ac:dyDescent="0.2">
      <c r="A294" s="3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</row>
    <row r="295" spans="1:182" ht="15.75" customHeight="1" x14ac:dyDescent="0.2">
      <c r="A295" s="3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</row>
    <row r="296" spans="1:182" ht="15.75" customHeight="1" x14ac:dyDescent="0.2">
      <c r="A296" s="3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</row>
    <row r="297" spans="1:182" ht="15.75" customHeight="1" x14ac:dyDescent="0.2">
      <c r="A297" s="3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</row>
    <row r="298" spans="1:182" ht="15.75" customHeight="1" x14ac:dyDescent="0.2">
      <c r="A298" s="3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</row>
    <row r="299" spans="1:182" ht="15.75" customHeight="1" x14ac:dyDescent="0.2">
      <c r="A299" s="3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</row>
    <row r="300" spans="1:182" ht="15.75" customHeight="1" x14ac:dyDescent="0.2">
      <c r="A300" s="3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</row>
    <row r="301" spans="1:182" ht="15.75" customHeight="1" x14ac:dyDescent="0.2">
      <c r="A301" s="3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</row>
    <row r="302" spans="1:182" ht="15.75" customHeight="1" x14ac:dyDescent="0.2">
      <c r="A302" s="3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</row>
    <row r="303" spans="1:182" ht="15.75" customHeight="1" x14ac:dyDescent="0.2">
      <c r="A303" s="3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</row>
    <row r="304" spans="1:182" ht="15.75" customHeight="1" x14ac:dyDescent="0.2">
      <c r="A304" s="3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</row>
    <row r="305" spans="1:182" ht="15.75" customHeight="1" x14ac:dyDescent="0.2">
      <c r="A305" s="3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</row>
    <row r="306" spans="1:182" ht="15.75" customHeight="1" x14ac:dyDescent="0.2">
      <c r="A306" s="3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</row>
    <row r="307" spans="1:182" ht="15.75" customHeight="1" x14ac:dyDescent="0.2">
      <c r="A307" s="3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</row>
    <row r="308" spans="1:182" ht="15.75" customHeight="1" x14ac:dyDescent="0.2">
      <c r="A308" s="3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</row>
    <row r="309" spans="1:182" ht="15.75" customHeight="1" x14ac:dyDescent="0.2">
      <c r="A309" s="3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</row>
    <row r="310" spans="1:182" ht="15.75" customHeight="1" x14ac:dyDescent="0.2">
      <c r="A310" s="3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</row>
    <row r="311" spans="1:182" ht="15.75" customHeight="1" x14ac:dyDescent="0.2">
      <c r="A311" s="3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</row>
    <row r="312" spans="1:182" ht="15.75" customHeight="1" x14ac:dyDescent="0.2">
      <c r="A312" s="3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</row>
    <row r="313" spans="1:182" ht="15.75" customHeight="1" x14ac:dyDescent="0.2">
      <c r="A313" s="3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</row>
    <row r="314" spans="1:182" ht="15.75" customHeight="1" x14ac:dyDescent="0.2">
      <c r="A314" s="3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</row>
    <row r="315" spans="1:182" ht="15.75" customHeight="1" x14ac:dyDescent="0.2">
      <c r="A315" s="3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</row>
    <row r="316" spans="1:182" ht="15.75" customHeight="1" x14ac:dyDescent="0.2">
      <c r="A316" s="3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</row>
    <row r="317" spans="1:182" ht="15.75" customHeight="1" x14ac:dyDescent="0.2">
      <c r="A317" s="3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</row>
    <row r="318" spans="1:182" ht="15.75" customHeight="1" x14ac:dyDescent="0.2">
      <c r="A318" s="3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</row>
    <row r="319" spans="1:182" ht="15.75" customHeight="1" x14ac:dyDescent="0.2">
      <c r="A319" s="3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</row>
    <row r="320" spans="1:182" ht="15.75" customHeight="1" x14ac:dyDescent="0.2">
      <c r="A320" s="3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</row>
    <row r="321" spans="1:182" ht="15.75" customHeight="1" x14ac:dyDescent="0.2">
      <c r="A321" s="3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</row>
    <row r="322" spans="1:182" ht="15.75" customHeight="1" x14ac:dyDescent="0.2">
      <c r="A322" s="3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</row>
    <row r="323" spans="1:182" ht="15.75" customHeight="1" x14ac:dyDescent="0.2">
      <c r="A323" s="3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</row>
    <row r="324" spans="1:182" ht="15.75" customHeight="1" x14ac:dyDescent="0.2">
      <c r="A324" s="3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</row>
    <row r="325" spans="1:182" ht="15.75" customHeight="1" x14ac:dyDescent="0.2">
      <c r="A325" s="3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</row>
    <row r="326" spans="1:182" ht="15.75" customHeight="1" x14ac:dyDescent="0.2">
      <c r="A326" s="3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</row>
    <row r="327" spans="1:182" ht="15.75" customHeight="1" x14ac:dyDescent="0.2">
      <c r="A327" s="3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</row>
    <row r="328" spans="1:182" ht="15.75" customHeight="1" x14ac:dyDescent="0.2">
      <c r="A328" s="3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</row>
    <row r="329" spans="1:182" ht="15.75" customHeight="1" x14ac:dyDescent="0.2">
      <c r="A329" s="3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</row>
    <row r="330" spans="1:182" ht="15.75" customHeight="1" x14ac:dyDescent="0.2">
      <c r="A330" s="3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</row>
    <row r="331" spans="1:182" ht="15.75" customHeight="1" x14ac:dyDescent="0.2">
      <c r="A331" s="3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</row>
    <row r="332" spans="1:182" ht="15.75" customHeight="1" x14ac:dyDescent="0.2">
      <c r="A332" s="3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</row>
    <row r="333" spans="1:182" ht="15.75" customHeight="1" x14ac:dyDescent="0.2">
      <c r="A333" s="3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</row>
    <row r="334" spans="1:182" ht="15.75" customHeight="1" x14ac:dyDescent="0.2">
      <c r="A334" s="3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</row>
    <row r="335" spans="1:182" ht="15.75" customHeight="1" x14ac:dyDescent="0.2">
      <c r="A335" s="3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</row>
    <row r="336" spans="1:182" ht="15.75" customHeight="1" x14ac:dyDescent="0.2">
      <c r="A336" s="3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</row>
    <row r="337" spans="1:182" ht="15.75" customHeight="1" x14ac:dyDescent="0.2">
      <c r="A337" s="3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</row>
    <row r="338" spans="1:182" ht="15.75" customHeight="1" x14ac:dyDescent="0.2">
      <c r="A338" s="3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</row>
    <row r="339" spans="1:182" ht="15.75" customHeight="1" x14ac:dyDescent="0.2">
      <c r="A339" s="3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</row>
    <row r="340" spans="1:182" ht="15.75" customHeight="1" x14ac:dyDescent="0.2">
      <c r="A340" s="3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</row>
    <row r="341" spans="1:182" ht="15.75" customHeight="1" x14ac:dyDescent="0.2">
      <c r="A341" s="3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</row>
    <row r="342" spans="1:182" ht="15.75" customHeight="1" x14ac:dyDescent="0.2">
      <c r="A342" s="3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</row>
    <row r="343" spans="1:182" ht="15.75" customHeight="1" x14ac:dyDescent="0.2">
      <c r="A343" s="3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</row>
    <row r="344" spans="1:182" ht="15.75" customHeight="1" x14ac:dyDescent="0.2">
      <c r="A344" s="3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</row>
    <row r="345" spans="1:182" ht="15.75" customHeight="1" x14ac:dyDescent="0.2">
      <c r="A345" s="3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</row>
    <row r="346" spans="1:182" ht="15.75" customHeight="1" x14ac:dyDescent="0.2">
      <c r="A346" s="3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</row>
    <row r="347" spans="1:182" ht="15.75" customHeight="1" x14ac:dyDescent="0.2">
      <c r="A347" s="3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</row>
    <row r="348" spans="1:182" ht="15.75" customHeight="1" x14ac:dyDescent="0.2">
      <c r="A348" s="3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</row>
    <row r="349" spans="1:182" ht="15.75" customHeight="1" x14ac:dyDescent="0.2">
      <c r="A349" s="3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</row>
    <row r="350" spans="1:182" ht="15.75" customHeight="1" x14ac:dyDescent="0.2">
      <c r="A350" s="3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</row>
    <row r="351" spans="1:182" ht="15.75" customHeight="1" x14ac:dyDescent="0.2">
      <c r="A351" s="3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</row>
    <row r="352" spans="1:182" ht="15.75" customHeight="1" x14ac:dyDescent="0.2">
      <c r="A352" s="3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</row>
    <row r="353" spans="1:182" ht="15.75" customHeight="1" x14ac:dyDescent="0.2">
      <c r="A353" s="3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</row>
    <row r="354" spans="1:182" ht="15.75" customHeight="1" x14ac:dyDescent="0.2">
      <c r="A354" s="3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</row>
    <row r="355" spans="1:182" ht="15.75" customHeight="1" x14ac:dyDescent="0.2">
      <c r="A355" s="3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</row>
    <row r="356" spans="1:182" ht="15.75" customHeight="1" x14ac:dyDescent="0.2">
      <c r="A356" s="3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</row>
    <row r="357" spans="1:182" ht="15.75" customHeight="1" x14ac:dyDescent="0.2">
      <c r="A357" s="3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</row>
    <row r="358" spans="1:182" ht="15.75" customHeight="1" x14ac:dyDescent="0.2">
      <c r="A358" s="3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</row>
    <row r="359" spans="1:182" ht="15.75" customHeight="1" x14ac:dyDescent="0.2">
      <c r="A359" s="3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</row>
    <row r="360" spans="1:182" ht="15.75" customHeight="1" x14ac:dyDescent="0.2">
      <c r="A360" s="3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</row>
    <row r="361" spans="1:182" ht="15.75" customHeight="1" x14ac:dyDescent="0.2">
      <c r="A361" s="3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</row>
    <row r="362" spans="1:182" ht="15.75" customHeight="1" x14ac:dyDescent="0.2">
      <c r="A362" s="3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</row>
    <row r="363" spans="1:182" ht="15.75" customHeight="1" x14ac:dyDescent="0.2">
      <c r="A363" s="3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</row>
    <row r="364" spans="1:182" ht="15.75" customHeight="1" x14ac:dyDescent="0.2">
      <c r="A364" s="3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</row>
    <row r="365" spans="1:182" ht="15.75" customHeight="1" x14ac:dyDescent="0.2">
      <c r="A365" s="3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</row>
    <row r="366" spans="1:182" ht="15.75" customHeight="1" x14ac:dyDescent="0.2">
      <c r="A366" s="3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</row>
    <row r="367" spans="1:182" ht="15.75" customHeight="1" x14ac:dyDescent="0.2">
      <c r="A367" s="3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</row>
    <row r="368" spans="1:182" ht="15.75" customHeight="1" x14ac:dyDescent="0.2">
      <c r="A368" s="3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</row>
    <row r="369" spans="1:182" ht="15.75" customHeight="1" x14ac:dyDescent="0.2">
      <c r="A369" s="3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</row>
    <row r="370" spans="1:182" ht="15.75" customHeight="1" x14ac:dyDescent="0.2">
      <c r="A370" s="3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</row>
    <row r="371" spans="1:182" ht="15.75" customHeight="1" x14ac:dyDescent="0.2">
      <c r="A371" s="3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</row>
    <row r="372" spans="1:182" ht="15.75" customHeight="1" x14ac:dyDescent="0.2">
      <c r="A372" s="3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</row>
    <row r="373" spans="1:182" ht="15.75" customHeight="1" x14ac:dyDescent="0.2">
      <c r="A373" s="3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</row>
    <row r="374" spans="1:182" ht="15.75" customHeight="1" x14ac:dyDescent="0.2">
      <c r="A374" s="3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</row>
    <row r="375" spans="1:182" ht="15.75" customHeight="1" x14ac:dyDescent="0.2">
      <c r="A375" s="3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</row>
    <row r="376" spans="1:182" ht="15.75" customHeight="1" x14ac:dyDescent="0.2">
      <c r="A376" s="3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</row>
    <row r="377" spans="1:182" ht="15.75" customHeight="1" x14ac:dyDescent="0.2">
      <c r="A377" s="3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</row>
    <row r="378" spans="1:182" ht="15.75" customHeight="1" x14ac:dyDescent="0.2">
      <c r="A378" s="3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</row>
    <row r="379" spans="1:182" ht="15.75" customHeight="1" x14ac:dyDescent="0.2">
      <c r="A379" s="3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</row>
    <row r="380" spans="1:182" ht="15.75" customHeight="1" x14ac:dyDescent="0.2">
      <c r="A380" s="3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</row>
    <row r="381" spans="1:182" ht="15.75" customHeight="1" x14ac:dyDescent="0.2">
      <c r="A381" s="3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</row>
    <row r="382" spans="1:182" ht="15.75" customHeight="1" x14ac:dyDescent="0.2">
      <c r="A382" s="3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</row>
    <row r="383" spans="1:182" ht="15.75" customHeight="1" x14ac:dyDescent="0.2">
      <c r="A383" s="3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</row>
    <row r="384" spans="1:182" ht="15.75" customHeight="1" x14ac:dyDescent="0.2">
      <c r="A384" s="3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</row>
    <row r="385" spans="1:182" ht="15.75" customHeight="1" x14ac:dyDescent="0.2">
      <c r="A385" s="3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</row>
    <row r="386" spans="1:182" ht="15.75" customHeight="1" x14ac:dyDescent="0.2">
      <c r="A386" s="3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</row>
    <row r="387" spans="1:182" ht="15.75" customHeight="1" x14ac:dyDescent="0.2">
      <c r="A387" s="3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</row>
    <row r="388" spans="1:182" ht="15.75" customHeight="1" x14ac:dyDescent="0.2">
      <c r="A388" s="3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</row>
    <row r="389" spans="1:182" ht="15.75" customHeight="1" x14ac:dyDescent="0.2">
      <c r="A389" s="3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</row>
    <row r="390" spans="1:182" ht="15.75" customHeight="1" x14ac:dyDescent="0.2">
      <c r="A390" s="3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</row>
    <row r="391" spans="1:182" ht="15.75" customHeight="1" x14ac:dyDescent="0.2">
      <c r="A391" s="3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</row>
    <row r="392" spans="1:182" ht="15.75" customHeight="1" x14ac:dyDescent="0.2">
      <c r="A392" s="3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</row>
    <row r="393" spans="1:182" ht="15.75" customHeight="1" x14ac:dyDescent="0.2">
      <c r="A393" s="3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</row>
    <row r="394" spans="1:182" ht="15.75" customHeight="1" x14ac:dyDescent="0.2">
      <c r="A394" s="3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</row>
    <row r="395" spans="1:182" ht="15.75" customHeight="1" x14ac:dyDescent="0.2">
      <c r="A395" s="3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</row>
    <row r="396" spans="1:182" ht="15.75" customHeight="1" x14ac:dyDescent="0.2">
      <c r="A396" s="3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</row>
    <row r="397" spans="1:182" ht="15.75" customHeight="1" x14ac:dyDescent="0.2">
      <c r="A397" s="3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</row>
    <row r="398" spans="1:182" ht="15.75" customHeight="1" x14ac:dyDescent="0.2">
      <c r="A398" s="3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</row>
    <row r="399" spans="1:182" ht="15.75" customHeight="1" x14ac:dyDescent="0.2">
      <c r="A399" s="3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</row>
    <row r="400" spans="1:182" ht="15.75" customHeight="1" x14ac:dyDescent="0.2">
      <c r="A400" s="3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</row>
    <row r="401" spans="1:182" ht="15.75" customHeight="1" x14ac:dyDescent="0.2">
      <c r="A401" s="3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</row>
    <row r="402" spans="1:182" ht="15.75" customHeight="1" x14ac:dyDescent="0.2">
      <c r="A402" s="3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</row>
    <row r="403" spans="1:182" ht="15.75" customHeight="1" x14ac:dyDescent="0.2">
      <c r="A403" s="3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</row>
    <row r="404" spans="1:182" ht="15.75" customHeight="1" x14ac:dyDescent="0.2">
      <c r="A404" s="3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</row>
    <row r="405" spans="1:182" ht="15.75" customHeight="1" x14ac:dyDescent="0.2">
      <c r="A405" s="3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</row>
    <row r="406" spans="1:182" ht="15.75" customHeight="1" x14ac:dyDescent="0.2">
      <c r="A406" s="3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</row>
    <row r="407" spans="1:182" ht="15.75" customHeight="1" x14ac:dyDescent="0.2">
      <c r="A407" s="3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</row>
    <row r="408" spans="1:182" ht="15.75" customHeight="1" x14ac:dyDescent="0.2">
      <c r="A408" s="3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</row>
    <row r="409" spans="1:182" ht="15.75" customHeight="1" x14ac:dyDescent="0.2">
      <c r="A409" s="3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</row>
    <row r="410" spans="1:182" ht="15.75" customHeight="1" x14ac:dyDescent="0.2">
      <c r="A410" s="3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</row>
    <row r="411" spans="1:182" ht="15.75" customHeight="1" x14ac:dyDescent="0.2">
      <c r="A411" s="3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</row>
    <row r="412" spans="1:182" ht="15.75" customHeight="1" x14ac:dyDescent="0.2">
      <c r="A412" s="3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</row>
    <row r="413" spans="1:182" ht="15.75" customHeight="1" x14ac:dyDescent="0.2">
      <c r="A413" s="3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</row>
    <row r="414" spans="1:182" ht="15.75" customHeight="1" x14ac:dyDescent="0.2">
      <c r="A414" s="3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</row>
    <row r="415" spans="1:182" ht="15.75" customHeight="1" x14ac:dyDescent="0.2">
      <c r="A415" s="3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</row>
    <row r="416" spans="1:182" ht="15.75" customHeight="1" x14ac:dyDescent="0.2">
      <c r="A416" s="3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</row>
    <row r="417" spans="1:182" ht="15.75" customHeight="1" x14ac:dyDescent="0.2">
      <c r="A417" s="3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</row>
    <row r="418" spans="1:182" ht="15.75" customHeight="1" x14ac:dyDescent="0.2">
      <c r="A418" s="3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</row>
    <row r="419" spans="1:182" ht="15.75" customHeight="1" x14ac:dyDescent="0.2">
      <c r="A419" s="3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</row>
    <row r="420" spans="1:182" ht="15.75" customHeight="1" x14ac:dyDescent="0.2">
      <c r="A420" s="3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</row>
    <row r="421" spans="1:182" ht="15.75" customHeight="1" x14ac:dyDescent="0.2">
      <c r="A421" s="3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</row>
    <row r="422" spans="1:182" ht="15.75" customHeight="1" x14ac:dyDescent="0.2">
      <c r="A422" s="3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</row>
    <row r="423" spans="1:182" ht="15.75" customHeight="1" x14ac:dyDescent="0.2">
      <c r="A423" s="3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</row>
    <row r="424" spans="1:182" ht="15.75" customHeight="1" x14ac:dyDescent="0.2">
      <c r="A424" s="3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</row>
    <row r="425" spans="1:182" ht="15.75" customHeight="1" x14ac:dyDescent="0.2">
      <c r="A425" s="3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</row>
    <row r="426" spans="1:182" ht="15.75" customHeight="1" x14ac:dyDescent="0.2">
      <c r="A426" s="3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</row>
    <row r="427" spans="1:182" ht="15.75" customHeight="1" x14ac:dyDescent="0.2">
      <c r="A427" s="3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</row>
    <row r="428" spans="1:182" ht="15.75" customHeight="1" x14ac:dyDescent="0.2">
      <c r="A428" s="3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</row>
    <row r="429" spans="1:182" ht="15.75" customHeight="1" x14ac:dyDescent="0.2">
      <c r="A429" s="3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</row>
    <row r="430" spans="1:182" ht="15.75" customHeight="1" x14ac:dyDescent="0.2">
      <c r="A430" s="3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</row>
    <row r="431" spans="1:182" ht="15.75" customHeight="1" x14ac:dyDescent="0.2">
      <c r="A431" s="3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</row>
    <row r="432" spans="1:182" ht="15.75" customHeight="1" x14ac:dyDescent="0.2">
      <c r="A432" s="3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</row>
    <row r="433" spans="1:182" ht="15.75" customHeight="1" x14ac:dyDescent="0.2">
      <c r="A433" s="3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</row>
    <row r="434" spans="1:182" ht="15.75" customHeight="1" x14ac:dyDescent="0.2">
      <c r="A434" s="3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</row>
    <row r="435" spans="1:182" ht="15.75" customHeight="1" x14ac:dyDescent="0.2">
      <c r="A435" s="3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</row>
    <row r="436" spans="1:182" ht="15.75" customHeight="1" x14ac:dyDescent="0.2">
      <c r="A436" s="3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</row>
    <row r="437" spans="1:182" ht="15.75" customHeight="1" x14ac:dyDescent="0.2">
      <c r="A437" s="3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</row>
    <row r="438" spans="1:182" ht="15.75" customHeight="1" x14ac:dyDescent="0.2">
      <c r="A438" s="3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</row>
    <row r="439" spans="1:182" ht="15.75" customHeight="1" x14ac:dyDescent="0.2">
      <c r="A439" s="3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</row>
    <row r="440" spans="1:182" ht="15.75" customHeight="1" x14ac:dyDescent="0.2">
      <c r="A440" s="3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</row>
    <row r="441" spans="1:182" ht="15.75" customHeight="1" x14ac:dyDescent="0.2">
      <c r="A441" s="3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</row>
    <row r="442" spans="1:182" ht="15.75" customHeight="1" x14ac:dyDescent="0.2">
      <c r="A442" s="3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</row>
    <row r="443" spans="1:182" ht="15.75" customHeight="1" x14ac:dyDescent="0.2">
      <c r="A443" s="3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</row>
    <row r="444" spans="1:182" ht="15.75" customHeight="1" x14ac:dyDescent="0.2">
      <c r="A444" s="3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</row>
    <row r="445" spans="1:182" ht="15.75" customHeight="1" x14ac:dyDescent="0.2">
      <c r="A445" s="3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</row>
    <row r="446" spans="1:182" ht="15.75" customHeight="1" x14ac:dyDescent="0.2">
      <c r="A446" s="3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</row>
    <row r="447" spans="1:182" ht="15.75" customHeight="1" x14ac:dyDescent="0.2">
      <c r="A447" s="3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</row>
    <row r="448" spans="1:182" ht="15.75" customHeight="1" x14ac:dyDescent="0.2">
      <c r="A448" s="3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</row>
    <row r="449" spans="1:182" ht="15.75" customHeight="1" x14ac:dyDescent="0.2">
      <c r="A449" s="3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</row>
    <row r="450" spans="1:182" ht="15.75" customHeight="1" x14ac:dyDescent="0.2">
      <c r="A450" s="3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</row>
    <row r="451" spans="1:182" ht="15.75" customHeight="1" x14ac:dyDescent="0.2">
      <c r="A451" s="3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</row>
    <row r="452" spans="1:182" ht="15.75" customHeight="1" x14ac:dyDescent="0.2">
      <c r="A452" s="3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</row>
    <row r="453" spans="1:182" ht="15.75" customHeight="1" x14ac:dyDescent="0.2">
      <c r="A453" s="3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</row>
    <row r="454" spans="1:182" ht="15.75" customHeight="1" x14ac:dyDescent="0.2">
      <c r="A454" s="3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</row>
    <row r="455" spans="1:182" ht="15.75" customHeight="1" x14ac:dyDescent="0.2">
      <c r="A455" s="3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</row>
    <row r="456" spans="1:182" ht="15.75" customHeight="1" x14ac:dyDescent="0.2">
      <c r="A456" s="3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</row>
    <row r="457" spans="1:182" ht="15.75" customHeight="1" x14ac:dyDescent="0.2">
      <c r="A457" s="3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</row>
    <row r="458" spans="1:182" ht="15.75" customHeight="1" x14ac:dyDescent="0.2">
      <c r="A458" s="3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</row>
    <row r="459" spans="1:182" ht="15.75" customHeight="1" x14ac:dyDescent="0.2">
      <c r="A459" s="3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</row>
    <row r="460" spans="1:182" ht="15.75" customHeight="1" x14ac:dyDescent="0.2">
      <c r="A460" s="3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</row>
    <row r="461" spans="1:182" ht="15.75" customHeight="1" x14ac:dyDescent="0.2">
      <c r="A461" s="3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</row>
    <row r="462" spans="1:182" ht="15.75" customHeight="1" x14ac:dyDescent="0.2">
      <c r="A462" s="3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</row>
    <row r="463" spans="1:182" ht="15.75" customHeight="1" x14ac:dyDescent="0.2">
      <c r="A463" s="3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</row>
    <row r="464" spans="1:182" ht="15.75" customHeight="1" x14ac:dyDescent="0.2">
      <c r="A464" s="3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</row>
    <row r="465" spans="1:182" ht="15.75" customHeight="1" x14ac:dyDescent="0.2">
      <c r="A465" s="3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</row>
    <row r="466" spans="1:182" ht="15.75" customHeight="1" x14ac:dyDescent="0.2">
      <c r="A466" s="3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</row>
    <row r="467" spans="1:182" ht="15.75" customHeight="1" x14ac:dyDescent="0.2">
      <c r="A467" s="3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</row>
    <row r="468" spans="1:182" ht="15.75" customHeight="1" x14ac:dyDescent="0.2">
      <c r="A468" s="3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</row>
    <row r="469" spans="1:182" ht="15.75" customHeight="1" x14ac:dyDescent="0.2">
      <c r="A469" s="3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</row>
    <row r="470" spans="1:182" ht="15.75" customHeight="1" x14ac:dyDescent="0.2">
      <c r="A470" s="3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</row>
    <row r="471" spans="1:182" ht="15.75" customHeight="1" x14ac:dyDescent="0.2">
      <c r="A471" s="3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</row>
    <row r="472" spans="1:182" ht="15.75" customHeight="1" x14ac:dyDescent="0.2">
      <c r="A472" s="3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</row>
    <row r="473" spans="1:182" ht="15.75" customHeight="1" x14ac:dyDescent="0.2">
      <c r="A473" s="3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</row>
    <row r="474" spans="1:182" ht="15.75" customHeight="1" x14ac:dyDescent="0.2">
      <c r="A474" s="3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</row>
    <row r="475" spans="1:182" ht="15.75" customHeight="1" x14ac:dyDescent="0.2">
      <c r="A475" s="3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</row>
    <row r="476" spans="1:182" ht="15.75" customHeight="1" x14ac:dyDescent="0.2">
      <c r="A476" s="3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</row>
    <row r="477" spans="1:182" ht="15.75" customHeight="1" x14ac:dyDescent="0.2">
      <c r="A477" s="3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</row>
    <row r="478" spans="1:182" ht="15.75" customHeight="1" x14ac:dyDescent="0.2">
      <c r="A478" s="3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</row>
    <row r="479" spans="1:182" ht="15.75" customHeight="1" x14ac:dyDescent="0.2">
      <c r="A479" s="3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</row>
    <row r="480" spans="1:182" ht="15.75" customHeight="1" x14ac:dyDescent="0.2">
      <c r="A480" s="3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</row>
    <row r="481" spans="1:182" ht="15.75" customHeight="1" x14ac:dyDescent="0.2">
      <c r="A481" s="3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</row>
    <row r="482" spans="1:182" ht="15.75" customHeight="1" x14ac:dyDescent="0.2">
      <c r="A482" s="3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</row>
    <row r="483" spans="1:182" ht="15.75" customHeight="1" x14ac:dyDescent="0.2">
      <c r="A483" s="3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</row>
    <row r="484" spans="1:182" ht="15.75" customHeight="1" x14ac:dyDescent="0.2">
      <c r="A484" s="3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</row>
    <row r="485" spans="1:182" ht="15.75" customHeight="1" x14ac:dyDescent="0.2">
      <c r="A485" s="3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</row>
    <row r="486" spans="1:182" ht="15.75" customHeight="1" x14ac:dyDescent="0.2">
      <c r="A486" s="3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</row>
    <row r="487" spans="1:182" ht="15.75" customHeight="1" x14ac:dyDescent="0.2">
      <c r="A487" s="3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</row>
    <row r="488" spans="1:182" ht="15.75" customHeight="1" x14ac:dyDescent="0.2">
      <c r="A488" s="3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</row>
    <row r="489" spans="1:182" ht="15.75" customHeight="1" x14ac:dyDescent="0.2">
      <c r="A489" s="3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</row>
    <row r="490" spans="1:182" ht="15.75" customHeight="1" x14ac:dyDescent="0.2">
      <c r="A490" s="3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</row>
    <row r="491" spans="1:182" ht="15.75" customHeight="1" x14ac:dyDescent="0.2">
      <c r="A491" s="3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</row>
    <row r="492" spans="1:182" ht="15.75" customHeight="1" x14ac:dyDescent="0.2">
      <c r="A492" s="3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</row>
    <row r="493" spans="1:182" ht="15.75" customHeight="1" x14ac:dyDescent="0.2">
      <c r="A493" s="3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</row>
    <row r="494" spans="1:182" ht="15.75" customHeight="1" x14ac:dyDescent="0.2">
      <c r="A494" s="3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</row>
    <row r="495" spans="1:182" ht="15.75" customHeight="1" x14ac:dyDescent="0.2">
      <c r="A495" s="3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</row>
    <row r="496" spans="1:182" ht="15.75" customHeight="1" x14ac:dyDescent="0.2">
      <c r="A496" s="3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</row>
    <row r="497" spans="1:182" ht="15.75" customHeight="1" x14ac:dyDescent="0.2">
      <c r="A497" s="3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</row>
    <row r="498" spans="1:182" ht="15.75" customHeight="1" x14ac:dyDescent="0.2">
      <c r="A498" s="3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</row>
    <row r="499" spans="1:182" ht="15.75" customHeight="1" x14ac:dyDescent="0.2">
      <c r="A499" s="3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</row>
    <row r="500" spans="1:182" ht="15.75" customHeight="1" x14ac:dyDescent="0.2">
      <c r="A500" s="3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</row>
    <row r="501" spans="1:182" ht="15.75" customHeight="1" x14ac:dyDescent="0.2">
      <c r="A501" s="3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</row>
    <row r="502" spans="1:182" ht="15.75" customHeight="1" x14ac:dyDescent="0.2">
      <c r="A502" s="3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</row>
    <row r="503" spans="1:182" ht="15.75" customHeight="1" x14ac:dyDescent="0.2">
      <c r="A503" s="3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</row>
    <row r="504" spans="1:182" ht="15.75" customHeight="1" x14ac:dyDescent="0.2">
      <c r="A504" s="3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</row>
    <row r="505" spans="1:182" ht="15.75" customHeight="1" x14ac:dyDescent="0.2">
      <c r="A505" s="3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</row>
    <row r="506" spans="1:182" ht="15.75" customHeight="1" x14ac:dyDescent="0.2">
      <c r="A506" s="3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</row>
    <row r="507" spans="1:182" ht="15.75" customHeight="1" x14ac:dyDescent="0.2">
      <c r="A507" s="3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</row>
    <row r="508" spans="1:182" ht="15.75" customHeight="1" x14ac:dyDescent="0.2">
      <c r="A508" s="3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</row>
    <row r="509" spans="1:182" ht="15.75" customHeight="1" x14ac:dyDescent="0.2">
      <c r="A509" s="3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</row>
    <row r="510" spans="1:182" ht="15.75" customHeight="1" x14ac:dyDescent="0.2">
      <c r="A510" s="3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</row>
    <row r="511" spans="1:182" ht="15.75" customHeight="1" x14ac:dyDescent="0.2">
      <c r="A511" s="3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</row>
    <row r="512" spans="1:182" ht="15.75" customHeight="1" x14ac:dyDescent="0.2">
      <c r="A512" s="3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</row>
    <row r="513" spans="1:182" ht="15.75" customHeight="1" x14ac:dyDescent="0.2">
      <c r="A513" s="3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</row>
    <row r="514" spans="1:182" ht="15.75" customHeight="1" x14ac:dyDescent="0.2">
      <c r="A514" s="3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</row>
    <row r="515" spans="1:182" ht="15.75" customHeight="1" x14ac:dyDescent="0.2">
      <c r="A515" s="3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</row>
    <row r="516" spans="1:182" ht="15.75" customHeight="1" x14ac:dyDescent="0.2">
      <c r="A516" s="3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</row>
    <row r="517" spans="1:182" ht="15.75" customHeight="1" x14ac:dyDescent="0.2">
      <c r="A517" s="3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</row>
    <row r="518" spans="1:182" ht="15.75" customHeight="1" x14ac:dyDescent="0.2">
      <c r="A518" s="3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</row>
    <row r="519" spans="1:182" ht="15.75" customHeight="1" x14ac:dyDescent="0.2">
      <c r="A519" s="3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</row>
    <row r="520" spans="1:182" ht="15.75" customHeight="1" x14ac:dyDescent="0.2">
      <c r="A520" s="3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</row>
    <row r="521" spans="1:182" ht="15.75" customHeight="1" x14ac:dyDescent="0.2">
      <c r="A521" s="3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</row>
    <row r="522" spans="1:182" ht="15.75" customHeight="1" x14ac:dyDescent="0.2">
      <c r="A522" s="3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</row>
    <row r="523" spans="1:182" ht="15.75" customHeight="1" x14ac:dyDescent="0.2">
      <c r="A523" s="3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</row>
    <row r="524" spans="1:182" ht="15.75" customHeight="1" x14ac:dyDescent="0.2">
      <c r="A524" s="3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</row>
    <row r="525" spans="1:182" ht="15.75" customHeight="1" x14ac:dyDescent="0.2">
      <c r="A525" s="3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</row>
    <row r="526" spans="1:182" ht="15.75" customHeight="1" x14ac:dyDescent="0.2">
      <c r="A526" s="3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</row>
    <row r="527" spans="1:182" ht="15.75" customHeight="1" x14ac:dyDescent="0.2">
      <c r="A527" s="3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</row>
    <row r="528" spans="1:182" ht="15.75" customHeight="1" x14ac:dyDescent="0.2">
      <c r="A528" s="3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</row>
    <row r="529" spans="1:182" ht="15.75" customHeight="1" x14ac:dyDescent="0.2">
      <c r="A529" s="3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</row>
    <row r="530" spans="1:182" ht="15.75" customHeight="1" x14ac:dyDescent="0.2">
      <c r="A530" s="3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</row>
    <row r="531" spans="1:182" ht="15.75" customHeight="1" x14ac:dyDescent="0.2">
      <c r="A531" s="3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</row>
    <row r="532" spans="1:182" ht="15.75" customHeight="1" x14ac:dyDescent="0.2">
      <c r="A532" s="3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</row>
    <row r="533" spans="1:182" ht="15.75" customHeight="1" x14ac:dyDescent="0.2">
      <c r="A533" s="3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</row>
    <row r="534" spans="1:182" ht="15.75" customHeight="1" x14ac:dyDescent="0.2">
      <c r="A534" s="3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</row>
    <row r="535" spans="1:182" ht="15.75" customHeight="1" x14ac:dyDescent="0.2">
      <c r="A535" s="3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</row>
    <row r="536" spans="1:182" ht="15.75" customHeight="1" x14ac:dyDescent="0.2">
      <c r="A536" s="3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</row>
    <row r="537" spans="1:182" ht="15.75" customHeight="1" x14ac:dyDescent="0.2">
      <c r="A537" s="3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</row>
    <row r="538" spans="1:182" ht="15.75" customHeight="1" x14ac:dyDescent="0.2">
      <c r="A538" s="3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</row>
    <row r="539" spans="1:182" ht="15.75" customHeight="1" x14ac:dyDescent="0.2">
      <c r="A539" s="3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</row>
    <row r="540" spans="1:182" ht="15.75" customHeight="1" x14ac:dyDescent="0.2">
      <c r="A540" s="3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</row>
    <row r="541" spans="1:182" ht="15.75" customHeight="1" x14ac:dyDescent="0.2">
      <c r="A541" s="3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</row>
    <row r="542" spans="1:182" ht="15.75" customHeight="1" x14ac:dyDescent="0.2">
      <c r="A542" s="3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</row>
    <row r="543" spans="1:182" ht="15.75" customHeight="1" x14ac:dyDescent="0.2">
      <c r="A543" s="3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</row>
    <row r="544" spans="1:182" ht="15.75" customHeight="1" x14ac:dyDescent="0.2">
      <c r="A544" s="3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</row>
    <row r="545" spans="1:182" ht="15.75" customHeight="1" x14ac:dyDescent="0.2">
      <c r="A545" s="3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</row>
    <row r="546" spans="1:182" ht="15.75" customHeight="1" x14ac:dyDescent="0.2">
      <c r="A546" s="3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</row>
    <row r="547" spans="1:182" ht="15.75" customHeight="1" x14ac:dyDescent="0.2">
      <c r="A547" s="3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</row>
    <row r="548" spans="1:182" ht="15.75" customHeight="1" x14ac:dyDescent="0.2">
      <c r="A548" s="3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</row>
    <row r="549" spans="1:182" ht="15.75" customHeight="1" x14ac:dyDescent="0.2">
      <c r="A549" s="3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</row>
    <row r="550" spans="1:182" ht="15.75" customHeight="1" x14ac:dyDescent="0.2">
      <c r="A550" s="3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</row>
    <row r="551" spans="1:182" ht="15.75" customHeight="1" x14ac:dyDescent="0.2">
      <c r="A551" s="3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</row>
    <row r="552" spans="1:182" ht="15.75" customHeight="1" x14ac:dyDescent="0.2">
      <c r="A552" s="3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</row>
    <row r="553" spans="1:182" ht="15.75" customHeight="1" x14ac:dyDescent="0.2">
      <c r="A553" s="3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</row>
    <row r="554" spans="1:182" ht="15.75" customHeight="1" x14ac:dyDescent="0.2">
      <c r="A554" s="3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</row>
    <row r="555" spans="1:182" ht="15.75" customHeight="1" x14ac:dyDescent="0.2">
      <c r="A555" s="3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</row>
    <row r="556" spans="1:182" ht="15.75" customHeight="1" x14ac:dyDescent="0.2">
      <c r="A556" s="3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</row>
    <row r="557" spans="1:182" ht="15.75" customHeight="1" x14ac:dyDescent="0.2">
      <c r="A557" s="3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</row>
    <row r="558" spans="1:182" ht="15.75" customHeight="1" x14ac:dyDescent="0.2">
      <c r="A558" s="3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</row>
    <row r="559" spans="1:182" ht="15.75" customHeight="1" x14ac:dyDescent="0.2">
      <c r="A559" s="3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</row>
    <row r="560" spans="1:182" ht="15.75" customHeight="1" x14ac:dyDescent="0.2">
      <c r="A560" s="3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</row>
    <row r="561" spans="1:182" ht="15.75" customHeight="1" x14ac:dyDescent="0.2">
      <c r="A561" s="3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</row>
    <row r="562" spans="1:182" ht="15.75" customHeight="1" x14ac:dyDescent="0.2">
      <c r="A562" s="3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</row>
    <row r="563" spans="1:182" ht="15.75" customHeight="1" x14ac:dyDescent="0.2">
      <c r="A563" s="3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</row>
    <row r="564" spans="1:182" ht="15.75" customHeight="1" x14ac:dyDescent="0.2">
      <c r="A564" s="3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</row>
    <row r="565" spans="1:182" ht="15.75" customHeight="1" x14ac:dyDescent="0.2">
      <c r="A565" s="3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</row>
    <row r="566" spans="1:182" ht="15.75" customHeight="1" x14ac:dyDescent="0.2">
      <c r="A566" s="3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</row>
    <row r="567" spans="1:182" ht="15.75" customHeight="1" x14ac:dyDescent="0.2">
      <c r="A567" s="3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</row>
    <row r="568" spans="1:182" ht="15.75" customHeight="1" x14ac:dyDescent="0.2">
      <c r="A568" s="3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</row>
    <row r="569" spans="1:182" ht="15.75" customHeight="1" x14ac:dyDescent="0.2">
      <c r="A569" s="3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</row>
    <row r="570" spans="1:182" ht="15.75" customHeight="1" x14ac:dyDescent="0.2">
      <c r="A570" s="3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</row>
    <row r="571" spans="1:182" ht="15.75" customHeight="1" x14ac:dyDescent="0.2">
      <c r="A571" s="3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</row>
    <row r="572" spans="1:182" ht="15.75" customHeight="1" x14ac:dyDescent="0.2">
      <c r="A572" s="3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</row>
    <row r="573" spans="1:182" ht="15.75" customHeight="1" x14ac:dyDescent="0.2">
      <c r="A573" s="3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</row>
    <row r="574" spans="1:182" ht="15.75" customHeight="1" x14ac:dyDescent="0.2">
      <c r="A574" s="3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</row>
    <row r="575" spans="1:182" ht="15.75" customHeight="1" x14ac:dyDescent="0.2">
      <c r="A575" s="3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</row>
    <row r="576" spans="1:182" ht="15.75" customHeight="1" x14ac:dyDescent="0.2">
      <c r="A576" s="3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</row>
    <row r="577" spans="1:182" ht="15.75" customHeight="1" x14ac:dyDescent="0.2">
      <c r="A577" s="3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</row>
    <row r="578" spans="1:182" ht="15.75" customHeight="1" x14ac:dyDescent="0.2">
      <c r="A578" s="3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</row>
    <row r="579" spans="1:182" ht="15.75" customHeight="1" x14ac:dyDescent="0.2">
      <c r="A579" s="3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</row>
    <row r="580" spans="1:182" ht="15.75" customHeight="1" x14ac:dyDescent="0.2">
      <c r="A580" s="3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</row>
    <row r="581" spans="1:182" ht="15.75" customHeight="1" x14ac:dyDescent="0.2">
      <c r="A581" s="3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</row>
    <row r="582" spans="1:182" ht="15.75" customHeight="1" x14ac:dyDescent="0.2">
      <c r="A582" s="3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</row>
    <row r="583" spans="1:182" ht="15.75" customHeight="1" x14ac:dyDescent="0.2">
      <c r="A583" s="3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</row>
    <row r="584" spans="1:182" ht="15.75" customHeight="1" x14ac:dyDescent="0.2">
      <c r="A584" s="3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</row>
    <row r="585" spans="1:182" ht="15.75" customHeight="1" x14ac:dyDescent="0.2">
      <c r="A585" s="3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</row>
    <row r="586" spans="1:182" ht="15.75" customHeight="1" x14ac:dyDescent="0.2">
      <c r="A586" s="3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</row>
    <row r="587" spans="1:182" ht="15.75" customHeight="1" x14ac:dyDescent="0.2">
      <c r="A587" s="3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</row>
    <row r="588" spans="1:182" ht="15.75" customHeight="1" x14ac:dyDescent="0.2">
      <c r="A588" s="3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</row>
    <row r="589" spans="1:182" ht="15.75" customHeight="1" x14ac:dyDescent="0.2">
      <c r="A589" s="3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</row>
    <row r="590" spans="1:182" ht="15.75" customHeight="1" x14ac:dyDescent="0.2">
      <c r="A590" s="3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</row>
    <row r="591" spans="1:182" ht="15.75" customHeight="1" x14ac:dyDescent="0.2">
      <c r="A591" s="3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</row>
    <row r="592" spans="1:182" ht="15.75" customHeight="1" x14ac:dyDescent="0.2">
      <c r="A592" s="3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</row>
    <row r="593" spans="1:182" ht="15.75" customHeight="1" x14ac:dyDescent="0.2">
      <c r="A593" s="3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</row>
    <row r="594" spans="1:182" ht="15.75" customHeight="1" x14ac:dyDescent="0.2">
      <c r="A594" s="3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</row>
    <row r="595" spans="1:182" ht="15.75" customHeight="1" x14ac:dyDescent="0.2">
      <c r="A595" s="3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</row>
    <row r="596" spans="1:182" ht="15.75" customHeight="1" x14ac:dyDescent="0.2">
      <c r="A596" s="3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</row>
    <row r="597" spans="1:182" ht="15.75" customHeight="1" x14ac:dyDescent="0.2">
      <c r="A597" s="3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</row>
    <row r="598" spans="1:182" ht="15.75" customHeight="1" x14ac:dyDescent="0.2">
      <c r="A598" s="3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</row>
    <row r="599" spans="1:182" ht="15.75" customHeight="1" x14ac:dyDescent="0.2">
      <c r="A599" s="3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</row>
    <row r="600" spans="1:182" ht="15.75" customHeight="1" x14ac:dyDescent="0.2">
      <c r="A600" s="3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</row>
    <row r="601" spans="1:182" ht="15.75" customHeight="1" x14ac:dyDescent="0.2">
      <c r="A601" s="3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</row>
    <row r="602" spans="1:182" ht="15.75" customHeight="1" x14ac:dyDescent="0.2">
      <c r="A602" s="3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</row>
    <row r="603" spans="1:182" ht="15.75" customHeight="1" x14ac:dyDescent="0.2">
      <c r="A603" s="3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</row>
    <row r="604" spans="1:182" ht="15.75" customHeight="1" x14ac:dyDescent="0.2">
      <c r="A604" s="3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</row>
    <row r="605" spans="1:182" ht="15.75" customHeight="1" x14ac:dyDescent="0.2">
      <c r="A605" s="3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</row>
    <row r="606" spans="1:182" ht="15.75" customHeight="1" x14ac:dyDescent="0.2">
      <c r="A606" s="3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</row>
    <row r="607" spans="1:182" ht="15.75" customHeight="1" x14ac:dyDescent="0.2">
      <c r="A607" s="3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</row>
    <row r="608" spans="1:182" ht="15.75" customHeight="1" x14ac:dyDescent="0.2">
      <c r="A608" s="3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</row>
    <row r="609" spans="1:182" ht="15.75" customHeight="1" x14ac:dyDescent="0.2">
      <c r="A609" s="3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</row>
    <row r="610" spans="1:182" ht="15.75" customHeight="1" x14ac:dyDescent="0.2">
      <c r="A610" s="3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</row>
    <row r="611" spans="1:182" ht="15.75" customHeight="1" x14ac:dyDescent="0.2">
      <c r="A611" s="3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</row>
    <row r="612" spans="1:182" ht="15.75" customHeight="1" x14ac:dyDescent="0.2">
      <c r="A612" s="3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</row>
    <row r="613" spans="1:182" ht="15.75" customHeight="1" x14ac:dyDescent="0.2">
      <c r="A613" s="3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</row>
    <row r="614" spans="1:182" ht="15.75" customHeight="1" x14ac:dyDescent="0.2">
      <c r="A614" s="3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</row>
    <row r="615" spans="1:182" ht="15.75" customHeight="1" x14ac:dyDescent="0.2">
      <c r="A615" s="3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</row>
    <row r="616" spans="1:182" ht="15.75" customHeight="1" x14ac:dyDescent="0.2">
      <c r="A616" s="3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</row>
    <row r="617" spans="1:182" ht="15.75" customHeight="1" x14ac:dyDescent="0.2">
      <c r="A617" s="3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</row>
    <row r="618" spans="1:182" ht="15.75" customHeight="1" x14ac:dyDescent="0.2">
      <c r="A618" s="3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</row>
    <row r="619" spans="1:182" ht="15.75" customHeight="1" x14ac:dyDescent="0.2">
      <c r="A619" s="3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</row>
    <row r="620" spans="1:182" ht="15.75" customHeight="1" x14ac:dyDescent="0.2">
      <c r="A620" s="3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</row>
    <row r="621" spans="1:182" ht="15.75" customHeight="1" x14ac:dyDescent="0.2">
      <c r="A621" s="3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</row>
    <row r="622" spans="1:182" ht="15.75" customHeight="1" x14ac:dyDescent="0.2">
      <c r="A622" s="3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</row>
    <row r="623" spans="1:182" ht="15.75" customHeight="1" x14ac:dyDescent="0.2">
      <c r="A623" s="3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</row>
    <row r="624" spans="1:182" ht="15.75" customHeight="1" x14ac:dyDescent="0.2">
      <c r="A624" s="3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</row>
    <row r="625" spans="1:182" ht="15.75" customHeight="1" x14ac:dyDescent="0.2">
      <c r="A625" s="3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</row>
    <row r="626" spans="1:182" ht="15.75" customHeight="1" x14ac:dyDescent="0.2">
      <c r="A626" s="3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</row>
    <row r="627" spans="1:182" ht="15.75" customHeight="1" x14ac:dyDescent="0.2">
      <c r="A627" s="3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</row>
    <row r="628" spans="1:182" ht="15.75" customHeight="1" x14ac:dyDescent="0.2">
      <c r="A628" s="3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</row>
    <row r="629" spans="1:182" ht="15.75" customHeight="1" x14ac:dyDescent="0.2">
      <c r="A629" s="3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</row>
    <row r="630" spans="1:182" ht="15.75" customHeight="1" x14ac:dyDescent="0.2">
      <c r="A630" s="3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</row>
    <row r="631" spans="1:182" ht="15.75" customHeight="1" x14ac:dyDescent="0.2">
      <c r="A631" s="3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</row>
    <row r="632" spans="1:182" ht="15.75" customHeight="1" x14ac:dyDescent="0.2">
      <c r="A632" s="3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</row>
    <row r="633" spans="1:182" ht="15.75" customHeight="1" x14ac:dyDescent="0.2">
      <c r="A633" s="3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</row>
    <row r="634" spans="1:182" ht="15.75" customHeight="1" x14ac:dyDescent="0.2">
      <c r="A634" s="3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</row>
    <row r="635" spans="1:182" ht="15.75" customHeight="1" x14ac:dyDescent="0.2">
      <c r="A635" s="3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</row>
    <row r="636" spans="1:182" ht="15.75" customHeight="1" x14ac:dyDescent="0.2">
      <c r="A636" s="3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</row>
    <row r="637" spans="1:182" ht="15.75" customHeight="1" x14ac:dyDescent="0.2">
      <c r="A637" s="3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</row>
    <row r="638" spans="1:182" ht="15.75" customHeight="1" x14ac:dyDescent="0.2">
      <c r="A638" s="3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</row>
    <row r="639" spans="1:182" ht="15.75" customHeight="1" x14ac:dyDescent="0.2">
      <c r="A639" s="3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</row>
    <row r="640" spans="1:182" ht="15.75" customHeight="1" x14ac:dyDescent="0.2">
      <c r="A640" s="3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</row>
    <row r="641" spans="1:182" ht="15.75" customHeight="1" x14ac:dyDescent="0.2">
      <c r="A641" s="3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</row>
    <row r="642" spans="1:182" ht="15.75" customHeight="1" x14ac:dyDescent="0.2">
      <c r="A642" s="3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</row>
    <row r="643" spans="1:182" ht="15.75" customHeight="1" x14ac:dyDescent="0.2">
      <c r="A643" s="3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</row>
    <row r="644" spans="1:182" ht="15.75" customHeight="1" x14ac:dyDescent="0.2">
      <c r="A644" s="3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</row>
    <row r="645" spans="1:182" ht="15.75" customHeight="1" x14ac:dyDescent="0.2">
      <c r="A645" s="3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</row>
    <row r="646" spans="1:182" ht="15.75" customHeight="1" x14ac:dyDescent="0.2">
      <c r="A646" s="3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</row>
    <row r="647" spans="1:182" ht="15.75" customHeight="1" x14ac:dyDescent="0.2">
      <c r="A647" s="3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</row>
    <row r="648" spans="1:182" ht="15.75" customHeight="1" x14ac:dyDescent="0.2">
      <c r="A648" s="3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</row>
    <row r="649" spans="1:182" ht="15.75" customHeight="1" x14ac:dyDescent="0.2">
      <c r="A649" s="3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</row>
    <row r="650" spans="1:182" ht="15.75" customHeight="1" x14ac:dyDescent="0.2">
      <c r="A650" s="3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</row>
    <row r="651" spans="1:182" ht="15.75" customHeight="1" x14ac:dyDescent="0.2">
      <c r="A651" s="3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</row>
    <row r="652" spans="1:182" ht="15.75" customHeight="1" x14ac:dyDescent="0.2">
      <c r="A652" s="3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</row>
    <row r="653" spans="1:182" ht="15.75" customHeight="1" x14ac:dyDescent="0.2">
      <c r="A653" s="3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</row>
    <row r="654" spans="1:182" ht="15.75" customHeight="1" x14ac:dyDescent="0.2">
      <c r="A654" s="3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</row>
    <row r="655" spans="1:182" ht="15.75" customHeight="1" x14ac:dyDescent="0.2">
      <c r="A655" s="3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</row>
    <row r="656" spans="1:182" ht="15.75" customHeight="1" x14ac:dyDescent="0.2">
      <c r="A656" s="3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</row>
    <row r="657" spans="1:182" ht="15.75" customHeight="1" x14ac:dyDescent="0.2">
      <c r="A657" s="3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</row>
    <row r="658" spans="1:182" ht="15.75" customHeight="1" x14ac:dyDescent="0.2">
      <c r="A658" s="3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</row>
    <row r="659" spans="1:182" ht="15.75" customHeight="1" x14ac:dyDescent="0.2">
      <c r="A659" s="3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</row>
    <row r="660" spans="1:182" ht="15.75" customHeight="1" x14ac:dyDescent="0.2">
      <c r="A660" s="3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</row>
    <row r="661" spans="1:182" ht="15.75" customHeight="1" x14ac:dyDescent="0.2">
      <c r="A661" s="3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</row>
    <row r="662" spans="1:182" ht="15.75" customHeight="1" x14ac:dyDescent="0.2">
      <c r="A662" s="3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</row>
    <row r="663" spans="1:182" ht="15.75" customHeight="1" x14ac:dyDescent="0.2">
      <c r="A663" s="3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</row>
    <row r="664" spans="1:182" ht="15.75" customHeight="1" x14ac:dyDescent="0.2">
      <c r="A664" s="3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</row>
    <row r="665" spans="1:182" ht="15.75" customHeight="1" x14ac:dyDescent="0.2">
      <c r="A665" s="3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</row>
    <row r="666" spans="1:182" ht="15.75" customHeight="1" x14ac:dyDescent="0.2">
      <c r="A666" s="3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</row>
    <row r="667" spans="1:182" ht="15.75" customHeight="1" x14ac:dyDescent="0.2">
      <c r="A667" s="3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</row>
    <row r="668" spans="1:182" ht="15.75" customHeight="1" x14ac:dyDescent="0.2">
      <c r="A668" s="3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</row>
    <row r="669" spans="1:182" ht="15.75" customHeight="1" x14ac:dyDescent="0.2">
      <c r="A669" s="3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</row>
    <row r="670" spans="1:182" ht="15.75" customHeight="1" x14ac:dyDescent="0.2">
      <c r="A670" s="3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</row>
    <row r="671" spans="1:182" ht="15.75" customHeight="1" x14ac:dyDescent="0.2">
      <c r="A671" s="3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</row>
    <row r="672" spans="1:182" ht="15.75" customHeight="1" x14ac:dyDescent="0.2">
      <c r="A672" s="3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</row>
    <row r="673" spans="1:182" ht="15.75" customHeight="1" x14ac:dyDescent="0.2">
      <c r="A673" s="3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</row>
    <row r="674" spans="1:182" ht="15.75" customHeight="1" x14ac:dyDescent="0.2">
      <c r="A674" s="3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</row>
    <row r="675" spans="1:182" ht="15.75" customHeight="1" x14ac:dyDescent="0.2">
      <c r="A675" s="3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</row>
    <row r="676" spans="1:182" ht="15.75" customHeight="1" x14ac:dyDescent="0.2">
      <c r="A676" s="3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</row>
    <row r="677" spans="1:182" ht="15.75" customHeight="1" x14ac:dyDescent="0.2">
      <c r="A677" s="3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</row>
    <row r="678" spans="1:182" ht="15.75" customHeight="1" x14ac:dyDescent="0.2">
      <c r="A678" s="3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</row>
    <row r="679" spans="1:182" ht="15.75" customHeight="1" x14ac:dyDescent="0.2">
      <c r="A679" s="3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</row>
    <row r="680" spans="1:182" ht="15.75" customHeight="1" x14ac:dyDescent="0.2">
      <c r="A680" s="3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</row>
    <row r="681" spans="1:182" ht="15.75" customHeight="1" x14ac:dyDescent="0.2">
      <c r="A681" s="3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</row>
    <row r="682" spans="1:182" ht="15.75" customHeight="1" x14ac:dyDescent="0.2">
      <c r="A682" s="3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</row>
    <row r="683" spans="1:182" ht="15.75" customHeight="1" x14ac:dyDescent="0.2">
      <c r="A683" s="3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</row>
    <row r="684" spans="1:182" ht="15.75" customHeight="1" x14ac:dyDescent="0.2">
      <c r="A684" s="3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</row>
    <row r="685" spans="1:182" ht="15.75" customHeight="1" x14ac:dyDescent="0.2">
      <c r="A685" s="3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</row>
    <row r="686" spans="1:182" ht="15.75" customHeight="1" x14ac:dyDescent="0.2">
      <c r="A686" s="3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</row>
    <row r="687" spans="1:182" ht="15.75" customHeight="1" x14ac:dyDescent="0.2">
      <c r="A687" s="3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</row>
    <row r="688" spans="1:182" ht="15.75" customHeight="1" x14ac:dyDescent="0.2">
      <c r="A688" s="3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</row>
    <row r="689" spans="1:182" ht="15.75" customHeight="1" x14ac:dyDescent="0.2">
      <c r="A689" s="3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</row>
    <row r="690" spans="1:182" ht="15.75" customHeight="1" x14ac:dyDescent="0.2">
      <c r="A690" s="3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</row>
    <row r="691" spans="1:182" ht="15.75" customHeight="1" x14ac:dyDescent="0.2">
      <c r="A691" s="3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</row>
    <row r="692" spans="1:182" ht="15.75" customHeight="1" x14ac:dyDescent="0.2">
      <c r="A692" s="3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</row>
    <row r="693" spans="1:182" ht="15.75" customHeight="1" x14ac:dyDescent="0.2">
      <c r="A693" s="3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</row>
    <row r="694" spans="1:182" ht="15.75" customHeight="1" x14ac:dyDescent="0.2">
      <c r="A694" s="3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</row>
    <row r="695" spans="1:182" ht="15.75" customHeight="1" x14ac:dyDescent="0.2">
      <c r="A695" s="3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</row>
    <row r="696" spans="1:182" ht="15.75" customHeight="1" x14ac:dyDescent="0.2">
      <c r="A696" s="3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</row>
    <row r="697" spans="1:182" ht="15.75" customHeight="1" x14ac:dyDescent="0.2">
      <c r="A697" s="3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</row>
    <row r="698" spans="1:182" ht="15.75" customHeight="1" x14ac:dyDescent="0.2">
      <c r="A698" s="3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</row>
    <row r="699" spans="1:182" ht="15.75" customHeight="1" x14ac:dyDescent="0.2">
      <c r="A699" s="3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</row>
    <row r="700" spans="1:182" ht="15.75" customHeight="1" x14ac:dyDescent="0.2">
      <c r="A700" s="3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</row>
    <row r="701" spans="1:182" ht="15.75" customHeight="1" x14ac:dyDescent="0.2">
      <c r="A701" s="3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</row>
    <row r="702" spans="1:182" ht="15.75" customHeight="1" x14ac:dyDescent="0.2">
      <c r="A702" s="3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</row>
    <row r="703" spans="1:182" ht="15.75" customHeight="1" x14ac:dyDescent="0.2">
      <c r="A703" s="3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</row>
    <row r="704" spans="1:182" ht="15.75" customHeight="1" x14ac:dyDescent="0.2">
      <c r="A704" s="3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</row>
    <row r="705" spans="1:182" ht="15.75" customHeight="1" x14ac:dyDescent="0.2">
      <c r="A705" s="3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</row>
    <row r="706" spans="1:182" ht="15.75" customHeight="1" x14ac:dyDescent="0.2">
      <c r="A706" s="3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</row>
    <row r="707" spans="1:182" ht="15.75" customHeight="1" x14ac:dyDescent="0.2">
      <c r="A707" s="3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</row>
    <row r="708" spans="1:182" ht="15.75" customHeight="1" x14ac:dyDescent="0.2">
      <c r="A708" s="3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</row>
    <row r="709" spans="1:182" ht="15.75" customHeight="1" x14ac:dyDescent="0.2">
      <c r="A709" s="3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</row>
    <row r="710" spans="1:182" ht="15.75" customHeight="1" x14ac:dyDescent="0.2">
      <c r="A710" s="3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</row>
    <row r="711" spans="1:182" ht="15.75" customHeight="1" x14ac:dyDescent="0.2">
      <c r="A711" s="3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</row>
    <row r="712" spans="1:182" ht="15.75" customHeight="1" x14ac:dyDescent="0.2">
      <c r="A712" s="3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</row>
    <row r="713" spans="1:182" ht="15.75" customHeight="1" x14ac:dyDescent="0.2">
      <c r="A713" s="3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</row>
    <row r="714" spans="1:182" ht="15.75" customHeight="1" x14ac:dyDescent="0.2">
      <c r="A714" s="3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</row>
    <row r="715" spans="1:182" ht="15.75" customHeight="1" x14ac:dyDescent="0.2">
      <c r="A715" s="3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</row>
    <row r="716" spans="1:182" ht="15.75" customHeight="1" x14ac:dyDescent="0.2">
      <c r="A716" s="3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</row>
    <row r="717" spans="1:182" ht="15.75" customHeight="1" x14ac:dyDescent="0.2">
      <c r="A717" s="3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</row>
    <row r="718" spans="1:182" ht="15.75" customHeight="1" x14ac:dyDescent="0.2">
      <c r="A718" s="3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</row>
    <row r="719" spans="1:182" ht="15.75" customHeight="1" x14ac:dyDescent="0.2">
      <c r="A719" s="3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</row>
    <row r="720" spans="1:182" ht="15.75" customHeight="1" x14ac:dyDescent="0.2">
      <c r="A720" s="3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</row>
    <row r="721" spans="1:182" ht="15.75" customHeight="1" x14ac:dyDescent="0.2">
      <c r="A721" s="3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</row>
    <row r="722" spans="1:182" ht="15.75" customHeight="1" x14ac:dyDescent="0.2">
      <c r="A722" s="3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</row>
    <row r="723" spans="1:182" ht="15.75" customHeight="1" x14ac:dyDescent="0.2">
      <c r="A723" s="3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</row>
    <row r="724" spans="1:182" ht="15.75" customHeight="1" x14ac:dyDescent="0.2">
      <c r="A724" s="3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</row>
    <row r="725" spans="1:182" ht="15.75" customHeight="1" x14ac:dyDescent="0.2">
      <c r="A725" s="3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</row>
    <row r="726" spans="1:182" ht="15.75" customHeight="1" x14ac:dyDescent="0.2">
      <c r="A726" s="3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</row>
    <row r="727" spans="1:182" ht="15.75" customHeight="1" x14ac:dyDescent="0.2">
      <c r="A727" s="3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</row>
    <row r="728" spans="1:182" ht="15.75" customHeight="1" x14ac:dyDescent="0.2">
      <c r="A728" s="3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</row>
    <row r="729" spans="1:182" ht="15.75" customHeight="1" x14ac:dyDescent="0.2">
      <c r="A729" s="3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</row>
    <row r="730" spans="1:182" ht="15.75" customHeight="1" x14ac:dyDescent="0.2">
      <c r="A730" s="3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</row>
    <row r="731" spans="1:182" ht="15.75" customHeight="1" x14ac:dyDescent="0.2">
      <c r="A731" s="3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</row>
    <row r="732" spans="1:182" ht="15.75" customHeight="1" x14ac:dyDescent="0.2">
      <c r="A732" s="3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</row>
    <row r="733" spans="1:182" ht="15.75" customHeight="1" x14ac:dyDescent="0.2">
      <c r="A733" s="3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</row>
    <row r="734" spans="1:182" ht="15.75" customHeight="1" x14ac:dyDescent="0.2">
      <c r="A734" s="3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</row>
    <row r="735" spans="1:182" ht="15.75" customHeight="1" x14ac:dyDescent="0.2">
      <c r="A735" s="3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</row>
    <row r="736" spans="1:182" ht="15.75" customHeight="1" x14ac:dyDescent="0.2">
      <c r="A736" s="3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</row>
    <row r="737" spans="1:182" ht="15.75" customHeight="1" x14ac:dyDescent="0.2">
      <c r="A737" s="3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</row>
    <row r="738" spans="1:182" ht="15.75" customHeight="1" x14ac:dyDescent="0.2">
      <c r="A738" s="3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</row>
    <row r="739" spans="1:182" ht="15.75" customHeight="1" x14ac:dyDescent="0.2">
      <c r="A739" s="3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</row>
    <row r="740" spans="1:182" ht="15.75" customHeight="1" x14ac:dyDescent="0.2">
      <c r="A740" s="3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</row>
    <row r="741" spans="1:182" ht="15.75" customHeight="1" x14ac:dyDescent="0.2">
      <c r="A741" s="3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</row>
    <row r="742" spans="1:182" ht="15.75" customHeight="1" x14ac:dyDescent="0.2">
      <c r="A742" s="3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</row>
    <row r="743" spans="1:182" ht="15.75" customHeight="1" x14ac:dyDescent="0.2">
      <c r="A743" s="3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</row>
    <row r="744" spans="1:182" ht="15.75" customHeight="1" x14ac:dyDescent="0.2">
      <c r="A744" s="3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</row>
    <row r="745" spans="1:182" ht="15.75" customHeight="1" x14ac:dyDescent="0.2">
      <c r="A745" s="3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</row>
    <row r="746" spans="1:182" ht="15.75" customHeight="1" x14ac:dyDescent="0.2">
      <c r="A746" s="3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</row>
    <row r="747" spans="1:182" ht="15.75" customHeight="1" x14ac:dyDescent="0.2">
      <c r="A747" s="3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</row>
    <row r="748" spans="1:182" ht="15.75" customHeight="1" x14ac:dyDescent="0.2">
      <c r="A748" s="3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</row>
    <row r="749" spans="1:182" ht="15.75" customHeight="1" x14ac:dyDescent="0.2">
      <c r="A749" s="3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</row>
    <row r="750" spans="1:182" ht="15.75" customHeight="1" x14ac:dyDescent="0.2">
      <c r="A750" s="3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</row>
    <row r="751" spans="1:182" ht="15.75" customHeight="1" x14ac:dyDescent="0.2">
      <c r="A751" s="3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</row>
    <row r="752" spans="1:182" ht="15.75" customHeight="1" x14ac:dyDescent="0.2">
      <c r="A752" s="3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</row>
    <row r="753" spans="1:182" ht="15.75" customHeight="1" x14ac:dyDescent="0.2">
      <c r="A753" s="3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</row>
    <row r="754" spans="1:182" ht="15.75" customHeight="1" x14ac:dyDescent="0.2">
      <c r="A754" s="3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</row>
    <row r="755" spans="1:182" ht="15.75" customHeight="1" x14ac:dyDescent="0.2">
      <c r="A755" s="3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</row>
    <row r="756" spans="1:182" ht="15.75" customHeight="1" x14ac:dyDescent="0.2">
      <c r="A756" s="3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</row>
    <row r="757" spans="1:182" ht="15.75" customHeight="1" x14ac:dyDescent="0.2">
      <c r="A757" s="3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</row>
    <row r="758" spans="1:182" ht="15.75" customHeight="1" x14ac:dyDescent="0.2">
      <c r="A758" s="3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</row>
    <row r="759" spans="1:182" ht="15.75" customHeight="1" x14ac:dyDescent="0.2">
      <c r="A759" s="3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</row>
    <row r="760" spans="1:182" ht="15.75" customHeight="1" x14ac:dyDescent="0.2">
      <c r="A760" s="3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</row>
    <row r="761" spans="1:182" ht="15.75" customHeight="1" x14ac:dyDescent="0.2">
      <c r="A761" s="3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</row>
    <row r="762" spans="1:182" ht="15.75" customHeight="1" x14ac:dyDescent="0.2">
      <c r="A762" s="3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</row>
    <row r="763" spans="1:182" ht="15.75" customHeight="1" x14ac:dyDescent="0.2">
      <c r="A763" s="3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</row>
    <row r="764" spans="1:182" ht="15.75" customHeight="1" x14ac:dyDescent="0.2">
      <c r="A764" s="3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</row>
    <row r="765" spans="1:182" ht="15.75" customHeight="1" x14ac:dyDescent="0.2">
      <c r="A765" s="3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</row>
    <row r="766" spans="1:182" ht="15.75" customHeight="1" x14ac:dyDescent="0.2">
      <c r="A766" s="3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</row>
    <row r="767" spans="1:182" ht="15.75" customHeight="1" x14ac:dyDescent="0.2">
      <c r="A767" s="3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</row>
    <row r="768" spans="1:182" ht="15.75" customHeight="1" x14ac:dyDescent="0.2">
      <c r="A768" s="3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</row>
    <row r="769" spans="1:182" ht="15.75" customHeight="1" x14ac:dyDescent="0.2">
      <c r="A769" s="3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</row>
    <row r="770" spans="1:182" ht="15.75" customHeight="1" x14ac:dyDescent="0.2">
      <c r="A770" s="3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</row>
    <row r="771" spans="1:182" ht="15.75" customHeight="1" x14ac:dyDescent="0.2">
      <c r="A771" s="3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</row>
    <row r="772" spans="1:182" ht="15.75" customHeight="1" x14ac:dyDescent="0.2">
      <c r="A772" s="3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</row>
    <row r="773" spans="1:182" ht="15.75" customHeight="1" x14ac:dyDescent="0.2">
      <c r="A773" s="3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</row>
    <row r="774" spans="1:182" ht="15.75" customHeight="1" x14ac:dyDescent="0.2">
      <c r="A774" s="3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</row>
    <row r="775" spans="1:182" ht="15.75" customHeight="1" x14ac:dyDescent="0.2">
      <c r="A775" s="3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</row>
    <row r="776" spans="1:182" ht="15.75" customHeight="1" x14ac:dyDescent="0.2">
      <c r="A776" s="3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</row>
    <row r="777" spans="1:182" ht="15.75" customHeight="1" x14ac:dyDescent="0.2">
      <c r="A777" s="3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</row>
    <row r="778" spans="1:182" ht="15.75" customHeight="1" x14ac:dyDescent="0.2">
      <c r="A778" s="3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</row>
    <row r="779" spans="1:182" ht="15.75" customHeight="1" x14ac:dyDescent="0.2">
      <c r="A779" s="3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</row>
    <row r="780" spans="1:182" ht="15.75" customHeight="1" x14ac:dyDescent="0.2">
      <c r="A780" s="3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</row>
    <row r="781" spans="1:182" ht="15.75" customHeight="1" x14ac:dyDescent="0.2">
      <c r="A781" s="3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</row>
    <row r="782" spans="1:182" ht="15.75" customHeight="1" x14ac:dyDescent="0.2">
      <c r="A782" s="3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</row>
    <row r="783" spans="1:182" ht="15.75" customHeight="1" x14ac:dyDescent="0.2">
      <c r="A783" s="3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</row>
    <row r="784" spans="1:182" ht="15.75" customHeight="1" x14ac:dyDescent="0.2">
      <c r="A784" s="3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</row>
    <row r="785" spans="1:182" ht="15.75" customHeight="1" x14ac:dyDescent="0.2">
      <c r="A785" s="3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</row>
    <row r="786" spans="1:182" ht="15.75" customHeight="1" x14ac:dyDescent="0.2">
      <c r="A786" s="3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</row>
    <row r="787" spans="1:182" ht="15.75" customHeight="1" x14ac:dyDescent="0.2">
      <c r="A787" s="3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</row>
    <row r="788" spans="1:182" ht="15.75" customHeight="1" x14ac:dyDescent="0.2">
      <c r="A788" s="3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</row>
    <row r="789" spans="1:182" ht="15.75" customHeight="1" x14ac:dyDescent="0.2">
      <c r="A789" s="3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</row>
    <row r="790" spans="1:182" ht="15.75" customHeight="1" x14ac:dyDescent="0.2">
      <c r="A790" s="3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</row>
    <row r="791" spans="1:182" ht="15.75" customHeight="1" x14ac:dyDescent="0.2">
      <c r="A791" s="3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</row>
    <row r="792" spans="1:182" ht="15.75" customHeight="1" x14ac:dyDescent="0.2">
      <c r="A792" s="3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</row>
    <row r="793" spans="1:182" ht="15.75" customHeight="1" x14ac:dyDescent="0.2">
      <c r="A793" s="3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</row>
    <row r="794" spans="1:182" ht="15.75" customHeight="1" x14ac:dyDescent="0.2">
      <c r="A794" s="3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</row>
    <row r="795" spans="1:182" ht="15.75" customHeight="1" x14ac:dyDescent="0.2">
      <c r="A795" s="3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</row>
    <row r="796" spans="1:182" ht="15.75" customHeight="1" x14ac:dyDescent="0.2">
      <c r="A796" s="3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</row>
    <row r="797" spans="1:182" ht="15.75" customHeight="1" x14ac:dyDescent="0.2">
      <c r="A797" s="3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</row>
    <row r="798" spans="1:182" ht="15.75" customHeight="1" x14ac:dyDescent="0.2">
      <c r="A798" s="3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</row>
    <row r="799" spans="1:182" ht="15.75" customHeight="1" x14ac:dyDescent="0.2">
      <c r="A799" s="3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</row>
    <row r="800" spans="1:182" ht="15.75" customHeight="1" x14ac:dyDescent="0.2">
      <c r="A800" s="3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</row>
    <row r="801" spans="1:182" ht="15.75" customHeight="1" x14ac:dyDescent="0.2">
      <c r="A801" s="3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</row>
    <row r="802" spans="1:182" ht="15.75" customHeight="1" x14ac:dyDescent="0.2">
      <c r="A802" s="3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</row>
    <row r="803" spans="1:182" ht="15.75" customHeight="1" x14ac:dyDescent="0.2">
      <c r="A803" s="3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</row>
    <row r="804" spans="1:182" ht="15.75" customHeight="1" x14ac:dyDescent="0.2">
      <c r="A804" s="3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</row>
    <row r="805" spans="1:182" ht="15.75" customHeight="1" x14ac:dyDescent="0.2">
      <c r="A805" s="3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</row>
    <row r="806" spans="1:182" ht="15.75" customHeight="1" x14ac:dyDescent="0.2">
      <c r="A806" s="3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</row>
    <row r="807" spans="1:182" ht="15.75" customHeight="1" x14ac:dyDescent="0.2">
      <c r="A807" s="3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</row>
    <row r="808" spans="1:182" ht="15.75" customHeight="1" x14ac:dyDescent="0.2">
      <c r="A808" s="3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</row>
    <row r="809" spans="1:182" ht="15.75" customHeight="1" x14ac:dyDescent="0.2">
      <c r="A809" s="3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</row>
    <row r="810" spans="1:182" ht="15.75" customHeight="1" x14ac:dyDescent="0.2">
      <c r="A810" s="3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</row>
    <row r="811" spans="1:182" ht="15.75" customHeight="1" x14ac:dyDescent="0.2">
      <c r="A811" s="3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</row>
    <row r="812" spans="1:182" ht="15.75" customHeight="1" x14ac:dyDescent="0.2">
      <c r="A812" s="3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</row>
    <row r="813" spans="1:182" ht="15.75" customHeight="1" x14ac:dyDescent="0.2">
      <c r="A813" s="3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</row>
    <row r="814" spans="1:182" ht="15.75" customHeight="1" x14ac:dyDescent="0.2">
      <c r="A814" s="3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</row>
    <row r="815" spans="1:182" ht="15.75" customHeight="1" x14ac:dyDescent="0.2">
      <c r="A815" s="3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</row>
    <row r="816" spans="1:182" ht="15.75" customHeight="1" x14ac:dyDescent="0.2">
      <c r="A816" s="3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</row>
    <row r="817" spans="1:182" ht="15.75" customHeight="1" x14ac:dyDescent="0.2">
      <c r="A817" s="3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</row>
    <row r="818" spans="1:182" ht="15.75" customHeight="1" x14ac:dyDescent="0.2">
      <c r="A818" s="3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</row>
    <row r="819" spans="1:182" ht="15.75" customHeight="1" x14ac:dyDescent="0.2">
      <c r="A819" s="3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</row>
    <row r="820" spans="1:182" ht="15.75" customHeight="1" x14ac:dyDescent="0.2">
      <c r="A820" s="3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</row>
    <row r="821" spans="1:182" ht="15.75" customHeight="1" x14ac:dyDescent="0.2">
      <c r="A821" s="3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</row>
    <row r="822" spans="1:182" ht="15.75" customHeight="1" x14ac:dyDescent="0.2">
      <c r="A822" s="3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</row>
    <row r="823" spans="1:182" ht="15.75" customHeight="1" x14ac:dyDescent="0.2">
      <c r="A823" s="3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</row>
    <row r="824" spans="1:182" ht="15.75" customHeight="1" x14ac:dyDescent="0.2">
      <c r="A824" s="3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</row>
    <row r="825" spans="1:182" ht="15.75" customHeight="1" x14ac:dyDescent="0.2">
      <c r="A825" s="3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</row>
    <row r="826" spans="1:182" ht="15.75" customHeight="1" x14ac:dyDescent="0.2">
      <c r="A826" s="3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</row>
    <row r="827" spans="1:182" ht="15.75" customHeight="1" x14ac:dyDescent="0.2">
      <c r="A827" s="3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</row>
    <row r="828" spans="1:182" ht="15.75" customHeight="1" x14ac:dyDescent="0.2">
      <c r="A828" s="3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</row>
    <row r="829" spans="1:182" ht="15.75" customHeight="1" x14ac:dyDescent="0.2">
      <c r="A829" s="3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</row>
    <row r="830" spans="1:182" ht="15.75" customHeight="1" x14ac:dyDescent="0.2">
      <c r="A830" s="3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</row>
    <row r="831" spans="1:182" ht="15.75" customHeight="1" x14ac:dyDescent="0.2">
      <c r="A831" s="3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</row>
    <row r="832" spans="1:182" ht="15.75" customHeight="1" x14ac:dyDescent="0.2">
      <c r="A832" s="3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</row>
    <row r="833" spans="1:182" ht="15.75" customHeight="1" x14ac:dyDescent="0.2">
      <c r="A833" s="3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</row>
    <row r="834" spans="1:182" ht="15.75" customHeight="1" x14ac:dyDescent="0.2">
      <c r="A834" s="3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</row>
    <row r="835" spans="1:182" ht="15.75" customHeight="1" x14ac:dyDescent="0.2">
      <c r="A835" s="3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</row>
    <row r="836" spans="1:182" ht="15.75" customHeight="1" x14ac:dyDescent="0.2">
      <c r="A836" s="3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</row>
    <row r="837" spans="1:182" ht="15.75" customHeight="1" x14ac:dyDescent="0.2">
      <c r="A837" s="3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</row>
    <row r="838" spans="1:182" ht="15.75" customHeight="1" x14ac:dyDescent="0.2">
      <c r="A838" s="3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</row>
    <row r="839" spans="1:182" ht="15.75" customHeight="1" x14ac:dyDescent="0.2">
      <c r="A839" s="3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</row>
    <row r="840" spans="1:182" ht="15.75" customHeight="1" x14ac:dyDescent="0.2">
      <c r="A840" s="3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</row>
    <row r="841" spans="1:182" ht="15.75" customHeight="1" x14ac:dyDescent="0.2">
      <c r="A841" s="3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</row>
    <row r="842" spans="1:182" ht="15.75" customHeight="1" x14ac:dyDescent="0.2">
      <c r="A842" s="3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</row>
    <row r="843" spans="1:182" ht="15.75" customHeight="1" x14ac:dyDescent="0.2">
      <c r="A843" s="3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</row>
    <row r="844" spans="1:182" ht="15.75" customHeight="1" x14ac:dyDescent="0.2">
      <c r="A844" s="3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</row>
    <row r="845" spans="1:182" ht="15.75" customHeight="1" x14ac:dyDescent="0.2">
      <c r="A845" s="3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</row>
    <row r="846" spans="1:182" ht="15.75" customHeight="1" x14ac:dyDescent="0.2">
      <c r="A846" s="3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</row>
    <row r="847" spans="1:182" ht="15.75" customHeight="1" x14ac:dyDescent="0.2">
      <c r="A847" s="3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</row>
    <row r="848" spans="1:182" ht="15.75" customHeight="1" x14ac:dyDescent="0.2">
      <c r="A848" s="3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</row>
    <row r="849" spans="1:182" ht="15.75" customHeight="1" x14ac:dyDescent="0.2">
      <c r="A849" s="3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</row>
    <row r="850" spans="1:182" ht="15.75" customHeight="1" x14ac:dyDescent="0.2">
      <c r="A850" s="3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</row>
    <row r="851" spans="1:182" ht="15.75" customHeight="1" x14ac:dyDescent="0.2">
      <c r="A851" s="3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</row>
    <row r="852" spans="1:182" ht="15.75" customHeight="1" x14ac:dyDescent="0.2">
      <c r="A852" s="3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</row>
    <row r="853" spans="1:182" ht="15.75" customHeight="1" x14ac:dyDescent="0.2">
      <c r="A853" s="3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</row>
    <row r="854" spans="1:182" ht="15.75" customHeight="1" x14ac:dyDescent="0.2">
      <c r="A854" s="3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</row>
    <row r="855" spans="1:182" ht="15.75" customHeight="1" x14ac:dyDescent="0.2">
      <c r="A855" s="3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</row>
    <row r="856" spans="1:182" ht="15.75" customHeight="1" x14ac:dyDescent="0.2">
      <c r="A856" s="3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</row>
    <row r="857" spans="1:182" ht="15.75" customHeight="1" x14ac:dyDescent="0.2">
      <c r="A857" s="3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</row>
    <row r="858" spans="1:182" ht="15.75" customHeight="1" x14ac:dyDescent="0.2">
      <c r="A858" s="3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</row>
    <row r="859" spans="1:182" ht="15.75" customHeight="1" x14ac:dyDescent="0.2">
      <c r="A859" s="3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</row>
    <row r="860" spans="1:182" ht="15.75" customHeight="1" x14ac:dyDescent="0.2">
      <c r="A860" s="3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</row>
    <row r="861" spans="1:182" ht="15.75" customHeight="1" x14ac:dyDescent="0.2">
      <c r="A861" s="3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</row>
    <row r="862" spans="1:182" ht="15.75" customHeight="1" x14ac:dyDescent="0.2">
      <c r="A862" s="3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</row>
    <row r="863" spans="1:182" ht="15.75" customHeight="1" x14ac:dyDescent="0.2">
      <c r="A863" s="3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</row>
    <row r="864" spans="1:182" ht="15.75" customHeight="1" x14ac:dyDescent="0.2">
      <c r="A864" s="3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</row>
    <row r="865" spans="1:182" ht="15.75" customHeight="1" x14ac:dyDescent="0.2">
      <c r="A865" s="3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</row>
    <row r="866" spans="1:182" ht="15.75" customHeight="1" x14ac:dyDescent="0.2">
      <c r="A866" s="3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</row>
    <row r="867" spans="1:182" ht="15.75" customHeight="1" x14ac:dyDescent="0.2">
      <c r="A867" s="3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</row>
    <row r="868" spans="1:182" ht="15.75" customHeight="1" x14ac:dyDescent="0.2">
      <c r="A868" s="3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</row>
    <row r="869" spans="1:182" ht="15.75" customHeight="1" x14ac:dyDescent="0.2">
      <c r="A869" s="3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</row>
    <row r="870" spans="1:182" ht="15.75" customHeight="1" x14ac:dyDescent="0.2">
      <c r="A870" s="3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</row>
    <row r="871" spans="1:182" ht="15.75" customHeight="1" x14ac:dyDescent="0.2">
      <c r="A871" s="3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</row>
    <row r="872" spans="1:182" ht="15.75" customHeight="1" x14ac:dyDescent="0.2">
      <c r="A872" s="3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</row>
    <row r="873" spans="1:182" ht="15.75" customHeight="1" x14ac:dyDescent="0.2">
      <c r="A873" s="3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</row>
    <row r="874" spans="1:182" ht="15.75" customHeight="1" x14ac:dyDescent="0.2">
      <c r="A874" s="3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</row>
    <row r="875" spans="1:182" ht="15.75" customHeight="1" x14ac:dyDescent="0.2">
      <c r="A875" s="3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</row>
    <row r="876" spans="1:182" ht="15.75" customHeight="1" x14ac:dyDescent="0.2">
      <c r="A876" s="3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</row>
    <row r="877" spans="1:182" ht="15.75" customHeight="1" x14ac:dyDescent="0.2">
      <c r="A877" s="3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</row>
    <row r="878" spans="1:182" ht="15.75" customHeight="1" x14ac:dyDescent="0.2">
      <c r="A878" s="3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</row>
    <row r="879" spans="1:182" ht="15.75" customHeight="1" x14ac:dyDescent="0.2">
      <c r="A879" s="3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</row>
    <row r="880" spans="1:182" ht="15.75" customHeight="1" x14ac:dyDescent="0.2">
      <c r="A880" s="3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</row>
    <row r="881" spans="1:182" ht="15.75" customHeight="1" x14ac:dyDescent="0.2">
      <c r="A881" s="3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</row>
    <row r="882" spans="1:182" ht="15.75" customHeight="1" x14ac:dyDescent="0.2">
      <c r="A882" s="3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</row>
    <row r="883" spans="1:182" ht="15.75" customHeight="1" x14ac:dyDescent="0.2">
      <c r="A883" s="3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</row>
    <row r="884" spans="1:182" ht="15.75" customHeight="1" x14ac:dyDescent="0.2">
      <c r="A884" s="3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</row>
    <row r="885" spans="1:182" ht="15.75" customHeight="1" x14ac:dyDescent="0.2">
      <c r="A885" s="3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</row>
    <row r="886" spans="1:182" ht="15.75" customHeight="1" x14ac:dyDescent="0.2">
      <c r="A886" s="3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</row>
    <row r="887" spans="1:182" ht="15.75" customHeight="1" x14ac:dyDescent="0.2">
      <c r="A887" s="3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</row>
    <row r="888" spans="1:182" ht="15.75" customHeight="1" x14ac:dyDescent="0.2">
      <c r="A888" s="3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</row>
    <row r="889" spans="1:182" ht="15.75" customHeight="1" x14ac:dyDescent="0.2">
      <c r="A889" s="3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</row>
    <row r="890" spans="1:182" ht="15.75" customHeight="1" x14ac:dyDescent="0.2">
      <c r="A890" s="3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</row>
    <row r="891" spans="1:182" ht="15.75" customHeight="1" x14ac:dyDescent="0.2">
      <c r="A891" s="3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</row>
    <row r="892" spans="1:182" ht="15.75" customHeight="1" x14ac:dyDescent="0.2">
      <c r="A892" s="3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</row>
    <row r="893" spans="1:182" ht="15.75" customHeight="1" x14ac:dyDescent="0.2">
      <c r="A893" s="3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</row>
    <row r="894" spans="1:182" ht="15.75" customHeight="1" x14ac:dyDescent="0.2">
      <c r="A894" s="3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</row>
    <row r="895" spans="1:182" ht="15.75" customHeight="1" x14ac:dyDescent="0.2">
      <c r="A895" s="3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</row>
    <row r="896" spans="1:182" ht="15.75" customHeight="1" x14ac:dyDescent="0.2">
      <c r="A896" s="3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</row>
    <row r="897" spans="1:182" ht="15.75" customHeight="1" x14ac:dyDescent="0.2">
      <c r="A897" s="3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</row>
    <row r="898" spans="1:182" ht="15.75" customHeight="1" x14ac:dyDescent="0.2">
      <c r="A898" s="3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</row>
    <row r="899" spans="1:182" ht="15.75" customHeight="1" x14ac:dyDescent="0.2">
      <c r="A899" s="3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</row>
    <row r="900" spans="1:182" ht="15.75" customHeight="1" x14ac:dyDescent="0.2">
      <c r="A900" s="3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</row>
    <row r="901" spans="1:182" ht="15.75" customHeight="1" x14ac:dyDescent="0.2">
      <c r="A901" s="3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</row>
    <row r="902" spans="1:182" ht="15.75" customHeight="1" x14ac:dyDescent="0.2">
      <c r="A902" s="3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</row>
    <row r="903" spans="1:182" ht="15.75" customHeight="1" x14ac:dyDescent="0.2">
      <c r="A903" s="3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</row>
    <row r="904" spans="1:182" ht="15.75" customHeight="1" x14ac:dyDescent="0.2">
      <c r="A904" s="3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</row>
    <row r="905" spans="1:182" ht="15.75" customHeight="1" x14ac:dyDescent="0.2">
      <c r="A905" s="3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</row>
    <row r="906" spans="1:182" ht="15.75" customHeight="1" x14ac:dyDescent="0.2">
      <c r="A906" s="3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</row>
    <row r="907" spans="1:182" ht="15.75" customHeight="1" x14ac:dyDescent="0.2">
      <c r="A907" s="3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</row>
    <row r="908" spans="1:182" ht="15.75" customHeight="1" x14ac:dyDescent="0.2">
      <c r="A908" s="3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</row>
    <row r="909" spans="1:182" ht="15.75" customHeight="1" x14ac:dyDescent="0.2">
      <c r="A909" s="3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</row>
    <row r="910" spans="1:182" ht="15.75" customHeight="1" x14ac:dyDescent="0.2">
      <c r="A910" s="3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</row>
    <row r="911" spans="1:182" ht="15.75" customHeight="1" x14ac:dyDescent="0.2">
      <c r="A911" s="3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</row>
    <row r="912" spans="1:182" ht="15.75" customHeight="1" x14ac:dyDescent="0.2">
      <c r="A912" s="3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</row>
    <row r="913" spans="1:182" ht="15.75" customHeight="1" x14ac:dyDescent="0.2">
      <c r="A913" s="3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</row>
    <row r="914" spans="1:182" ht="15.75" customHeight="1" x14ac:dyDescent="0.2">
      <c r="A914" s="3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</row>
    <row r="915" spans="1:182" ht="15.75" customHeight="1" x14ac:dyDescent="0.2">
      <c r="A915" s="3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</row>
    <row r="916" spans="1:182" ht="15.75" customHeight="1" x14ac:dyDescent="0.2">
      <c r="A916" s="3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</row>
    <row r="917" spans="1:182" ht="15.75" customHeight="1" x14ac:dyDescent="0.2">
      <c r="A917" s="3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</row>
    <row r="918" spans="1:182" ht="15.75" customHeight="1" x14ac:dyDescent="0.2">
      <c r="A918" s="3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</row>
    <row r="919" spans="1:182" ht="15.75" customHeight="1" x14ac:dyDescent="0.2">
      <c r="A919" s="3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</row>
    <row r="920" spans="1:182" ht="15.75" customHeight="1" x14ac:dyDescent="0.2">
      <c r="A920" s="3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</row>
    <row r="921" spans="1:182" ht="15.75" customHeight="1" x14ac:dyDescent="0.2">
      <c r="A921" s="3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</row>
    <row r="922" spans="1:182" ht="15.75" customHeight="1" x14ac:dyDescent="0.2">
      <c r="A922" s="3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</row>
    <row r="923" spans="1:182" ht="15.75" customHeight="1" x14ac:dyDescent="0.2">
      <c r="A923" s="3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</row>
    <row r="924" spans="1:182" ht="15.75" customHeight="1" x14ac:dyDescent="0.2">
      <c r="A924" s="3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</row>
    <row r="925" spans="1:182" ht="15.75" customHeight="1" x14ac:dyDescent="0.2">
      <c r="A925" s="3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</row>
    <row r="926" spans="1:182" ht="15.75" customHeight="1" x14ac:dyDescent="0.2">
      <c r="A926" s="3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</row>
    <row r="927" spans="1:182" ht="15.75" customHeight="1" x14ac:dyDescent="0.2">
      <c r="A927" s="3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</row>
    <row r="928" spans="1:182" ht="15.75" customHeight="1" x14ac:dyDescent="0.2">
      <c r="A928" s="3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</row>
    <row r="929" spans="1:182" ht="15.75" customHeight="1" x14ac:dyDescent="0.2">
      <c r="A929" s="3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</row>
    <row r="930" spans="1:182" ht="15.75" customHeight="1" x14ac:dyDescent="0.2">
      <c r="A930" s="3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</row>
    <row r="931" spans="1:182" ht="15.75" customHeight="1" x14ac:dyDescent="0.2">
      <c r="A931" s="3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</row>
    <row r="932" spans="1:182" ht="15.75" customHeight="1" x14ac:dyDescent="0.2">
      <c r="A932" s="3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</row>
    <row r="933" spans="1:182" ht="15.75" customHeight="1" x14ac:dyDescent="0.2">
      <c r="A933" s="3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</row>
    <row r="934" spans="1:182" ht="15.75" customHeight="1" x14ac:dyDescent="0.2">
      <c r="A934" s="3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</row>
    <row r="935" spans="1:182" ht="15.75" customHeight="1" x14ac:dyDescent="0.2">
      <c r="A935" s="3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</row>
    <row r="936" spans="1:182" ht="15.75" customHeight="1" x14ac:dyDescent="0.2">
      <c r="A936" s="3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</row>
    <row r="937" spans="1:182" ht="15.75" customHeight="1" x14ac:dyDescent="0.2">
      <c r="A937" s="3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</row>
    <row r="938" spans="1:182" ht="15.75" customHeight="1" x14ac:dyDescent="0.2">
      <c r="A938" s="3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</row>
    <row r="939" spans="1:182" ht="15.75" customHeight="1" x14ac:dyDescent="0.2">
      <c r="A939" s="3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</row>
    <row r="940" spans="1:182" ht="15.75" customHeight="1" x14ac:dyDescent="0.2">
      <c r="A940" s="3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</row>
    <row r="941" spans="1:182" ht="15.75" customHeight="1" x14ac:dyDescent="0.2">
      <c r="A941" s="3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</row>
    <row r="942" spans="1:182" ht="15.75" customHeight="1" x14ac:dyDescent="0.2">
      <c r="A942" s="3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</row>
    <row r="943" spans="1:182" ht="15.75" customHeight="1" x14ac:dyDescent="0.2">
      <c r="A943" s="3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</row>
    <row r="944" spans="1:182" ht="15.75" customHeight="1" x14ac:dyDescent="0.2">
      <c r="A944" s="3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</row>
    <row r="945" spans="1:182" ht="15.75" customHeight="1" x14ac:dyDescent="0.2">
      <c r="A945" s="3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</row>
    <row r="946" spans="1:182" ht="15.75" customHeight="1" x14ac:dyDescent="0.2">
      <c r="A946" s="3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</row>
    <row r="947" spans="1:182" ht="15.75" customHeight="1" x14ac:dyDescent="0.2">
      <c r="A947" s="3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</row>
    <row r="948" spans="1:182" ht="15.75" customHeight="1" x14ac:dyDescent="0.2">
      <c r="A948" s="3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</row>
    <row r="949" spans="1:182" ht="15.75" customHeight="1" x14ac:dyDescent="0.2">
      <c r="A949" s="3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</row>
    <row r="950" spans="1:182" ht="15.75" customHeight="1" x14ac:dyDescent="0.2">
      <c r="A950" s="3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</row>
    <row r="951" spans="1:182" ht="15.75" customHeight="1" x14ac:dyDescent="0.2">
      <c r="A951" s="3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</row>
    <row r="952" spans="1:182" ht="15.75" customHeight="1" x14ac:dyDescent="0.2">
      <c r="A952" s="3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</row>
    <row r="953" spans="1:182" ht="15.75" customHeight="1" x14ac:dyDescent="0.2">
      <c r="A953" s="3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</row>
    <row r="954" spans="1:182" ht="15.75" customHeight="1" x14ac:dyDescent="0.2">
      <c r="A954" s="3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</row>
    <row r="955" spans="1:182" ht="15.75" customHeight="1" x14ac:dyDescent="0.2">
      <c r="A955" s="3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</row>
    <row r="956" spans="1:182" ht="15.75" customHeight="1" x14ac:dyDescent="0.2">
      <c r="A956" s="3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</row>
    <row r="957" spans="1:182" ht="15.75" customHeight="1" x14ac:dyDescent="0.2">
      <c r="A957" s="3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</row>
    <row r="958" spans="1:182" ht="15.75" customHeight="1" x14ac:dyDescent="0.2">
      <c r="A958" s="3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</row>
    <row r="959" spans="1:182" ht="15.75" customHeight="1" x14ac:dyDescent="0.2">
      <c r="A959" s="3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</row>
    <row r="960" spans="1:182" ht="15.75" customHeight="1" x14ac:dyDescent="0.2">
      <c r="A960" s="3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</row>
    <row r="961" spans="1:222" ht="15.75" customHeight="1" x14ac:dyDescent="0.2">
      <c r="A961" s="3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</row>
    <row r="962" spans="1:222" ht="15.75" customHeight="1" x14ac:dyDescent="0.2">
      <c r="A962" s="3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</row>
    <row r="963" spans="1:222" ht="15.75" customHeight="1" x14ac:dyDescent="0.2">
      <c r="A963" s="3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</row>
    <row r="964" spans="1:222" ht="15.75" customHeight="1" x14ac:dyDescent="0.2">
      <c r="A964" s="3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</row>
    <row r="965" spans="1:222" ht="15.75" customHeight="1" x14ac:dyDescent="0.2">
      <c r="A965" s="3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</row>
    <row r="966" spans="1:222" ht="15.75" customHeight="1" x14ac:dyDescent="0.2">
      <c r="A966" s="3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</row>
    <row r="967" spans="1:222" ht="15.75" customHeight="1" x14ac:dyDescent="0.2">
      <c r="A967" s="3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</row>
    <row r="968" spans="1:222" ht="15.75" customHeight="1" x14ac:dyDescent="0.2">
      <c r="A968" s="3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</row>
    <row r="969" spans="1:222" ht="15.75" customHeight="1" x14ac:dyDescent="0.2">
      <c r="A969" s="3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</row>
    <row r="970" spans="1:222" ht="15.75" customHeight="1" x14ac:dyDescent="0.2">
      <c r="A970" s="3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</row>
    <row r="971" spans="1:222" ht="15.75" customHeight="1" x14ac:dyDescent="0.2">
      <c r="A971" s="3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</row>
    <row r="972" spans="1:222" ht="15.75" customHeight="1" x14ac:dyDescent="0.2">
      <c r="A972" s="3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</row>
    <row r="973" spans="1:222" ht="15.75" customHeight="1" x14ac:dyDescent="0.2">
      <c r="A973" s="3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</row>
    <row r="974" spans="1:222" ht="15.75" customHeight="1" x14ac:dyDescent="0.2">
      <c r="A974" s="3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</row>
    <row r="975" spans="1:222" ht="15.75" customHeight="1" x14ac:dyDescent="0.2">
      <c r="A975" s="3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</row>
    <row r="976" spans="1:222" ht="15.75" customHeight="1" x14ac:dyDescent="0.2">
      <c r="A976" s="3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</row>
    <row r="977" spans="1:222" ht="15.75" customHeight="1" x14ac:dyDescent="0.2">
      <c r="A977" s="3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</row>
    <row r="978" spans="1:222" ht="15.75" customHeight="1" x14ac:dyDescent="0.2">
      <c r="A978" s="3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</row>
    <row r="979" spans="1:222" ht="15.75" customHeight="1" x14ac:dyDescent="0.2">
      <c r="A979" s="3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</row>
    <row r="980" spans="1:222" ht="15.75" customHeight="1" x14ac:dyDescent="0.2">
      <c r="A980" s="3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</row>
    <row r="981" spans="1:222" ht="15.75" customHeight="1" x14ac:dyDescent="0.2">
      <c r="A981" s="3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</row>
    <row r="982" spans="1:222" ht="15.75" customHeight="1" x14ac:dyDescent="0.2">
      <c r="A982" s="3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</row>
    <row r="983" spans="1:222" ht="15.75" customHeight="1" x14ac:dyDescent="0.2">
      <c r="A983" s="3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</row>
    <row r="984" spans="1:222" ht="15.75" customHeight="1" x14ac:dyDescent="0.2">
      <c r="A984" s="3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</row>
    <row r="985" spans="1:222" ht="15.75" customHeight="1" x14ac:dyDescent="0.2">
      <c r="A985" s="3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</row>
    <row r="986" spans="1:222" ht="15.75" customHeight="1" x14ac:dyDescent="0.2">
      <c r="A986" s="3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</row>
    <row r="987" spans="1:222" ht="15.75" customHeight="1" x14ac:dyDescent="0.2">
      <c r="A987" s="3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</row>
    <row r="988" spans="1:222" ht="15.75" customHeight="1" x14ac:dyDescent="0.2">
      <c r="A988" s="3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</row>
    <row r="989" spans="1:222" ht="15.75" customHeight="1" x14ac:dyDescent="0.2">
      <c r="A989" s="3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</row>
    <row r="990" spans="1:222" ht="15.75" customHeight="1" x14ac:dyDescent="0.2">
      <c r="A990" s="3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</row>
    <row r="991" spans="1:222" ht="15.75" customHeight="1" x14ac:dyDescent="0.2">
      <c r="A991" s="3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</row>
    <row r="992" spans="1:222" ht="15.75" customHeight="1" x14ac:dyDescent="0.2">
      <c r="A992" s="3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</row>
    <row r="993" spans="1:222" ht="15.75" customHeight="1" x14ac:dyDescent="0.2">
      <c r="A993" s="3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</row>
    <row r="994" spans="1:222" ht="15.75" customHeight="1" x14ac:dyDescent="0.2">
      <c r="A994" s="3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</row>
    <row r="995" spans="1:222" ht="15.75" customHeight="1" x14ac:dyDescent="0.2">
      <c r="A995" s="3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</row>
    <row r="996" spans="1:222" ht="15.75" customHeight="1" x14ac:dyDescent="0.2">
      <c r="A996" s="3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</row>
    <row r="997" spans="1:222" ht="15.75" customHeight="1" x14ac:dyDescent="0.2">
      <c r="A997" s="3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  <c r="GZ997" s="2"/>
      <c r="HA997" s="2"/>
      <c r="HB997" s="2"/>
      <c r="HC997" s="2"/>
      <c r="HD997" s="2"/>
      <c r="HE997" s="2"/>
      <c r="HF997" s="2"/>
      <c r="HG997" s="2"/>
      <c r="HH997" s="2"/>
      <c r="HI997" s="2"/>
      <c r="HJ997" s="2"/>
      <c r="HK997" s="2"/>
      <c r="HL997" s="2"/>
      <c r="HM997" s="2"/>
      <c r="HN997" s="2"/>
    </row>
    <row r="998" spans="1:222" ht="15.75" customHeight="1" x14ac:dyDescent="0.2">
      <c r="A998" s="3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</row>
    <row r="999" spans="1:222" ht="15.75" customHeight="1" x14ac:dyDescent="0.2">
      <c r="A999" s="3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/>
      <c r="HN999" s="2"/>
    </row>
    <row r="1000" spans="1:222" ht="15.75" customHeight="1" x14ac:dyDescent="0.2">
      <c r="A1000" s="3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/>
      <c r="HN1000" s="2"/>
    </row>
    <row r="1001" spans="1:222" ht="15.75" customHeight="1" x14ac:dyDescent="0.2">
      <c r="A1001" s="3"/>
      <c r="B1001" s="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/>
      <c r="HN1001" s="2"/>
    </row>
    <row r="1002" spans="1:222" ht="15.75" customHeight="1" x14ac:dyDescent="0.2">
      <c r="A1002" s="3"/>
      <c r="B1002" s="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</row>
    <row r="1003" spans="1:222" ht="15.75" customHeight="1" x14ac:dyDescent="0.2">
      <c r="A1003" s="3"/>
      <c r="B1003" s="3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</row>
    <row r="1004" spans="1:222" ht="15.75" customHeight="1" x14ac:dyDescent="0.2">
      <c r="A1004" s="3"/>
      <c r="B1004" s="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</row>
    <row r="1005" spans="1:222" ht="15.75" customHeight="1" x14ac:dyDescent="0.2">
      <c r="A1005" s="3"/>
      <c r="B1005" s="3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/>
      <c r="HN1005" s="2"/>
    </row>
    <row r="1006" spans="1:222" ht="15.75" customHeight="1" x14ac:dyDescent="0.2">
      <c r="A1006" s="3"/>
      <c r="B1006" s="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  <c r="GA1006" s="2"/>
      <c r="GB1006" s="2"/>
      <c r="GC1006" s="2"/>
      <c r="GD1006" s="2"/>
      <c r="GE1006" s="2"/>
      <c r="GF1006" s="2"/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  <c r="GR1006" s="2"/>
      <c r="GS1006" s="2"/>
      <c r="GT1006" s="2"/>
      <c r="GU1006" s="2"/>
      <c r="GV1006" s="2"/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/>
      <c r="HN1006" s="2"/>
    </row>
    <row r="1007" spans="1:222" ht="15.75" customHeight="1" x14ac:dyDescent="0.2">
      <c r="A1007" s="3"/>
      <c r="B1007" s="3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  <c r="FB1007" s="2"/>
      <c r="FC1007" s="2"/>
      <c r="FD1007" s="2"/>
      <c r="FE1007" s="2"/>
      <c r="FF1007" s="2"/>
      <c r="FG1007" s="2"/>
      <c r="FH1007" s="2"/>
      <c r="FI1007" s="2"/>
      <c r="FJ1007" s="2"/>
      <c r="FK1007" s="2"/>
      <c r="FL1007" s="2"/>
      <c r="FM1007" s="2"/>
      <c r="FN1007" s="2"/>
      <c r="FO1007" s="2"/>
      <c r="FP1007" s="2"/>
      <c r="FQ1007" s="2"/>
      <c r="FR1007" s="2"/>
      <c r="FS1007" s="2"/>
      <c r="FT1007" s="2"/>
      <c r="FU1007" s="2"/>
      <c r="FV1007" s="2"/>
      <c r="FW1007" s="2"/>
      <c r="FX1007" s="2"/>
      <c r="FY1007" s="2"/>
      <c r="FZ1007" s="2"/>
      <c r="GA1007" s="2"/>
      <c r="GB1007" s="2"/>
      <c r="GC1007" s="2"/>
      <c r="GD1007" s="2"/>
      <c r="GE1007" s="2"/>
      <c r="GF1007" s="2"/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/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/>
      <c r="HN1007" s="2"/>
    </row>
    <row r="1008" spans="1:222" ht="15.75" customHeight="1" x14ac:dyDescent="0.2">
      <c r="A1008" s="3"/>
      <c r="B1008" s="3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  <c r="FB1008" s="2"/>
      <c r="FC1008" s="2"/>
      <c r="FD1008" s="2"/>
      <c r="FE1008" s="2"/>
      <c r="FF1008" s="2"/>
      <c r="FG1008" s="2"/>
      <c r="FH1008" s="2"/>
      <c r="FI1008" s="2"/>
      <c r="FJ1008" s="2"/>
      <c r="FK1008" s="2"/>
      <c r="FL1008" s="2"/>
      <c r="FM1008" s="2"/>
      <c r="FN1008" s="2"/>
      <c r="FO1008" s="2"/>
      <c r="FP1008" s="2"/>
      <c r="FQ1008" s="2"/>
      <c r="FR1008" s="2"/>
      <c r="FS1008" s="2"/>
      <c r="FT1008" s="2"/>
      <c r="FU1008" s="2"/>
      <c r="FV1008" s="2"/>
      <c r="FW1008" s="2"/>
      <c r="FX1008" s="2"/>
      <c r="FY1008" s="2"/>
      <c r="FZ1008" s="2"/>
      <c r="GA1008" s="2"/>
      <c r="GB1008" s="2"/>
      <c r="GC1008" s="2"/>
      <c r="GD1008" s="2"/>
      <c r="GE1008" s="2"/>
      <c r="GF1008" s="2"/>
      <c r="GG1008" s="2"/>
      <c r="GH1008" s="2"/>
      <c r="GI1008" s="2"/>
      <c r="GJ1008" s="2"/>
      <c r="GK1008" s="2"/>
      <c r="GL1008" s="2"/>
      <c r="GM1008" s="2"/>
      <c r="GN1008" s="2"/>
      <c r="GO1008" s="2"/>
      <c r="GP1008" s="2"/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/>
      <c r="HN1008" s="2"/>
    </row>
    <row r="1009" spans="1:222" ht="15.75" customHeight="1" x14ac:dyDescent="0.2">
      <c r="A1009" s="3"/>
      <c r="B1009" s="3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  <c r="GR1009" s="2"/>
      <c r="GS1009" s="2"/>
      <c r="GT1009" s="2"/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/>
      <c r="HN1009" s="2"/>
    </row>
    <row r="1010" spans="1:222" ht="15.75" customHeight="1" x14ac:dyDescent="0.2">
      <c r="A1010" s="3"/>
      <c r="B1010" s="3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  <c r="FQ1010" s="2"/>
      <c r="FR1010" s="2"/>
      <c r="FS1010" s="2"/>
      <c r="FT1010" s="2"/>
      <c r="FU1010" s="2"/>
      <c r="FV1010" s="2"/>
      <c r="FW1010" s="2"/>
      <c r="FX1010" s="2"/>
      <c r="FY1010" s="2"/>
      <c r="FZ1010" s="2"/>
      <c r="GA1010" s="2"/>
      <c r="GB1010" s="2"/>
      <c r="GC1010" s="2"/>
      <c r="GD1010" s="2"/>
      <c r="GE1010" s="2"/>
      <c r="GF1010" s="2"/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  <c r="GR1010" s="2"/>
      <c r="GS1010" s="2"/>
      <c r="GT1010" s="2"/>
      <c r="GU1010" s="2"/>
      <c r="GV1010" s="2"/>
      <c r="GW1010" s="2"/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/>
      <c r="HJ1010" s="2"/>
      <c r="HK1010" s="2"/>
      <c r="HL1010" s="2"/>
      <c r="HM1010" s="2"/>
      <c r="HN1010" s="2"/>
    </row>
    <row r="1011" spans="1:222" ht="15.75" customHeight="1" x14ac:dyDescent="0.2">
      <c r="A1011" s="3"/>
      <c r="B1011" s="3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  <c r="EX1011" s="2"/>
      <c r="EY1011" s="2"/>
      <c r="EZ1011" s="2"/>
      <c r="FA1011" s="2"/>
      <c r="FB1011" s="2"/>
      <c r="FC1011" s="2"/>
      <c r="FD1011" s="2"/>
      <c r="FE1011" s="2"/>
      <c r="FF1011" s="2"/>
      <c r="FG1011" s="2"/>
      <c r="FH1011" s="2"/>
      <c r="FI1011" s="2"/>
      <c r="FJ1011" s="2"/>
      <c r="FK1011" s="2"/>
      <c r="FL1011" s="2"/>
      <c r="FM1011" s="2"/>
      <c r="FN1011" s="2"/>
      <c r="FO1011" s="2"/>
      <c r="FP1011" s="2"/>
      <c r="FQ1011" s="2"/>
      <c r="FR1011" s="2"/>
      <c r="FS1011" s="2"/>
      <c r="FT1011" s="2"/>
      <c r="FU1011" s="2"/>
      <c r="FV1011" s="2"/>
      <c r="FW1011" s="2"/>
      <c r="FX1011" s="2"/>
      <c r="FY1011" s="2"/>
      <c r="FZ1011" s="2"/>
      <c r="GA1011" s="2"/>
      <c r="GB1011" s="2"/>
      <c r="GC1011" s="2"/>
      <c r="GD1011" s="2"/>
      <c r="GE1011" s="2"/>
      <c r="GF1011" s="2"/>
      <c r="GG1011" s="2"/>
      <c r="GH1011" s="2"/>
      <c r="GI1011" s="2"/>
      <c r="GJ1011" s="2"/>
      <c r="GK1011" s="2"/>
      <c r="GL1011" s="2"/>
      <c r="GM1011" s="2"/>
      <c r="GN1011" s="2"/>
      <c r="GO1011" s="2"/>
      <c r="GP1011" s="2"/>
      <c r="GQ1011" s="2"/>
      <c r="GR1011" s="2"/>
      <c r="GS1011" s="2"/>
      <c r="GT1011" s="2"/>
      <c r="GU1011" s="2"/>
      <c r="GV1011" s="2"/>
      <c r="GW1011" s="2"/>
      <c r="GX1011" s="2"/>
      <c r="GY1011" s="2"/>
      <c r="GZ1011" s="2"/>
      <c r="HA1011" s="2"/>
      <c r="HB1011" s="2"/>
      <c r="HC1011" s="2"/>
      <c r="HD1011" s="2"/>
      <c r="HE1011" s="2"/>
      <c r="HF1011" s="2"/>
      <c r="HG1011" s="2"/>
      <c r="HH1011" s="2"/>
      <c r="HI1011" s="2"/>
      <c r="HJ1011" s="2"/>
      <c r="HK1011" s="2"/>
      <c r="HL1011" s="2"/>
      <c r="HM1011" s="2"/>
      <c r="HN1011" s="2"/>
    </row>
    <row r="1012" spans="1:222" ht="15.75" customHeight="1" x14ac:dyDescent="0.2">
      <c r="A1012" s="3"/>
      <c r="B1012" s="3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  <c r="EX1012" s="2"/>
      <c r="EY1012" s="2"/>
      <c r="EZ1012" s="2"/>
      <c r="FA1012" s="2"/>
      <c r="FB1012" s="2"/>
      <c r="FC1012" s="2"/>
      <c r="FD1012" s="2"/>
      <c r="FE1012" s="2"/>
      <c r="FF1012" s="2"/>
      <c r="FG1012" s="2"/>
      <c r="FH1012" s="2"/>
      <c r="FI1012" s="2"/>
      <c r="FJ1012" s="2"/>
      <c r="FK1012" s="2"/>
      <c r="FL1012" s="2"/>
      <c r="FM1012" s="2"/>
      <c r="FN1012" s="2"/>
      <c r="FO1012" s="2"/>
      <c r="FP1012" s="2"/>
      <c r="FQ1012" s="2"/>
      <c r="FR1012" s="2"/>
      <c r="FS1012" s="2"/>
      <c r="FT1012" s="2"/>
      <c r="FU1012" s="2"/>
      <c r="FV1012" s="2"/>
      <c r="FW1012" s="2"/>
      <c r="FX1012" s="2"/>
      <c r="FY1012" s="2"/>
      <c r="FZ1012" s="2"/>
      <c r="GA1012" s="2"/>
      <c r="GB1012" s="2"/>
      <c r="GC1012" s="2"/>
      <c r="GD1012" s="2"/>
      <c r="GE1012" s="2"/>
      <c r="GF1012" s="2"/>
      <c r="GG1012" s="2"/>
      <c r="GH1012" s="2"/>
      <c r="GI1012" s="2"/>
      <c r="GJ1012" s="2"/>
      <c r="GK1012" s="2"/>
      <c r="GL1012" s="2"/>
      <c r="GM1012" s="2"/>
      <c r="GN1012" s="2"/>
      <c r="GO1012" s="2"/>
      <c r="GP1012" s="2"/>
      <c r="GQ1012" s="2"/>
      <c r="GR1012" s="2"/>
      <c r="GS1012" s="2"/>
      <c r="GT1012" s="2"/>
      <c r="GU1012" s="2"/>
      <c r="GV1012" s="2"/>
      <c r="GW1012" s="2"/>
      <c r="GX1012" s="2"/>
      <c r="GY1012" s="2"/>
      <c r="GZ1012" s="2"/>
      <c r="HA1012" s="2"/>
      <c r="HB1012" s="2"/>
      <c r="HC1012" s="2"/>
      <c r="HD1012" s="2"/>
      <c r="HE1012" s="2"/>
      <c r="HF1012" s="2"/>
      <c r="HG1012" s="2"/>
      <c r="HH1012" s="2"/>
      <c r="HI1012" s="2"/>
      <c r="HJ1012" s="2"/>
      <c r="HK1012" s="2"/>
      <c r="HL1012" s="2"/>
      <c r="HM1012" s="2"/>
      <c r="HN1012" s="2"/>
    </row>
    <row r="1013" spans="1:222" ht="15.75" customHeight="1" x14ac:dyDescent="0.2">
      <c r="A1013" s="3"/>
      <c r="B1013" s="3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  <c r="FB1013" s="2"/>
      <c r="FC1013" s="2"/>
      <c r="FD1013" s="2"/>
      <c r="FE1013" s="2"/>
      <c r="FF1013" s="2"/>
      <c r="FG1013" s="2"/>
      <c r="FH1013" s="2"/>
      <c r="FI1013" s="2"/>
      <c r="FJ1013" s="2"/>
      <c r="FK1013" s="2"/>
      <c r="FL1013" s="2"/>
      <c r="FM1013" s="2"/>
      <c r="FN1013" s="2"/>
      <c r="FO1013" s="2"/>
      <c r="FP1013" s="2"/>
      <c r="FQ1013" s="2"/>
      <c r="FR1013" s="2"/>
      <c r="FS1013" s="2"/>
      <c r="FT1013" s="2"/>
      <c r="FU1013" s="2"/>
      <c r="FV1013" s="2"/>
      <c r="FW1013" s="2"/>
      <c r="FX1013" s="2"/>
      <c r="FY1013" s="2"/>
      <c r="FZ1013" s="2"/>
      <c r="GA1013" s="2"/>
      <c r="GB1013" s="2"/>
      <c r="GC1013" s="2"/>
      <c r="GD1013" s="2"/>
      <c r="GE1013" s="2"/>
      <c r="GF1013" s="2"/>
      <c r="GG1013" s="2"/>
      <c r="GH1013" s="2"/>
      <c r="GI1013" s="2"/>
      <c r="GJ1013" s="2"/>
      <c r="GK1013" s="2"/>
      <c r="GL1013" s="2"/>
      <c r="GM1013" s="2"/>
      <c r="GN1013" s="2"/>
      <c r="GO1013" s="2"/>
      <c r="GP1013" s="2"/>
      <c r="GQ1013" s="2"/>
      <c r="GR1013" s="2"/>
      <c r="GS1013" s="2"/>
      <c r="GT1013" s="2"/>
      <c r="GU1013" s="2"/>
      <c r="GV1013" s="2"/>
      <c r="GW1013" s="2"/>
      <c r="GX1013" s="2"/>
      <c r="GY1013" s="2"/>
      <c r="GZ1013" s="2"/>
      <c r="HA1013" s="2"/>
      <c r="HB1013" s="2"/>
      <c r="HC1013" s="2"/>
      <c r="HD1013" s="2"/>
      <c r="HE1013" s="2"/>
      <c r="HF1013" s="2"/>
      <c r="HG1013" s="2"/>
      <c r="HH1013" s="2"/>
      <c r="HI1013" s="2"/>
      <c r="HJ1013" s="2"/>
      <c r="HK1013" s="2"/>
      <c r="HL1013" s="2"/>
      <c r="HM1013" s="2"/>
      <c r="HN1013" s="2"/>
    </row>
    <row r="1014" spans="1:222" ht="15.75" customHeight="1" x14ac:dyDescent="0.2">
      <c r="A1014" s="3"/>
      <c r="B1014" s="3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  <c r="FQ1014" s="2"/>
      <c r="FR1014" s="2"/>
      <c r="FS1014" s="2"/>
      <c r="FT1014" s="2"/>
      <c r="FU1014" s="2"/>
      <c r="FV1014" s="2"/>
      <c r="FW1014" s="2"/>
      <c r="FX1014" s="2"/>
      <c r="FY1014" s="2"/>
      <c r="FZ1014" s="2"/>
      <c r="GA1014" s="2"/>
      <c r="GB1014" s="2"/>
      <c r="GC1014" s="2"/>
      <c r="GD1014" s="2"/>
      <c r="GE1014" s="2"/>
      <c r="GF1014" s="2"/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  <c r="GR1014" s="2"/>
      <c r="GS1014" s="2"/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/>
      <c r="HN1014" s="2"/>
    </row>
    <row r="1015" spans="1:222" ht="15.75" customHeight="1" x14ac:dyDescent="0.2">
      <c r="A1015" s="3"/>
      <c r="B1015" s="3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  <c r="FB1015" s="2"/>
      <c r="FC1015" s="2"/>
      <c r="FD1015" s="2"/>
      <c r="FE1015" s="2"/>
      <c r="FF1015" s="2"/>
      <c r="FG1015" s="2"/>
      <c r="FH1015" s="2"/>
      <c r="FI1015" s="2"/>
      <c r="FJ1015" s="2"/>
      <c r="FK1015" s="2"/>
      <c r="FL1015" s="2"/>
      <c r="FM1015" s="2"/>
      <c r="FN1015" s="2"/>
      <c r="FO1015" s="2"/>
      <c r="FP1015" s="2"/>
      <c r="FQ1015" s="2"/>
      <c r="FR1015" s="2"/>
      <c r="FS1015" s="2"/>
      <c r="FT1015" s="2"/>
      <c r="FU1015" s="2"/>
      <c r="FV1015" s="2"/>
      <c r="FW1015" s="2"/>
      <c r="FX1015" s="2"/>
      <c r="FY1015" s="2"/>
      <c r="FZ1015" s="2"/>
      <c r="GA1015" s="2"/>
      <c r="GB1015" s="2"/>
      <c r="GC1015" s="2"/>
      <c r="GD1015" s="2"/>
      <c r="GE1015" s="2"/>
      <c r="GF1015" s="2"/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/>
      <c r="HN1015" s="2"/>
    </row>
    <row r="1016" spans="1:222" ht="15.75" customHeight="1" x14ac:dyDescent="0.2">
      <c r="A1016" s="3"/>
      <c r="B1016" s="3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  <c r="FQ1016" s="2"/>
      <c r="FR1016" s="2"/>
      <c r="FS1016" s="2"/>
      <c r="FT1016" s="2"/>
      <c r="FU1016" s="2"/>
      <c r="FV1016" s="2"/>
      <c r="FW1016" s="2"/>
      <c r="FX1016" s="2"/>
      <c r="FY1016" s="2"/>
      <c r="FZ1016" s="2"/>
      <c r="GA1016" s="2"/>
      <c r="GB1016" s="2"/>
      <c r="GC1016" s="2"/>
      <c r="GD1016" s="2"/>
      <c r="GE1016" s="2"/>
      <c r="GF1016" s="2"/>
      <c r="GG1016" s="2"/>
      <c r="GH1016" s="2"/>
      <c r="GI1016" s="2"/>
      <c r="GJ1016" s="2"/>
      <c r="GK1016" s="2"/>
      <c r="GL1016" s="2"/>
      <c r="GM1016" s="2"/>
      <c r="GN1016" s="2"/>
      <c r="GO1016" s="2"/>
      <c r="GP1016" s="2"/>
      <c r="GQ1016" s="2"/>
      <c r="GR1016" s="2"/>
      <c r="GS1016" s="2"/>
      <c r="GT1016" s="2"/>
      <c r="GU1016" s="2"/>
      <c r="GV1016" s="2"/>
      <c r="GW1016" s="2"/>
      <c r="GX1016" s="2"/>
      <c r="GY1016" s="2"/>
      <c r="GZ1016" s="2"/>
      <c r="HA1016" s="2"/>
      <c r="HB1016" s="2"/>
      <c r="HC1016" s="2"/>
      <c r="HD1016" s="2"/>
      <c r="HE1016" s="2"/>
      <c r="HF1016" s="2"/>
      <c r="HG1016" s="2"/>
      <c r="HH1016" s="2"/>
      <c r="HI1016" s="2"/>
      <c r="HJ1016" s="2"/>
      <c r="HK1016" s="2"/>
      <c r="HL1016" s="2"/>
      <c r="HM1016" s="2"/>
      <c r="HN1016" s="2"/>
    </row>
    <row r="1017" spans="1:222" ht="15.75" customHeight="1" x14ac:dyDescent="0.2">
      <c r="A1017" s="3"/>
      <c r="B1017" s="3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  <c r="EX1017" s="2"/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/>
      <c r="FK1017" s="2"/>
      <c r="FL1017" s="2"/>
      <c r="FM1017" s="2"/>
      <c r="FN1017" s="2"/>
      <c r="FO1017" s="2"/>
      <c r="FP1017" s="2"/>
      <c r="FQ1017" s="2"/>
      <c r="FR1017" s="2"/>
      <c r="FS1017" s="2"/>
      <c r="FT1017" s="2"/>
      <c r="FU1017" s="2"/>
      <c r="FV1017" s="2"/>
      <c r="FW1017" s="2"/>
      <c r="FX1017" s="2"/>
      <c r="FY1017" s="2"/>
      <c r="FZ1017" s="2"/>
      <c r="GA1017" s="2"/>
      <c r="GB1017" s="2"/>
      <c r="GC1017" s="2"/>
      <c r="GD1017" s="2"/>
      <c r="GE1017" s="2"/>
      <c r="GF1017" s="2"/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  <c r="GR1017" s="2"/>
      <c r="GS1017" s="2"/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/>
      <c r="HN1017" s="2"/>
    </row>
    <row r="1018" spans="1:222" ht="15.75" customHeight="1" x14ac:dyDescent="0.2">
      <c r="A1018" s="3"/>
      <c r="B1018" s="3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  <c r="FB1018" s="2"/>
      <c r="FC1018" s="2"/>
      <c r="FD1018" s="2"/>
      <c r="FE1018" s="2"/>
      <c r="FF1018" s="2"/>
      <c r="FG1018" s="2"/>
      <c r="FH1018" s="2"/>
      <c r="FI1018" s="2"/>
      <c r="FJ1018" s="2"/>
      <c r="FK1018" s="2"/>
      <c r="FL1018" s="2"/>
      <c r="FM1018" s="2"/>
      <c r="FN1018" s="2"/>
      <c r="FO1018" s="2"/>
      <c r="FP1018" s="2"/>
      <c r="FQ1018" s="2"/>
      <c r="FR1018" s="2"/>
      <c r="FS1018" s="2"/>
      <c r="FT1018" s="2"/>
      <c r="FU1018" s="2"/>
      <c r="FV1018" s="2"/>
      <c r="FW1018" s="2"/>
      <c r="FX1018" s="2"/>
      <c r="FY1018" s="2"/>
      <c r="FZ1018" s="2"/>
      <c r="GA1018" s="2"/>
      <c r="GB1018" s="2"/>
      <c r="GC1018" s="2"/>
      <c r="GD1018" s="2"/>
      <c r="GE1018" s="2"/>
      <c r="GF1018" s="2"/>
      <c r="GG1018" s="2"/>
      <c r="GH1018" s="2"/>
      <c r="GI1018" s="2"/>
      <c r="GJ1018" s="2"/>
      <c r="GK1018" s="2"/>
      <c r="GL1018" s="2"/>
      <c r="GM1018" s="2"/>
      <c r="GN1018" s="2"/>
      <c r="GO1018" s="2"/>
      <c r="GP1018" s="2"/>
      <c r="GQ1018" s="2"/>
      <c r="GR1018" s="2"/>
      <c r="GS1018" s="2"/>
      <c r="GT1018" s="2"/>
      <c r="GU1018" s="2"/>
      <c r="GV1018" s="2"/>
      <c r="GW1018" s="2"/>
      <c r="GX1018" s="2"/>
      <c r="GY1018" s="2"/>
      <c r="GZ1018" s="2"/>
      <c r="HA1018" s="2"/>
      <c r="HB1018" s="2"/>
      <c r="HC1018" s="2"/>
      <c r="HD1018" s="2"/>
      <c r="HE1018" s="2"/>
      <c r="HF1018" s="2"/>
      <c r="HG1018" s="2"/>
      <c r="HH1018" s="2"/>
      <c r="HI1018" s="2"/>
      <c r="HJ1018" s="2"/>
      <c r="HK1018" s="2"/>
      <c r="HL1018" s="2"/>
      <c r="HM1018" s="2"/>
      <c r="HN1018" s="2"/>
    </row>
    <row r="1019" spans="1:222" ht="15.75" customHeight="1" x14ac:dyDescent="0.2">
      <c r="A1019" s="3"/>
      <c r="B1019" s="3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  <c r="FQ1019" s="2"/>
      <c r="FR1019" s="2"/>
      <c r="FS1019" s="2"/>
      <c r="FT1019" s="2"/>
      <c r="FU1019" s="2"/>
      <c r="FV1019" s="2"/>
      <c r="FW1019" s="2"/>
      <c r="FX1019" s="2"/>
      <c r="FY1019" s="2"/>
      <c r="FZ1019" s="2"/>
      <c r="GA1019" s="2"/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/>
      <c r="HN1019" s="2"/>
    </row>
    <row r="1020" spans="1:222" ht="15.75" customHeight="1" x14ac:dyDescent="0.2">
      <c r="A1020" s="3"/>
      <c r="B1020" s="3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/>
      <c r="HN1020" s="2"/>
    </row>
    <row r="1021" spans="1:222" ht="15.75" customHeight="1" x14ac:dyDescent="0.2">
      <c r="A1021" s="3"/>
      <c r="B1021" s="3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/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  <c r="GL1021" s="2"/>
      <c r="GM1021" s="2"/>
      <c r="GN1021" s="2"/>
      <c r="GO1021" s="2"/>
      <c r="GP1021" s="2"/>
      <c r="GQ1021" s="2"/>
      <c r="GR1021" s="2"/>
      <c r="GS1021" s="2"/>
      <c r="GT1021" s="2"/>
      <c r="GU1021" s="2"/>
      <c r="GV1021" s="2"/>
      <c r="GW1021" s="2"/>
      <c r="GX1021" s="2"/>
      <c r="GY1021" s="2"/>
      <c r="GZ1021" s="2"/>
      <c r="HA1021" s="2"/>
      <c r="HB1021" s="2"/>
      <c r="HC1021" s="2"/>
      <c r="HD1021" s="2"/>
      <c r="HE1021" s="2"/>
      <c r="HF1021" s="2"/>
      <c r="HG1021" s="2"/>
      <c r="HH1021" s="2"/>
      <c r="HI1021" s="2"/>
      <c r="HJ1021" s="2"/>
      <c r="HK1021" s="2"/>
      <c r="HL1021" s="2"/>
      <c r="HM1021" s="2"/>
      <c r="HN1021" s="2"/>
    </row>
    <row r="1022" spans="1:222" ht="15.75" customHeight="1" x14ac:dyDescent="0.2">
      <c r="A1022" s="3"/>
      <c r="B1022" s="3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/>
      <c r="FR1022" s="2"/>
      <c r="FS1022" s="2"/>
      <c r="FT1022" s="2"/>
      <c r="FU1022" s="2"/>
      <c r="FV1022" s="2"/>
      <c r="FW1022" s="2"/>
      <c r="FX1022" s="2"/>
      <c r="FY1022" s="2"/>
      <c r="FZ1022" s="2"/>
      <c r="GA1022" s="2"/>
      <c r="GB1022" s="2"/>
      <c r="GC1022" s="2"/>
      <c r="GD1022" s="2"/>
      <c r="GE1022" s="2"/>
      <c r="GF1022" s="2"/>
      <c r="GG1022" s="2"/>
      <c r="GH1022" s="2"/>
      <c r="GI1022" s="2"/>
      <c r="GJ1022" s="2"/>
      <c r="GK1022" s="2"/>
      <c r="GL1022" s="2"/>
      <c r="GM1022" s="2"/>
      <c r="GN1022" s="2"/>
      <c r="GO1022" s="2"/>
      <c r="GP1022" s="2"/>
      <c r="GQ1022" s="2"/>
      <c r="GR1022" s="2"/>
      <c r="GS1022" s="2"/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/>
      <c r="HN1022" s="2"/>
    </row>
    <row r="1023" spans="1:222" ht="15.75" customHeight="1" x14ac:dyDescent="0.2">
      <c r="A1023" s="3"/>
      <c r="B1023" s="3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  <c r="FQ1023" s="2"/>
      <c r="FR1023" s="2"/>
      <c r="FS1023" s="2"/>
      <c r="FT1023" s="2"/>
      <c r="FU1023" s="2"/>
      <c r="FV1023" s="2"/>
      <c r="FW1023" s="2"/>
      <c r="FX1023" s="2"/>
      <c r="FY1023" s="2"/>
      <c r="FZ1023" s="2"/>
      <c r="GA1023" s="2"/>
      <c r="GB1023" s="2"/>
      <c r="GC1023" s="2"/>
      <c r="GD1023" s="2"/>
      <c r="GE1023" s="2"/>
      <c r="GF1023" s="2"/>
      <c r="GG1023" s="2"/>
      <c r="GH1023" s="2"/>
      <c r="GI1023" s="2"/>
      <c r="GJ1023" s="2"/>
      <c r="GK1023" s="2"/>
      <c r="GL1023" s="2"/>
      <c r="GM1023" s="2"/>
      <c r="GN1023" s="2"/>
      <c r="GO1023" s="2"/>
      <c r="GP1023" s="2"/>
      <c r="GQ1023" s="2"/>
      <c r="GR1023" s="2"/>
      <c r="GS1023" s="2"/>
      <c r="GT1023" s="2"/>
      <c r="GU1023" s="2"/>
      <c r="GV1023" s="2"/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/>
      <c r="HN1023" s="2"/>
    </row>
    <row r="1024" spans="1:222" ht="15.75" customHeight="1" x14ac:dyDescent="0.2">
      <c r="A1024" s="3"/>
      <c r="B1024" s="3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/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/>
      <c r="GD1024" s="2"/>
      <c r="GE1024" s="2"/>
      <c r="GF1024" s="2"/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/>
      <c r="GS1024" s="2"/>
      <c r="GT1024" s="2"/>
      <c r="GU1024" s="2"/>
      <c r="GV1024" s="2"/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/>
      <c r="HN1024" s="2"/>
    </row>
    <row r="1025" spans="1:222" ht="15.75" customHeight="1" x14ac:dyDescent="0.2">
      <c r="A1025" s="3"/>
      <c r="B1025" s="3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  <c r="FB1025" s="2"/>
      <c r="FC1025" s="2"/>
      <c r="FD1025" s="2"/>
      <c r="FE1025" s="2"/>
      <c r="FF1025" s="2"/>
      <c r="FG1025" s="2"/>
      <c r="FH1025" s="2"/>
      <c r="FI1025" s="2"/>
      <c r="FJ1025" s="2"/>
      <c r="FK1025" s="2"/>
      <c r="FL1025" s="2"/>
      <c r="FM1025" s="2"/>
      <c r="FN1025" s="2"/>
      <c r="FO1025" s="2"/>
      <c r="FP1025" s="2"/>
      <c r="FQ1025" s="2"/>
      <c r="FR1025" s="2"/>
      <c r="FS1025" s="2"/>
      <c r="FT1025" s="2"/>
      <c r="FU1025" s="2"/>
      <c r="FV1025" s="2"/>
      <c r="FW1025" s="2"/>
      <c r="FX1025" s="2"/>
      <c r="FY1025" s="2"/>
      <c r="FZ1025" s="2"/>
      <c r="GA1025" s="2"/>
      <c r="GB1025" s="2"/>
      <c r="GC1025" s="2"/>
      <c r="GD1025" s="2"/>
      <c r="GE1025" s="2"/>
      <c r="GF1025" s="2"/>
      <c r="GG1025" s="2"/>
      <c r="GH1025" s="2"/>
      <c r="GI1025" s="2"/>
      <c r="GJ1025" s="2"/>
      <c r="GK1025" s="2"/>
      <c r="GL1025" s="2"/>
      <c r="GM1025" s="2"/>
      <c r="GN1025" s="2"/>
      <c r="GO1025" s="2"/>
      <c r="GP1025" s="2"/>
      <c r="GQ1025" s="2"/>
      <c r="GR1025" s="2"/>
      <c r="GS1025" s="2"/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/>
      <c r="HN1025" s="2"/>
    </row>
    <row r="1026" spans="1:222" ht="15.75" customHeight="1" x14ac:dyDescent="0.2">
      <c r="A1026" s="3"/>
      <c r="B1026" s="3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  <c r="FQ1026" s="2"/>
      <c r="FR1026" s="2"/>
      <c r="FS1026" s="2"/>
      <c r="FT1026" s="2"/>
      <c r="FU1026" s="2"/>
      <c r="FV1026" s="2"/>
      <c r="FW1026" s="2"/>
      <c r="FX1026" s="2"/>
      <c r="FY1026" s="2"/>
      <c r="FZ1026" s="2"/>
      <c r="GA1026" s="2"/>
      <c r="GB1026" s="2"/>
      <c r="GC1026" s="2"/>
      <c r="GD1026" s="2"/>
      <c r="GE1026" s="2"/>
      <c r="GF1026" s="2"/>
      <c r="GG1026" s="2"/>
      <c r="GH1026" s="2"/>
      <c r="GI1026" s="2"/>
      <c r="GJ1026" s="2"/>
      <c r="GK1026" s="2"/>
      <c r="GL1026" s="2"/>
      <c r="GM1026" s="2"/>
      <c r="GN1026" s="2"/>
      <c r="GO1026" s="2"/>
      <c r="GP1026" s="2"/>
      <c r="GQ1026" s="2"/>
      <c r="GR1026" s="2"/>
      <c r="GS1026" s="2"/>
      <c r="GT1026" s="2"/>
      <c r="GU1026" s="2"/>
      <c r="GV1026" s="2"/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/>
      <c r="HN1026" s="2"/>
    </row>
    <row r="1027" spans="1:222" ht="15.75" customHeight="1" x14ac:dyDescent="0.2">
      <c r="A1027" s="3"/>
      <c r="B1027" s="3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  <c r="FB1027" s="2"/>
      <c r="FC1027" s="2"/>
      <c r="FD1027" s="2"/>
      <c r="FE1027" s="2"/>
      <c r="FF1027" s="2"/>
      <c r="FG1027" s="2"/>
      <c r="FH1027" s="2"/>
      <c r="FI1027" s="2"/>
      <c r="FJ1027" s="2"/>
      <c r="FK1027" s="2"/>
      <c r="FL1027" s="2"/>
      <c r="FM1027" s="2"/>
      <c r="FN1027" s="2"/>
      <c r="FO1027" s="2"/>
      <c r="FP1027" s="2"/>
      <c r="FQ1027" s="2"/>
      <c r="FR1027" s="2"/>
      <c r="FS1027" s="2"/>
      <c r="FT1027" s="2"/>
      <c r="FU1027" s="2"/>
      <c r="FV1027" s="2"/>
      <c r="FW1027" s="2"/>
      <c r="FX1027" s="2"/>
      <c r="FY1027" s="2"/>
      <c r="FZ1027" s="2"/>
      <c r="GA1027" s="2"/>
      <c r="GB1027" s="2"/>
      <c r="GC1027" s="2"/>
      <c r="GD1027" s="2"/>
      <c r="GE1027" s="2"/>
      <c r="GF1027" s="2"/>
      <c r="GG1027" s="2"/>
      <c r="GH1027" s="2"/>
      <c r="GI1027" s="2"/>
      <c r="GJ1027" s="2"/>
      <c r="GK1027" s="2"/>
      <c r="GL1027" s="2"/>
      <c r="GM1027" s="2"/>
      <c r="GN1027" s="2"/>
      <c r="GO1027" s="2"/>
      <c r="GP1027" s="2"/>
      <c r="GQ1027" s="2"/>
      <c r="GR1027" s="2"/>
      <c r="GS1027" s="2"/>
      <c r="GT1027" s="2"/>
      <c r="GU1027" s="2"/>
      <c r="GV1027" s="2"/>
      <c r="GW1027" s="2"/>
      <c r="GX1027" s="2"/>
      <c r="GY1027" s="2"/>
      <c r="GZ1027" s="2"/>
      <c r="HA1027" s="2"/>
      <c r="HB1027" s="2"/>
      <c r="HC1027" s="2"/>
      <c r="HD1027" s="2"/>
      <c r="HE1027" s="2"/>
      <c r="HF1027" s="2"/>
      <c r="HG1027" s="2"/>
      <c r="HH1027" s="2"/>
      <c r="HI1027" s="2"/>
      <c r="HJ1027" s="2"/>
      <c r="HK1027" s="2"/>
      <c r="HL1027" s="2"/>
      <c r="HM1027" s="2"/>
      <c r="HN1027" s="2"/>
    </row>
    <row r="1028" spans="1:222" ht="15.75" customHeight="1" x14ac:dyDescent="0.2">
      <c r="A1028" s="3"/>
      <c r="B1028" s="3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  <c r="EX1028" s="2"/>
      <c r="EY1028" s="2"/>
      <c r="EZ1028" s="2"/>
      <c r="FA1028" s="2"/>
      <c r="FB1028" s="2"/>
      <c r="FC1028" s="2"/>
      <c r="FD1028" s="2"/>
      <c r="FE1028" s="2"/>
      <c r="FF1028" s="2"/>
      <c r="FG1028" s="2"/>
      <c r="FH1028" s="2"/>
      <c r="FI1028" s="2"/>
      <c r="FJ1028" s="2"/>
      <c r="FK1028" s="2"/>
      <c r="FL1028" s="2"/>
      <c r="FM1028" s="2"/>
      <c r="FN1028" s="2"/>
      <c r="FO1028" s="2"/>
      <c r="FP1028" s="2"/>
      <c r="FQ1028" s="2"/>
      <c r="FR1028" s="2"/>
      <c r="FS1028" s="2"/>
      <c r="FT1028" s="2"/>
      <c r="FU1028" s="2"/>
      <c r="FV1028" s="2"/>
      <c r="FW1028" s="2"/>
      <c r="FX1028" s="2"/>
      <c r="FY1028" s="2"/>
      <c r="FZ1028" s="2"/>
      <c r="GA1028" s="2"/>
      <c r="GB1028" s="2"/>
      <c r="GC1028" s="2"/>
      <c r="GD1028" s="2"/>
      <c r="GE1028" s="2"/>
      <c r="GF1028" s="2"/>
      <c r="GG1028" s="2"/>
      <c r="GH1028" s="2"/>
      <c r="GI1028" s="2"/>
      <c r="GJ1028" s="2"/>
      <c r="GK1028" s="2"/>
      <c r="GL1028" s="2"/>
      <c r="GM1028" s="2"/>
      <c r="GN1028" s="2"/>
      <c r="GO1028" s="2"/>
      <c r="GP1028" s="2"/>
      <c r="GQ1028" s="2"/>
      <c r="GR1028" s="2"/>
      <c r="GS1028" s="2"/>
      <c r="GT1028" s="2"/>
      <c r="GU1028" s="2"/>
      <c r="GV1028" s="2"/>
      <c r="GW1028" s="2"/>
      <c r="GX1028" s="2"/>
      <c r="GY1028" s="2"/>
      <c r="GZ1028" s="2"/>
      <c r="HA1028" s="2"/>
      <c r="HB1028" s="2"/>
      <c r="HC1028" s="2"/>
      <c r="HD1028" s="2"/>
      <c r="HE1028" s="2"/>
      <c r="HF1028" s="2"/>
      <c r="HG1028" s="2"/>
      <c r="HH1028" s="2"/>
      <c r="HI1028" s="2"/>
      <c r="HJ1028" s="2"/>
      <c r="HK1028" s="2"/>
      <c r="HL1028" s="2"/>
      <c r="HM1028" s="2"/>
      <c r="HN1028" s="2"/>
    </row>
    <row r="1029" spans="1:222" ht="15.75" customHeight="1" x14ac:dyDescent="0.2">
      <c r="A1029" s="3"/>
      <c r="B1029" s="3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  <c r="GL1029" s="2"/>
      <c r="GM1029" s="2"/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  <c r="HG1029" s="2"/>
      <c r="HH1029" s="2"/>
      <c r="HI1029" s="2"/>
      <c r="HJ1029" s="2"/>
      <c r="HK1029" s="2"/>
      <c r="HL1029" s="2"/>
      <c r="HM1029" s="2"/>
      <c r="HN1029" s="2"/>
    </row>
    <row r="1030" spans="1:222" ht="15.75" customHeight="1" x14ac:dyDescent="0.2">
      <c r="A1030" s="3"/>
      <c r="B1030" s="3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  <c r="FB1030" s="2"/>
      <c r="FC1030" s="2"/>
      <c r="FD1030" s="2"/>
      <c r="FE1030" s="2"/>
      <c r="FF1030" s="2"/>
      <c r="FG1030" s="2"/>
      <c r="FH1030" s="2"/>
      <c r="FI1030" s="2"/>
      <c r="FJ1030" s="2"/>
      <c r="FK1030" s="2"/>
      <c r="FL1030" s="2"/>
      <c r="FM1030" s="2"/>
      <c r="FN1030" s="2"/>
      <c r="FO1030" s="2"/>
      <c r="FP1030" s="2"/>
      <c r="FQ1030" s="2"/>
      <c r="FR1030" s="2"/>
      <c r="FS1030" s="2"/>
      <c r="FT1030" s="2"/>
      <c r="FU1030" s="2"/>
      <c r="FV1030" s="2"/>
      <c r="FW1030" s="2"/>
      <c r="FX1030" s="2"/>
      <c r="FY1030" s="2"/>
      <c r="FZ1030" s="2"/>
      <c r="GA1030" s="2"/>
      <c r="GB1030" s="2"/>
      <c r="GC1030" s="2"/>
      <c r="GD1030" s="2"/>
      <c r="GE1030" s="2"/>
      <c r="GF1030" s="2"/>
      <c r="GG1030" s="2"/>
      <c r="GH1030" s="2"/>
      <c r="GI1030" s="2"/>
      <c r="GJ1030" s="2"/>
      <c r="GK1030" s="2"/>
      <c r="GL1030" s="2"/>
      <c r="GM1030" s="2"/>
      <c r="GN1030" s="2"/>
      <c r="GO1030" s="2"/>
      <c r="GP1030" s="2"/>
      <c r="GQ1030" s="2"/>
      <c r="GR1030" s="2"/>
      <c r="GS1030" s="2"/>
      <c r="GT1030" s="2"/>
      <c r="GU1030" s="2"/>
      <c r="GV1030" s="2"/>
      <c r="GW1030" s="2"/>
      <c r="GX1030" s="2"/>
      <c r="GY1030" s="2"/>
      <c r="GZ1030" s="2"/>
      <c r="HA1030" s="2"/>
      <c r="HB1030" s="2"/>
      <c r="HC1030" s="2"/>
      <c r="HD1030" s="2"/>
      <c r="HE1030" s="2"/>
      <c r="HF1030" s="2"/>
      <c r="HG1030" s="2"/>
      <c r="HH1030" s="2"/>
      <c r="HI1030" s="2"/>
      <c r="HJ1030" s="2"/>
      <c r="HK1030" s="2"/>
      <c r="HL1030" s="2"/>
      <c r="HM1030" s="2"/>
      <c r="HN1030" s="2"/>
    </row>
    <row r="1031" spans="1:222" ht="15.75" customHeight="1" x14ac:dyDescent="0.2">
      <c r="A1031" s="3"/>
      <c r="B1031" s="3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  <c r="EX1031" s="2"/>
      <c r="EY1031" s="2"/>
      <c r="EZ1031" s="2"/>
      <c r="FA1031" s="2"/>
      <c r="FB1031" s="2"/>
      <c r="FC1031" s="2"/>
      <c r="FD1031" s="2"/>
      <c r="FE1031" s="2"/>
      <c r="FF1031" s="2"/>
      <c r="FG1031" s="2"/>
      <c r="FH1031" s="2"/>
      <c r="FI1031" s="2"/>
      <c r="FJ1031" s="2"/>
      <c r="FK1031" s="2"/>
      <c r="FL1031" s="2"/>
      <c r="FM1031" s="2"/>
      <c r="FN1031" s="2"/>
      <c r="FO1031" s="2"/>
      <c r="FP1031" s="2"/>
      <c r="FQ1031" s="2"/>
      <c r="FR1031" s="2"/>
      <c r="FS1031" s="2"/>
      <c r="FT1031" s="2"/>
      <c r="FU1031" s="2"/>
      <c r="FV1031" s="2"/>
      <c r="FW1031" s="2"/>
      <c r="FX1031" s="2"/>
      <c r="FY1031" s="2"/>
      <c r="FZ1031" s="2"/>
      <c r="GA1031" s="2"/>
      <c r="GB1031" s="2"/>
      <c r="GC1031" s="2"/>
      <c r="GD1031" s="2"/>
      <c r="GE1031" s="2"/>
      <c r="GF1031" s="2"/>
      <c r="GG1031" s="2"/>
      <c r="GH1031" s="2"/>
      <c r="GI1031" s="2"/>
      <c r="GJ1031" s="2"/>
      <c r="GK1031" s="2"/>
      <c r="GL1031" s="2"/>
      <c r="GM1031" s="2"/>
      <c r="GN1031" s="2"/>
      <c r="GO1031" s="2"/>
      <c r="GP1031" s="2"/>
      <c r="GQ1031" s="2"/>
      <c r="GR1031" s="2"/>
      <c r="GS1031" s="2"/>
      <c r="GT1031" s="2"/>
      <c r="GU1031" s="2"/>
      <c r="GV1031" s="2"/>
      <c r="GW1031" s="2"/>
      <c r="GX1031" s="2"/>
      <c r="GY1031" s="2"/>
      <c r="GZ1031" s="2"/>
      <c r="HA1031" s="2"/>
      <c r="HB1031" s="2"/>
      <c r="HC1031" s="2"/>
      <c r="HD1031" s="2"/>
      <c r="HE1031" s="2"/>
      <c r="HF1031" s="2"/>
      <c r="HG1031" s="2"/>
      <c r="HH1031" s="2"/>
      <c r="HI1031" s="2"/>
      <c r="HJ1031" s="2"/>
      <c r="HK1031" s="2"/>
      <c r="HL1031" s="2"/>
      <c r="HM1031" s="2"/>
      <c r="HN1031" s="2"/>
    </row>
    <row r="1032" spans="1:222" ht="15.75" customHeight="1" x14ac:dyDescent="0.2">
      <c r="A1032" s="3"/>
      <c r="B1032" s="3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  <c r="FQ1032" s="2"/>
      <c r="FR1032" s="2"/>
      <c r="FS1032" s="2"/>
      <c r="FT1032" s="2"/>
      <c r="FU1032" s="2"/>
      <c r="FV1032" s="2"/>
      <c r="FW1032" s="2"/>
      <c r="FX1032" s="2"/>
      <c r="FY1032" s="2"/>
      <c r="FZ1032" s="2"/>
      <c r="GA1032" s="2"/>
      <c r="GB1032" s="2"/>
      <c r="GC1032" s="2"/>
      <c r="GD1032" s="2"/>
      <c r="GE1032" s="2"/>
      <c r="GF1032" s="2"/>
      <c r="GG1032" s="2"/>
      <c r="GH1032" s="2"/>
      <c r="GI1032" s="2"/>
      <c r="GJ1032" s="2"/>
      <c r="GK1032" s="2"/>
      <c r="GL1032" s="2"/>
      <c r="GM1032" s="2"/>
      <c r="GN1032" s="2"/>
      <c r="GO1032" s="2"/>
      <c r="GP1032" s="2"/>
      <c r="GQ1032" s="2"/>
      <c r="GR1032" s="2"/>
      <c r="GS1032" s="2"/>
      <c r="GT1032" s="2"/>
      <c r="GU1032" s="2"/>
      <c r="GV1032" s="2"/>
      <c r="GW1032" s="2"/>
      <c r="GX1032" s="2"/>
      <c r="GY1032" s="2"/>
      <c r="GZ1032" s="2"/>
      <c r="HA1032" s="2"/>
      <c r="HB1032" s="2"/>
      <c r="HC1032" s="2"/>
      <c r="HD1032" s="2"/>
      <c r="HE1032" s="2"/>
      <c r="HF1032" s="2"/>
      <c r="HG1032" s="2"/>
      <c r="HH1032" s="2"/>
      <c r="HI1032" s="2"/>
      <c r="HJ1032" s="2"/>
      <c r="HK1032" s="2"/>
      <c r="HL1032" s="2"/>
      <c r="HM1032" s="2"/>
      <c r="HN1032" s="2"/>
    </row>
    <row r="1033" spans="1:222" ht="15.75" customHeight="1" x14ac:dyDescent="0.2">
      <c r="A1033" s="3"/>
      <c r="B1033" s="3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  <c r="FQ1033" s="2"/>
      <c r="FR1033" s="2"/>
      <c r="FS1033" s="2"/>
      <c r="FT1033" s="2"/>
      <c r="FU1033" s="2"/>
      <c r="FV1033" s="2"/>
      <c r="FW1033" s="2"/>
      <c r="FX1033" s="2"/>
      <c r="FY1033" s="2"/>
      <c r="FZ1033" s="2"/>
      <c r="GA1033" s="2"/>
      <c r="GB1033" s="2"/>
      <c r="GC1033" s="2"/>
      <c r="GD1033" s="2"/>
      <c r="GE1033" s="2"/>
      <c r="GF1033" s="2"/>
      <c r="GG1033" s="2"/>
      <c r="GH1033" s="2"/>
      <c r="GI1033" s="2"/>
      <c r="GJ1033" s="2"/>
      <c r="GK1033" s="2"/>
      <c r="GL1033" s="2"/>
      <c r="GM1033" s="2"/>
      <c r="GN1033" s="2"/>
      <c r="GO1033" s="2"/>
      <c r="GP1033" s="2"/>
      <c r="GQ1033" s="2"/>
      <c r="GR1033" s="2"/>
      <c r="GS1033" s="2"/>
      <c r="GT1033" s="2"/>
      <c r="GU1033" s="2"/>
      <c r="GV1033" s="2"/>
      <c r="GW1033" s="2"/>
      <c r="GX1033" s="2"/>
      <c r="GY1033" s="2"/>
      <c r="GZ1033" s="2"/>
      <c r="HA1033" s="2"/>
      <c r="HB1033" s="2"/>
      <c r="HC1033" s="2"/>
      <c r="HD1033" s="2"/>
      <c r="HE1033" s="2"/>
      <c r="HF1033" s="2"/>
      <c r="HG1033" s="2"/>
      <c r="HH1033" s="2"/>
      <c r="HI1033" s="2"/>
      <c r="HJ1033" s="2"/>
      <c r="HK1033" s="2"/>
      <c r="HL1033" s="2"/>
      <c r="HM1033" s="2"/>
      <c r="HN1033" s="2"/>
    </row>
    <row r="1034" spans="1:222" ht="15.75" customHeight="1" x14ac:dyDescent="0.2">
      <c r="A1034" s="3"/>
      <c r="B1034" s="3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  <c r="EX1034" s="2"/>
      <c r="EY1034" s="2"/>
      <c r="EZ1034" s="2"/>
      <c r="FA1034" s="2"/>
      <c r="FB1034" s="2"/>
      <c r="FC1034" s="2"/>
      <c r="FD1034" s="2"/>
      <c r="FE1034" s="2"/>
      <c r="FF1034" s="2"/>
      <c r="FG1034" s="2"/>
      <c r="FH1034" s="2"/>
      <c r="FI1034" s="2"/>
      <c r="FJ1034" s="2"/>
      <c r="FK1034" s="2"/>
      <c r="FL1034" s="2"/>
      <c r="FM1034" s="2"/>
      <c r="FN1034" s="2"/>
      <c r="FO1034" s="2"/>
      <c r="FP1034" s="2"/>
      <c r="FQ1034" s="2"/>
      <c r="FR1034" s="2"/>
      <c r="FS1034" s="2"/>
      <c r="FT1034" s="2"/>
      <c r="FU1034" s="2"/>
      <c r="FV1034" s="2"/>
      <c r="FW1034" s="2"/>
      <c r="FX1034" s="2"/>
      <c r="FY1034" s="2"/>
      <c r="FZ1034" s="2"/>
      <c r="GA1034" s="2"/>
      <c r="GB1034" s="2"/>
      <c r="GC1034" s="2"/>
      <c r="GD1034" s="2"/>
      <c r="GE1034" s="2"/>
      <c r="GF1034" s="2"/>
      <c r="GG1034" s="2"/>
      <c r="GH1034" s="2"/>
      <c r="GI1034" s="2"/>
      <c r="GJ1034" s="2"/>
      <c r="GK1034" s="2"/>
      <c r="GL1034" s="2"/>
      <c r="GM1034" s="2"/>
      <c r="GN1034" s="2"/>
      <c r="GO1034" s="2"/>
      <c r="GP1034" s="2"/>
      <c r="GQ1034" s="2"/>
      <c r="GR1034" s="2"/>
      <c r="GS1034" s="2"/>
      <c r="GT1034" s="2"/>
      <c r="GU1034" s="2"/>
      <c r="GV1034" s="2"/>
      <c r="GW1034" s="2"/>
      <c r="GX1034" s="2"/>
      <c r="GY1034" s="2"/>
      <c r="GZ1034" s="2"/>
      <c r="HA1034" s="2"/>
      <c r="HB1034" s="2"/>
      <c r="HC1034" s="2"/>
      <c r="HD1034" s="2"/>
      <c r="HE1034" s="2"/>
      <c r="HF1034" s="2"/>
      <c r="HG1034" s="2"/>
      <c r="HH1034" s="2"/>
      <c r="HI1034" s="2"/>
      <c r="HJ1034" s="2"/>
      <c r="HK1034" s="2"/>
      <c r="HL1034" s="2"/>
      <c r="HM1034" s="2"/>
      <c r="HN1034" s="2"/>
    </row>
    <row r="1035" spans="1:222" ht="15.75" customHeight="1" x14ac:dyDescent="0.2">
      <c r="A1035" s="3"/>
      <c r="B1035" s="3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/>
      <c r="FR1035" s="2"/>
      <c r="FS1035" s="2"/>
      <c r="FT1035" s="2"/>
      <c r="FU1035" s="2"/>
      <c r="FV1035" s="2"/>
      <c r="FW1035" s="2"/>
      <c r="FX1035" s="2"/>
      <c r="FY1035" s="2"/>
      <c r="FZ1035" s="2"/>
      <c r="GA1035" s="2"/>
      <c r="GB1035" s="2"/>
      <c r="GC1035" s="2"/>
      <c r="GD1035" s="2"/>
      <c r="GE1035" s="2"/>
      <c r="GF1035" s="2"/>
      <c r="GG1035" s="2"/>
      <c r="GH1035" s="2"/>
      <c r="GI1035" s="2"/>
      <c r="GJ1035" s="2"/>
      <c r="GK1035" s="2"/>
      <c r="GL1035" s="2"/>
      <c r="GM1035" s="2"/>
      <c r="GN1035" s="2"/>
      <c r="GO1035" s="2"/>
      <c r="GP1035" s="2"/>
      <c r="GQ1035" s="2"/>
      <c r="GR1035" s="2"/>
      <c r="GS1035" s="2"/>
      <c r="GT1035" s="2"/>
      <c r="GU1035" s="2"/>
      <c r="GV1035" s="2"/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/>
      <c r="HN1035" s="2"/>
    </row>
    <row r="1036" spans="1:222" ht="15.75" customHeight="1" x14ac:dyDescent="0.2">
      <c r="A1036" s="3"/>
      <c r="B1036" s="3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  <c r="EX1036" s="2"/>
      <c r="EY1036" s="2"/>
      <c r="EZ1036" s="2"/>
      <c r="FA1036" s="2"/>
      <c r="FB1036" s="2"/>
      <c r="FC1036" s="2"/>
      <c r="FD1036" s="2"/>
      <c r="FE1036" s="2"/>
      <c r="FF1036" s="2"/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  <c r="FQ1036" s="2"/>
      <c r="FR1036" s="2"/>
      <c r="FS1036" s="2"/>
      <c r="FT1036" s="2"/>
      <c r="FU1036" s="2"/>
      <c r="FV1036" s="2"/>
      <c r="FW1036" s="2"/>
      <c r="FX1036" s="2"/>
      <c r="FY1036" s="2"/>
      <c r="FZ1036" s="2"/>
      <c r="GA1036" s="2"/>
      <c r="GB1036" s="2"/>
      <c r="GC1036" s="2"/>
      <c r="GD1036" s="2"/>
      <c r="GE1036" s="2"/>
      <c r="GF1036" s="2"/>
      <c r="GG1036" s="2"/>
      <c r="GH1036" s="2"/>
      <c r="GI1036" s="2"/>
      <c r="GJ1036" s="2"/>
      <c r="GK1036" s="2"/>
      <c r="GL1036" s="2"/>
      <c r="GM1036" s="2"/>
      <c r="GN1036" s="2"/>
      <c r="GO1036" s="2"/>
      <c r="GP1036" s="2"/>
      <c r="GQ1036" s="2"/>
      <c r="GR1036" s="2"/>
      <c r="GS1036" s="2"/>
      <c r="GT1036" s="2"/>
      <c r="GU1036" s="2"/>
      <c r="GV1036" s="2"/>
      <c r="GW1036" s="2"/>
      <c r="GX1036" s="2"/>
      <c r="GY1036" s="2"/>
      <c r="GZ1036" s="2"/>
      <c r="HA1036" s="2"/>
      <c r="HB1036" s="2"/>
      <c r="HC1036" s="2"/>
      <c r="HD1036" s="2"/>
      <c r="HE1036" s="2"/>
      <c r="HF1036" s="2"/>
      <c r="HG1036" s="2"/>
      <c r="HH1036" s="2"/>
      <c r="HI1036" s="2"/>
      <c r="HJ1036" s="2"/>
      <c r="HK1036" s="2"/>
      <c r="HL1036" s="2"/>
      <c r="HM1036" s="2"/>
      <c r="HN1036" s="2"/>
    </row>
    <row r="1037" spans="1:222" ht="15.75" customHeight="1" x14ac:dyDescent="0.2">
      <c r="A1037" s="3"/>
      <c r="B1037" s="3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  <c r="FQ1037" s="2"/>
      <c r="FR1037" s="2"/>
      <c r="FS1037" s="2"/>
      <c r="FT1037" s="2"/>
      <c r="FU1037" s="2"/>
      <c r="FV1037" s="2"/>
      <c r="FW1037" s="2"/>
      <c r="FX1037" s="2"/>
      <c r="FY1037" s="2"/>
      <c r="FZ1037" s="2"/>
      <c r="GA1037" s="2"/>
      <c r="GB1037" s="2"/>
      <c r="GC1037" s="2"/>
      <c r="GD1037" s="2"/>
      <c r="GE1037" s="2"/>
      <c r="GF1037" s="2"/>
      <c r="GG1037" s="2"/>
      <c r="GH1037" s="2"/>
      <c r="GI1037" s="2"/>
      <c r="GJ1037" s="2"/>
      <c r="GK1037" s="2"/>
      <c r="GL1037" s="2"/>
      <c r="GM1037" s="2"/>
      <c r="GN1037" s="2"/>
      <c r="GO1037" s="2"/>
      <c r="GP1037" s="2"/>
      <c r="GQ1037" s="2"/>
      <c r="GR1037" s="2"/>
      <c r="GS1037" s="2"/>
      <c r="GT1037" s="2"/>
      <c r="GU1037" s="2"/>
      <c r="GV1037" s="2"/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/>
      <c r="HN1037" s="2"/>
    </row>
    <row r="1038" spans="1:222" ht="15.75" customHeight="1" x14ac:dyDescent="0.2">
      <c r="A1038" s="3"/>
      <c r="B1038" s="3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  <c r="EX1038" s="2"/>
      <c r="EY1038" s="2"/>
      <c r="EZ1038" s="2"/>
      <c r="FA1038" s="2"/>
      <c r="FB1038" s="2"/>
      <c r="FC1038" s="2"/>
      <c r="FD1038" s="2"/>
      <c r="FE1038" s="2"/>
      <c r="FF1038" s="2"/>
      <c r="FG1038" s="2"/>
      <c r="FH1038" s="2"/>
      <c r="FI1038" s="2"/>
      <c r="FJ1038" s="2"/>
      <c r="FK1038" s="2"/>
      <c r="FL1038" s="2"/>
      <c r="FM1038" s="2"/>
      <c r="FN1038" s="2"/>
      <c r="FO1038" s="2"/>
      <c r="FP1038" s="2"/>
      <c r="FQ1038" s="2"/>
      <c r="FR1038" s="2"/>
      <c r="FS1038" s="2"/>
      <c r="FT1038" s="2"/>
      <c r="FU1038" s="2"/>
      <c r="FV1038" s="2"/>
      <c r="FW1038" s="2"/>
      <c r="FX1038" s="2"/>
      <c r="FY1038" s="2"/>
      <c r="FZ1038" s="2"/>
      <c r="GA1038" s="2"/>
      <c r="GB1038" s="2"/>
      <c r="GC1038" s="2"/>
      <c r="GD1038" s="2"/>
      <c r="GE1038" s="2"/>
      <c r="GF1038" s="2"/>
      <c r="GG1038" s="2"/>
      <c r="GH1038" s="2"/>
      <c r="GI1038" s="2"/>
      <c r="GJ1038" s="2"/>
      <c r="GK1038" s="2"/>
      <c r="GL1038" s="2"/>
      <c r="GM1038" s="2"/>
      <c r="GN1038" s="2"/>
      <c r="GO1038" s="2"/>
      <c r="GP1038" s="2"/>
      <c r="GQ1038" s="2"/>
      <c r="GR1038" s="2"/>
      <c r="GS1038" s="2"/>
      <c r="GT1038" s="2"/>
      <c r="GU1038" s="2"/>
      <c r="GV1038" s="2"/>
      <c r="GW1038" s="2"/>
      <c r="GX1038" s="2"/>
      <c r="GY1038" s="2"/>
      <c r="GZ1038" s="2"/>
      <c r="HA1038" s="2"/>
      <c r="HB1038" s="2"/>
      <c r="HC1038" s="2"/>
      <c r="HD1038" s="2"/>
      <c r="HE1038" s="2"/>
      <c r="HF1038" s="2"/>
      <c r="HG1038" s="2"/>
      <c r="HH1038" s="2"/>
      <c r="HI1038" s="2"/>
      <c r="HJ1038" s="2"/>
      <c r="HK1038" s="2"/>
      <c r="HL1038" s="2"/>
      <c r="HM1038" s="2"/>
      <c r="HN1038" s="2"/>
    </row>
    <row r="1039" spans="1:222" ht="15.75" customHeight="1" x14ac:dyDescent="0.2">
      <c r="A1039" s="3"/>
      <c r="B1039" s="3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  <c r="EX1039" s="2"/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  <c r="FQ1039" s="2"/>
      <c r="FR1039" s="2"/>
      <c r="FS1039" s="2"/>
      <c r="FT1039" s="2"/>
      <c r="FU1039" s="2"/>
      <c r="FV1039" s="2"/>
      <c r="FW1039" s="2"/>
      <c r="FX1039" s="2"/>
      <c r="FY1039" s="2"/>
      <c r="FZ1039" s="2"/>
      <c r="GA1039" s="2"/>
      <c r="GB1039" s="2"/>
      <c r="GC1039" s="2"/>
      <c r="GD1039" s="2"/>
      <c r="GE1039" s="2"/>
      <c r="GF1039" s="2"/>
      <c r="GG1039" s="2"/>
      <c r="GH1039" s="2"/>
      <c r="GI1039" s="2"/>
      <c r="GJ1039" s="2"/>
      <c r="GK1039" s="2"/>
      <c r="GL1039" s="2"/>
      <c r="GM1039" s="2"/>
      <c r="GN1039" s="2"/>
      <c r="GO1039" s="2"/>
      <c r="GP1039" s="2"/>
      <c r="GQ1039" s="2"/>
      <c r="GR1039" s="2"/>
      <c r="GS1039" s="2"/>
      <c r="GT1039" s="2"/>
      <c r="GU1039" s="2"/>
      <c r="GV1039" s="2"/>
      <c r="GW1039" s="2"/>
      <c r="GX1039" s="2"/>
      <c r="GY1039" s="2"/>
      <c r="GZ1039" s="2"/>
      <c r="HA1039" s="2"/>
      <c r="HB1039" s="2"/>
      <c r="HC1039" s="2"/>
      <c r="HD1039" s="2"/>
      <c r="HE1039" s="2"/>
      <c r="HF1039" s="2"/>
      <c r="HG1039" s="2"/>
      <c r="HH1039" s="2"/>
      <c r="HI1039" s="2"/>
      <c r="HJ1039" s="2"/>
      <c r="HK1039" s="2"/>
      <c r="HL1039" s="2"/>
      <c r="HM1039" s="2"/>
      <c r="HN1039" s="2"/>
    </row>
    <row r="1040" spans="1:222" ht="15.75" customHeight="1" x14ac:dyDescent="0.2">
      <c r="A1040" s="3"/>
      <c r="B1040" s="3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  <c r="FB1040" s="2"/>
      <c r="FC1040" s="2"/>
      <c r="FD1040" s="2"/>
      <c r="FE1040" s="2"/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  <c r="FQ1040" s="2"/>
      <c r="FR1040" s="2"/>
      <c r="FS1040" s="2"/>
      <c r="FT1040" s="2"/>
      <c r="FU1040" s="2"/>
      <c r="FV1040" s="2"/>
      <c r="FW1040" s="2"/>
      <c r="FX1040" s="2"/>
      <c r="FY1040" s="2"/>
      <c r="FZ1040" s="2"/>
      <c r="GA1040" s="2"/>
      <c r="GB1040" s="2"/>
      <c r="GC1040" s="2"/>
      <c r="GD1040" s="2"/>
      <c r="GE1040" s="2"/>
      <c r="GF1040" s="2"/>
      <c r="GG1040" s="2"/>
      <c r="GH1040" s="2"/>
      <c r="GI1040" s="2"/>
      <c r="GJ1040" s="2"/>
      <c r="GK1040" s="2"/>
      <c r="GL1040" s="2"/>
      <c r="GM1040" s="2"/>
      <c r="GN1040" s="2"/>
      <c r="GO1040" s="2"/>
      <c r="GP1040" s="2"/>
      <c r="GQ1040" s="2"/>
      <c r="GR1040" s="2"/>
      <c r="GS1040" s="2"/>
      <c r="GT1040" s="2"/>
      <c r="GU1040" s="2"/>
      <c r="GV1040" s="2"/>
      <c r="GW1040" s="2"/>
      <c r="GX1040" s="2"/>
      <c r="GY1040" s="2"/>
      <c r="GZ1040" s="2"/>
      <c r="HA1040" s="2"/>
      <c r="HB1040" s="2"/>
      <c r="HC1040" s="2"/>
      <c r="HD1040" s="2"/>
      <c r="HE1040" s="2"/>
      <c r="HF1040" s="2"/>
      <c r="HG1040" s="2"/>
      <c r="HH1040" s="2"/>
      <c r="HI1040" s="2"/>
      <c r="HJ1040" s="2"/>
      <c r="HK1040" s="2"/>
      <c r="HL1040" s="2"/>
      <c r="HM1040" s="2"/>
      <c r="HN1040" s="2"/>
    </row>
    <row r="1041" spans="1:222" ht="15.75" customHeight="1" x14ac:dyDescent="0.2">
      <c r="A1041" s="3"/>
      <c r="B1041" s="3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  <c r="FB1041" s="2"/>
      <c r="FC1041" s="2"/>
      <c r="FD1041" s="2"/>
      <c r="FE1041" s="2"/>
      <c r="FF1041" s="2"/>
      <c r="FG1041" s="2"/>
      <c r="FH1041" s="2"/>
      <c r="FI1041" s="2"/>
      <c r="FJ1041" s="2"/>
      <c r="FK1041" s="2"/>
      <c r="FL1041" s="2"/>
      <c r="FM1041" s="2"/>
      <c r="FN1041" s="2"/>
      <c r="FO1041" s="2"/>
      <c r="FP1041" s="2"/>
      <c r="FQ1041" s="2"/>
      <c r="FR1041" s="2"/>
      <c r="FS1041" s="2"/>
      <c r="FT1041" s="2"/>
      <c r="FU1041" s="2"/>
      <c r="FV1041" s="2"/>
      <c r="FW1041" s="2"/>
      <c r="FX1041" s="2"/>
      <c r="FY1041" s="2"/>
      <c r="FZ1041" s="2"/>
      <c r="GA1041" s="2"/>
      <c r="GB1041" s="2"/>
      <c r="GC1041" s="2"/>
      <c r="GD1041" s="2"/>
      <c r="GE1041" s="2"/>
      <c r="GF1041" s="2"/>
      <c r="GG1041" s="2"/>
      <c r="GH1041" s="2"/>
      <c r="GI1041" s="2"/>
      <c r="GJ1041" s="2"/>
      <c r="GK1041" s="2"/>
      <c r="GL1041" s="2"/>
      <c r="GM1041" s="2"/>
      <c r="GN1041" s="2"/>
      <c r="GO1041" s="2"/>
      <c r="GP1041" s="2"/>
      <c r="GQ1041" s="2"/>
      <c r="GR1041" s="2"/>
      <c r="GS1041" s="2"/>
      <c r="GT1041" s="2"/>
      <c r="GU1041" s="2"/>
      <c r="GV1041" s="2"/>
      <c r="GW1041" s="2"/>
      <c r="GX1041" s="2"/>
      <c r="GY1041" s="2"/>
      <c r="GZ1041" s="2"/>
      <c r="HA1041" s="2"/>
      <c r="HB1041" s="2"/>
      <c r="HC1041" s="2"/>
      <c r="HD1041" s="2"/>
      <c r="HE1041" s="2"/>
      <c r="HF1041" s="2"/>
      <c r="HG1041" s="2"/>
      <c r="HH1041" s="2"/>
      <c r="HI1041" s="2"/>
      <c r="HJ1041" s="2"/>
      <c r="HK1041" s="2"/>
      <c r="HL1041" s="2"/>
      <c r="HM1041" s="2"/>
      <c r="HN1041" s="2"/>
    </row>
    <row r="1042" spans="1:222" ht="15.75" customHeight="1" x14ac:dyDescent="0.2">
      <c r="A1042" s="3"/>
      <c r="B1042" s="3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  <c r="FB1042" s="2"/>
      <c r="FC1042" s="2"/>
      <c r="FD1042" s="2"/>
      <c r="FE1042" s="2"/>
      <c r="FF1042" s="2"/>
      <c r="FG1042" s="2"/>
      <c r="FH1042" s="2"/>
      <c r="FI1042" s="2"/>
      <c r="FJ1042" s="2"/>
      <c r="FK1042" s="2"/>
      <c r="FL1042" s="2"/>
      <c r="FM1042" s="2"/>
      <c r="FN1042" s="2"/>
      <c r="FO1042" s="2"/>
      <c r="FP1042" s="2"/>
      <c r="FQ1042" s="2"/>
      <c r="FR1042" s="2"/>
      <c r="FS1042" s="2"/>
      <c r="FT1042" s="2"/>
      <c r="FU1042" s="2"/>
      <c r="FV1042" s="2"/>
      <c r="FW1042" s="2"/>
      <c r="FX1042" s="2"/>
      <c r="FY1042" s="2"/>
      <c r="FZ1042" s="2"/>
      <c r="GA1042" s="2"/>
      <c r="GB1042" s="2"/>
      <c r="GC1042" s="2"/>
      <c r="GD1042" s="2"/>
      <c r="GE1042" s="2"/>
      <c r="GF1042" s="2"/>
      <c r="GG1042" s="2"/>
      <c r="GH1042" s="2"/>
      <c r="GI1042" s="2"/>
      <c r="GJ1042" s="2"/>
      <c r="GK1042" s="2"/>
      <c r="GL1042" s="2"/>
      <c r="GM1042" s="2"/>
      <c r="GN1042" s="2"/>
      <c r="GO1042" s="2"/>
      <c r="GP1042" s="2"/>
      <c r="GQ1042" s="2"/>
      <c r="GR1042" s="2"/>
      <c r="GS1042" s="2"/>
      <c r="GT1042" s="2"/>
      <c r="GU1042" s="2"/>
      <c r="GV1042" s="2"/>
      <c r="GW1042" s="2"/>
      <c r="GX1042" s="2"/>
      <c r="GY1042" s="2"/>
      <c r="GZ1042" s="2"/>
      <c r="HA1042" s="2"/>
      <c r="HB1042" s="2"/>
      <c r="HC1042" s="2"/>
      <c r="HD1042" s="2"/>
      <c r="HE1042" s="2"/>
      <c r="HF1042" s="2"/>
      <c r="HG1042" s="2"/>
      <c r="HH1042" s="2"/>
      <c r="HI1042" s="2"/>
      <c r="HJ1042" s="2"/>
      <c r="HK1042" s="2"/>
      <c r="HL1042" s="2"/>
      <c r="HM1042" s="2"/>
      <c r="HN1042" s="2"/>
    </row>
    <row r="1043" spans="1:222" ht="15.75" customHeight="1" x14ac:dyDescent="0.2">
      <c r="A1043" s="3"/>
      <c r="B1043" s="3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  <c r="FQ1043" s="2"/>
      <c r="FR1043" s="2"/>
      <c r="FS1043" s="2"/>
      <c r="FT1043" s="2"/>
      <c r="FU1043" s="2"/>
      <c r="FV1043" s="2"/>
      <c r="FW1043" s="2"/>
      <c r="FX1043" s="2"/>
      <c r="FY1043" s="2"/>
      <c r="FZ1043" s="2"/>
      <c r="GA1043" s="2"/>
      <c r="GB1043" s="2"/>
      <c r="GC1043" s="2"/>
      <c r="GD1043" s="2"/>
      <c r="GE1043" s="2"/>
      <c r="GF1043" s="2"/>
      <c r="GG1043" s="2"/>
      <c r="GH1043" s="2"/>
      <c r="GI1043" s="2"/>
      <c r="GJ1043" s="2"/>
      <c r="GK1043" s="2"/>
      <c r="GL1043" s="2"/>
      <c r="GM1043" s="2"/>
      <c r="GN1043" s="2"/>
      <c r="GO1043" s="2"/>
      <c r="GP1043" s="2"/>
      <c r="GQ1043" s="2"/>
      <c r="GR1043" s="2"/>
      <c r="GS1043" s="2"/>
      <c r="GT1043" s="2"/>
      <c r="GU1043" s="2"/>
      <c r="GV1043" s="2"/>
      <c r="GW1043" s="2"/>
      <c r="GX1043" s="2"/>
      <c r="GY1043" s="2"/>
      <c r="GZ1043" s="2"/>
      <c r="HA1043" s="2"/>
      <c r="HB1043" s="2"/>
      <c r="HC1043" s="2"/>
      <c r="HD1043" s="2"/>
      <c r="HE1043" s="2"/>
      <c r="HF1043" s="2"/>
      <c r="HG1043" s="2"/>
      <c r="HH1043" s="2"/>
      <c r="HI1043" s="2"/>
      <c r="HJ1043" s="2"/>
      <c r="HK1043" s="2"/>
      <c r="HL1043" s="2"/>
      <c r="HM1043" s="2"/>
      <c r="HN1043" s="2"/>
    </row>
    <row r="1044" spans="1:222" ht="15.75" customHeight="1" x14ac:dyDescent="0.2">
      <c r="A1044" s="3"/>
      <c r="B1044" s="3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  <c r="EX1044" s="2"/>
      <c r="EY1044" s="2"/>
      <c r="EZ1044" s="2"/>
      <c r="FA1044" s="2"/>
      <c r="FB1044" s="2"/>
      <c r="FC1044" s="2"/>
      <c r="FD1044" s="2"/>
      <c r="FE1044" s="2"/>
      <c r="FF1044" s="2"/>
      <c r="FG1044" s="2"/>
      <c r="FH1044" s="2"/>
      <c r="FI1044" s="2"/>
      <c r="FJ1044" s="2"/>
      <c r="FK1044" s="2"/>
      <c r="FL1044" s="2"/>
      <c r="FM1044" s="2"/>
      <c r="FN1044" s="2"/>
      <c r="FO1044" s="2"/>
      <c r="FP1044" s="2"/>
      <c r="FQ1044" s="2"/>
      <c r="FR1044" s="2"/>
      <c r="FS1044" s="2"/>
      <c r="FT1044" s="2"/>
      <c r="FU1044" s="2"/>
      <c r="FV1044" s="2"/>
      <c r="FW1044" s="2"/>
      <c r="FX1044" s="2"/>
      <c r="FY1044" s="2"/>
      <c r="FZ1044" s="2"/>
      <c r="GA1044" s="2"/>
      <c r="GB1044" s="2"/>
      <c r="GC1044" s="2"/>
      <c r="GD1044" s="2"/>
      <c r="GE1044" s="2"/>
      <c r="GF1044" s="2"/>
      <c r="GG1044" s="2"/>
      <c r="GH1044" s="2"/>
      <c r="GI1044" s="2"/>
      <c r="GJ1044" s="2"/>
      <c r="GK1044" s="2"/>
      <c r="GL1044" s="2"/>
      <c r="GM1044" s="2"/>
      <c r="GN1044" s="2"/>
      <c r="GO1044" s="2"/>
      <c r="GP1044" s="2"/>
      <c r="GQ1044" s="2"/>
      <c r="GR1044" s="2"/>
      <c r="GS1044" s="2"/>
      <c r="GT1044" s="2"/>
      <c r="GU1044" s="2"/>
      <c r="GV1044" s="2"/>
      <c r="GW1044" s="2"/>
      <c r="GX1044" s="2"/>
      <c r="GY1044" s="2"/>
      <c r="GZ1044" s="2"/>
      <c r="HA1044" s="2"/>
      <c r="HB1044" s="2"/>
      <c r="HC1044" s="2"/>
      <c r="HD1044" s="2"/>
      <c r="HE1044" s="2"/>
      <c r="HF1044" s="2"/>
      <c r="HG1044" s="2"/>
      <c r="HH1044" s="2"/>
      <c r="HI1044" s="2"/>
      <c r="HJ1044" s="2"/>
      <c r="HK1044" s="2"/>
      <c r="HL1044" s="2"/>
      <c r="HM1044" s="2"/>
      <c r="HN1044" s="2"/>
    </row>
    <row r="1045" spans="1:222" ht="15.75" customHeight="1" x14ac:dyDescent="0.2">
      <c r="A1045" s="3"/>
      <c r="B1045" s="3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  <c r="FQ1045" s="2"/>
      <c r="FR1045" s="2"/>
      <c r="FS1045" s="2"/>
      <c r="FT1045" s="2"/>
      <c r="FU1045" s="2"/>
      <c r="FV1045" s="2"/>
      <c r="FW1045" s="2"/>
      <c r="FX1045" s="2"/>
      <c r="FY1045" s="2"/>
      <c r="FZ1045" s="2"/>
      <c r="GA1045" s="2"/>
      <c r="GB1045" s="2"/>
      <c r="GC1045" s="2"/>
      <c r="GD1045" s="2"/>
      <c r="GE1045" s="2"/>
      <c r="GF1045" s="2"/>
      <c r="GG1045" s="2"/>
      <c r="GH1045" s="2"/>
      <c r="GI1045" s="2"/>
      <c r="GJ1045" s="2"/>
      <c r="GK1045" s="2"/>
      <c r="GL1045" s="2"/>
      <c r="GM1045" s="2"/>
      <c r="GN1045" s="2"/>
      <c r="GO1045" s="2"/>
      <c r="GP1045" s="2"/>
      <c r="GQ1045" s="2"/>
      <c r="GR1045" s="2"/>
      <c r="GS1045" s="2"/>
      <c r="GT1045" s="2"/>
      <c r="GU1045" s="2"/>
      <c r="GV1045" s="2"/>
      <c r="GW1045" s="2"/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/>
      <c r="HI1045" s="2"/>
      <c r="HJ1045" s="2"/>
      <c r="HK1045" s="2"/>
      <c r="HL1045" s="2"/>
      <c r="HM1045" s="2"/>
      <c r="HN1045" s="2"/>
    </row>
    <row r="1046" spans="1:222" ht="15.75" customHeight="1" x14ac:dyDescent="0.2">
      <c r="A1046" s="3"/>
      <c r="B1046" s="3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  <c r="EI1046" s="2"/>
      <c r="EJ1046" s="2"/>
      <c r="EK1046" s="2"/>
      <c r="EL1046" s="2"/>
      <c r="EM1046" s="2"/>
      <c r="EN1046" s="2"/>
      <c r="EO1046" s="2"/>
      <c r="EP1046" s="2"/>
      <c r="EQ1046" s="2"/>
      <c r="ER1046" s="2"/>
      <c r="ES1046" s="2"/>
      <c r="ET1046" s="2"/>
      <c r="EU1046" s="2"/>
      <c r="EV1046" s="2"/>
      <c r="EW1046" s="2"/>
      <c r="EX1046" s="2"/>
      <c r="EY1046" s="2"/>
      <c r="EZ1046" s="2"/>
      <c r="FA1046" s="2"/>
      <c r="FB1046" s="2"/>
      <c r="FC1046" s="2"/>
      <c r="FD1046" s="2"/>
      <c r="FE1046" s="2"/>
      <c r="FF1046" s="2"/>
      <c r="FG1046" s="2"/>
      <c r="FH1046" s="2"/>
      <c r="FI1046" s="2"/>
      <c r="FJ1046" s="2"/>
      <c r="FK1046" s="2"/>
      <c r="FL1046" s="2"/>
      <c r="FM1046" s="2"/>
      <c r="FN1046" s="2"/>
      <c r="FO1046" s="2"/>
      <c r="FP1046" s="2"/>
      <c r="FQ1046" s="2"/>
      <c r="FR1046" s="2"/>
      <c r="FS1046" s="2"/>
      <c r="FT1046" s="2"/>
      <c r="FU1046" s="2"/>
      <c r="FV1046" s="2"/>
      <c r="FW1046" s="2"/>
      <c r="FX1046" s="2"/>
      <c r="FY1046" s="2"/>
      <c r="FZ1046" s="2"/>
      <c r="GA1046" s="2"/>
      <c r="GB1046" s="2"/>
      <c r="GC1046" s="2"/>
      <c r="GD1046" s="2"/>
      <c r="GE1046" s="2"/>
      <c r="GF1046" s="2"/>
      <c r="GG1046" s="2"/>
      <c r="GH1046" s="2"/>
      <c r="GI1046" s="2"/>
      <c r="GJ1046" s="2"/>
      <c r="GK1046" s="2"/>
      <c r="GL1046" s="2"/>
      <c r="GM1046" s="2"/>
      <c r="GN1046" s="2"/>
      <c r="GO1046" s="2"/>
      <c r="GP1046" s="2"/>
      <c r="GQ1046" s="2"/>
      <c r="GR1046" s="2"/>
      <c r="GS1046" s="2"/>
      <c r="GT1046" s="2"/>
      <c r="GU1046" s="2"/>
      <c r="GV1046" s="2"/>
      <c r="GW1046" s="2"/>
      <c r="GX1046" s="2"/>
      <c r="GY1046" s="2"/>
      <c r="GZ1046" s="2"/>
      <c r="HA1046" s="2"/>
      <c r="HB1046" s="2"/>
      <c r="HC1046" s="2"/>
      <c r="HD1046" s="2"/>
      <c r="HE1046" s="2"/>
      <c r="HF1046" s="2"/>
      <c r="HG1046" s="2"/>
      <c r="HH1046" s="2"/>
      <c r="HI1046" s="2"/>
      <c r="HJ1046" s="2"/>
      <c r="HK1046" s="2"/>
      <c r="HL1046" s="2"/>
      <c r="HM1046" s="2"/>
      <c r="HN1046" s="2"/>
    </row>
    <row r="1047" spans="1:222" ht="15.75" customHeight="1" x14ac:dyDescent="0.2">
      <c r="A1047" s="3"/>
      <c r="B1047" s="3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  <c r="FB1047" s="2"/>
      <c r="FC1047" s="2"/>
      <c r="FD1047" s="2"/>
      <c r="FE1047" s="2"/>
      <c r="FF1047" s="2"/>
      <c r="FG1047" s="2"/>
      <c r="FH1047" s="2"/>
      <c r="FI1047" s="2"/>
      <c r="FJ1047" s="2"/>
      <c r="FK1047" s="2"/>
      <c r="FL1047" s="2"/>
      <c r="FM1047" s="2"/>
      <c r="FN1047" s="2"/>
      <c r="FO1047" s="2"/>
      <c r="FP1047" s="2"/>
      <c r="FQ1047" s="2"/>
      <c r="FR1047" s="2"/>
      <c r="FS1047" s="2"/>
      <c r="FT1047" s="2"/>
      <c r="FU1047" s="2"/>
      <c r="FV1047" s="2"/>
      <c r="FW1047" s="2"/>
      <c r="FX1047" s="2"/>
      <c r="FY1047" s="2"/>
      <c r="FZ1047" s="2"/>
      <c r="GA1047" s="2"/>
      <c r="GB1047" s="2"/>
      <c r="GC1047" s="2"/>
      <c r="GD1047" s="2"/>
      <c r="GE1047" s="2"/>
      <c r="GF1047" s="2"/>
      <c r="GG1047" s="2"/>
      <c r="GH1047" s="2"/>
      <c r="GI1047" s="2"/>
      <c r="GJ1047" s="2"/>
      <c r="GK1047" s="2"/>
      <c r="GL1047" s="2"/>
      <c r="GM1047" s="2"/>
      <c r="GN1047" s="2"/>
      <c r="GO1047" s="2"/>
      <c r="GP1047" s="2"/>
      <c r="GQ1047" s="2"/>
      <c r="GR1047" s="2"/>
      <c r="GS1047" s="2"/>
      <c r="GT1047" s="2"/>
      <c r="GU1047" s="2"/>
      <c r="GV1047" s="2"/>
      <c r="GW1047" s="2"/>
      <c r="GX1047" s="2"/>
      <c r="GY1047" s="2"/>
      <c r="GZ1047" s="2"/>
      <c r="HA1047" s="2"/>
      <c r="HB1047" s="2"/>
      <c r="HC1047" s="2"/>
      <c r="HD1047" s="2"/>
      <c r="HE1047" s="2"/>
      <c r="HF1047" s="2"/>
      <c r="HG1047" s="2"/>
      <c r="HH1047" s="2"/>
      <c r="HI1047" s="2"/>
      <c r="HJ1047" s="2"/>
      <c r="HK1047" s="2"/>
      <c r="HL1047" s="2"/>
      <c r="HM1047" s="2"/>
      <c r="HN1047" s="2"/>
    </row>
    <row r="1048" spans="1:222" ht="15.75" customHeight="1" x14ac:dyDescent="0.2">
      <c r="A1048" s="3"/>
      <c r="B1048" s="3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  <c r="EI1048" s="2"/>
      <c r="EJ1048" s="2"/>
      <c r="EK1048" s="2"/>
      <c r="EL1048" s="2"/>
      <c r="EM1048" s="2"/>
      <c r="EN1048" s="2"/>
      <c r="EO1048" s="2"/>
      <c r="EP1048" s="2"/>
      <c r="EQ1048" s="2"/>
      <c r="ER1048" s="2"/>
      <c r="ES1048" s="2"/>
      <c r="ET1048" s="2"/>
      <c r="EU1048" s="2"/>
      <c r="EV1048" s="2"/>
      <c r="EW1048" s="2"/>
      <c r="EX1048" s="2"/>
      <c r="EY1048" s="2"/>
      <c r="EZ1048" s="2"/>
      <c r="FA1048" s="2"/>
      <c r="FB1048" s="2"/>
      <c r="FC1048" s="2"/>
      <c r="FD1048" s="2"/>
      <c r="FE1048" s="2"/>
      <c r="FF1048" s="2"/>
      <c r="FG1048" s="2"/>
      <c r="FH1048" s="2"/>
      <c r="FI1048" s="2"/>
      <c r="FJ1048" s="2"/>
      <c r="FK1048" s="2"/>
      <c r="FL1048" s="2"/>
      <c r="FM1048" s="2"/>
      <c r="FN1048" s="2"/>
      <c r="FO1048" s="2"/>
      <c r="FP1048" s="2"/>
      <c r="FQ1048" s="2"/>
      <c r="FR1048" s="2"/>
      <c r="FS1048" s="2"/>
      <c r="FT1048" s="2"/>
      <c r="FU1048" s="2"/>
      <c r="FV1048" s="2"/>
      <c r="FW1048" s="2"/>
      <c r="FX1048" s="2"/>
      <c r="FY1048" s="2"/>
      <c r="FZ1048" s="2"/>
      <c r="GA1048" s="2"/>
      <c r="GB1048" s="2"/>
      <c r="GC1048" s="2"/>
      <c r="GD1048" s="2"/>
      <c r="GE1048" s="2"/>
      <c r="GF1048" s="2"/>
      <c r="GG1048" s="2"/>
      <c r="GH1048" s="2"/>
      <c r="GI1048" s="2"/>
      <c r="GJ1048" s="2"/>
      <c r="GK1048" s="2"/>
      <c r="GL1048" s="2"/>
      <c r="GM1048" s="2"/>
      <c r="GN1048" s="2"/>
      <c r="GO1048" s="2"/>
      <c r="GP1048" s="2"/>
      <c r="GQ1048" s="2"/>
      <c r="GR1048" s="2"/>
      <c r="GS1048" s="2"/>
      <c r="GT1048" s="2"/>
      <c r="GU1048" s="2"/>
      <c r="GV1048" s="2"/>
      <c r="GW1048" s="2"/>
      <c r="GX1048" s="2"/>
      <c r="GY1048" s="2"/>
      <c r="GZ1048" s="2"/>
      <c r="HA1048" s="2"/>
      <c r="HB1048" s="2"/>
      <c r="HC1048" s="2"/>
      <c r="HD1048" s="2"/>
      <c r="HE1048" s="2"/>
      <c r="HF1048" s="2"/>
      <c r="HG1048" s="2"/>
      <c r="HH1048" s="2"/>
      <c r="HI1048" s="2"/>
      <c r="HJ1048" s="2"/>
      <c r="HK1048" s="2"/>
      <c r="HL1048" s="2"/>
      <c r="HM1048" s="2"/>
      <c r="HN1048" s="2"/>
    </row>
    <row r="1049" spans="1:222" ht="15.75" customHeight="1" x14ac:dyDescent="0.2">
      <c r="A1049" s="3"/>
      <c r="B1049" s="3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  <c r="EI1049" s="2"/>
      <c r="EJ1049" s="2"/>
      <c r="EK1049" s="2"/>
      <c r="EL1049" s="2"/>
      <c r="EM1049" s="2"/>
      <c r="EN1049" s="2"/>
      <c r="EO1049" s="2"/>
      <c r="EP1049" s="2"/>
      <c r="EQ1049" s="2"/>
      <c r="ER1049" s="2"/>
      <c r="ES1049" s="2"/>
      <c r="ET1049" s="2"/>
      <c r="EU1049" s="2"/>
      <c r="EV1049" s="2"/>
      <c r="EW1049" s="2"/>
      <c r="EX1049" s="2"/>
      <c r="EY1049" s="2"/>
      <c r="EZ1049" s="2"/>
      <c r="FA1049" s="2"/>
      <c r="FB1049" s="2"/>
      <c r="FC1049" s="2"/>
      <c r="FD1049" s="2"/>
      <c r="FE1049" s="2"/>
      <c r="FF1049" s="2"/>
      <c r="FG1049" s="2"/>
      <c r="FH1049" s="2"/>
      <c r="FI1049" s="2"/>
      <c r="FJ1049" s="2"/>
      <c r="FK1049" s="2"/>
      <c r="FL1049" s="2"/>
      <c r="FM1049" s="2"/>
      <c r="FN1049" s="2"/>
      <c r="FO1049" s="2"/>
      <c r="FP1049" s="2"/>
      <c r="FQ1049" s="2"/>
      <c r="FR1049" s="2"/>
      <c r="FS1049" s="2"/>
      <c r="FT1049" s="2"/>
      <c r="FU1049" s="2"/>
      <c r="FV1049" s="2"/>
      <c r="FW1049" s="2"/>
      <c r="FX1049" s="2"/>
      <c r="FY1049" s="2"/>
      <c r="FZ1049" s="2"/>
      <c r="GA1049" s="2"/>
      <c r="GB1049" s="2"/>
      <c r="GC1049" s="2"/>
      <c r="GD1049" s="2"/>
      <c r="GE1049" s="2"/>
      <c r="GF1049" s="2"/>
      <c r="GG1049" s="2"/>
      <c r="GH1049" s="2"/>
      <c r="GI1049" s="2"/>
      <c r="GJ1049" s="2"/>
      <c r="GK1049" s="2"/>
      <c r="GL1049" s="2"/>
      <c r="GM1049" s="2"/>
      <c r="GN1049" s="2"/>
      <c r="GO1049" s="2"/>
      <c r="GP1049" s="2"/>
      <c r="GQ1049" s="2"/>
      <c r="GR1049" s="2"/>
      <c r="GS1049" s="2"/>
      <c r="GT1049" s="2"/>
      <c r="GU1049" s="2"/>
      <c r="GV1049" s="2"/>
      <c r="GW1049" s="2"/>
      <c r="GX1049" s="2"/>
      <c r="GY1049" s="2"/>
      <c r="GZ1049" s="2"/>
      <c r="HA1049" s="2"/>
      <c r="HB1049" s="2"/>
      <c r="HC1049" s="2"/>
      <c r="HD1049" s="2"/>
      <c r="HE1049" s="2"/>
      <c r="HF1049" s="2"/>
      <c r="HG1049" s="2"/>
      <c r="HH1049" s="2"/>
      <c r="HI1049" s="2"/>
      <c r="HJ1049" s="2"/>
      <c r="HK1049" s="2"/>
      <c r="HL1049" s="2"/>
      <c r="HM1049" s="2"/>
      <c r="HN1049" s="2"/>
    </row>
    <row r="1050" spans="1:222" ht="15.75" customHeight="1" x14ac:dyDescent="0.2">
      <c r="A1050" s="3"/>
      <c r="B1050" s="3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  <c r="FB1050" s="2"/>
      <c r="FC1050" s="2"/>
      <c r="FD1050" s="2"/>
      <c r="FE1050" s="2"/>
      <c r="FF1050" s="2"/>
      <c r="FG1050" s="2"/>
      <c r="FH1050" s="2"/>
      <c r="FI1050" s="2"/>
      <c r="FJ1050" s="2"/>
      <c r="FK1050" s="2"/>
      <c r="FL1050" s="2"/>
      <c r="FM1050" s="2"/>
      <c r="FN1050" s="2"/>
      <c r="FO1050" s="2"/>
      <c r="FP1050" s="2"/>
      <c r="FQ1050" s="2"/>
      <c r="FR1050" s="2"/>
      <c r="FS1050" s="2"/>
      <c r="FT1050" s="2"/>
      <c r="FU1050" s="2"/>
      <c r="FV1050" s="2"/>
      <c r="FW1050" s="2"/>
      <c r="FX1050" s="2"/>
      <c r="FY1050" s="2"/>
      <c r="FZ1050" s="2"/>
      <c r="GA1050" s="2"/>
      <c r="GB1050" s="2"/>
      <c r="GC1050" s="2"/>
      <c r="GD1050" s="2"/>
      <c r="GE1050" s="2"/>
      <c r="GF1050" s="2"/>
      <c r="GG1050" s="2"/>
      <c r="GH1050" s="2"/>
      <c r="GI1050" s="2"/>
      <c r="GJ1050" s="2"/>
      <c r="GK1050" s="2"/>
      <c r="GL1050" s="2"/>
      <c r="GM1050" s="2"/>
      <c r="GN1050" s="2"/>
      <c r="GO1050" s="2"/>
      <c r="GP1050" s="2"/>
      <c r="GQ1050" s="2"/>
      <c r="GR1050" s="2"/>
      <c r="GS1050" s="2"/>
      <c r="GT1050" s="2"/>
      <c r="GU1050" s="2"/>
      <c r="GV1050" s="2"/>
      <c r="GW1050" s="2"/>
      <c r="GX1050" s="2"/>
      <c r="GY1050" s="2"/>
      <c r="GZ1050" s="2"/>
      <c r="HA1050" s="2"/>
      <c r="HB1050" s="2"/>
      <c r="HC1050" s="2"/>
      <c r="HD1050" s="2"/>
      <c r="HE1050" s="2"/>
      <c r="HF1050" s="2"/>
      <c r="HG1050" s="2"/>
      <c r="HH1050" s="2"/>
      <c r="HI1050" s="2"/>
      <c r="HJ1050" s="2"/>
      <c r="HK1050" s="2"/>
      <c r="HL1050" s="2"/>
      <c r="HM1050" s="2"/>
      <c r="HN1050" s="2"/>
    </row>
    <row r="1051" spans="1:222" ht="15.75" customHeight="1" x14ac:dyDescent="0.2">
      <c r="A1051" s="3"/>
      <c r="B1051" s="3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/>
      <c r="FR1051" s="2"/>
      <c r="FS1051" s="2"/>
      <c r="FT1051" s="2"/>
      <c r="FU1051" s="2"/>
      <c r="FV1051" s="2"/>
      <c r="FW1051" s="2"/>
      <c r="FX1051" s="2"/>
      <c r="FY1051" s="2"/>
      <c r="FZ1051" s="2"/>
      <c r="GA1051" s="2"/>
      <c r="GB1051" s="2"/>
      <c r="GC1051" s="2"/>
      <c r="GD1051" s="2"/>
      <c r="GE1051" s="2"/>
      <c r="GF1051" s="2"/>
      <c r="GG1051" s="2"/>
      <c r="GH1051" s="2"/>
      <c r="GI1051" s="2"/>
      <c r="GJ1051" s="2"/>
      <c r="GK1051" s="2"/>
      <c r="GL1051" s="2"/>
      <c r="GM1051" s="2"/>
      <c r="GN1051" s="2"/>
      <c r="GO1051" s="2"/>
      <c r="GP1051" s="2"/>
      <c r="GQ1051" s="2"/>
      <c r="GR1051" s="2"/>
      <c r="GS1051" s="2"/>
      <c r="GT1051" s="2"/>
      <c r="GU1051" s="2"/>
      <c r="GV1051" s="2"/>
      <c r="GW1051" s="2"/>
      <c r="GX1051" s="2"/>
      <c r="GY1051" s="2"/>
      <c r="GZ1051" s="2"/>
      <c r="HA1051" s="2"/>
      <c r="HB1051" s="2"/>
      <c r="HC1051" s="2"/>
      <c r="HD1051" s="2"/>
      <c r="HE1051" s="2"/>
      <c r="HF1051" s="2"/>
      <c r="HG1051" s="2"/>
      <c r="HH1051" s="2"/>
      <c r="HI1051" s="2"/>
      <c r="HJ1051" s="2"/>
      <c r="HK1051" s="2"/>
      <c r="HL1051" s="2"/>
      <c r="HM1051" s="2"/>
      <c r="HN1051" s="2"/>
    </row>
    <row r="1052" spans="1:222" ht="15.75" customHeight="1" x14ac:dyDescent="0.2">
      <c r="A1052" s="3"/>
      <c r="B1052" s="3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/>
      <c r="FN1052" s="2"/>
      <c r="FO1052" s="2"/>
      <c r="FP1052" s="2"/>
      <c r="FQ1052" s="2"/>
      <c r="FR1052" s="2"/>
      <c r="FS1052" s="2"/>
      <c r="FT1052" s="2"/>
      <c r="FU1052" s="2"/>
      <c r="FV1052" s="2"/>
      <c r="FW1052" s="2"/>
      <c r="FX1052" s="2"/>
      <c r="FY1052" s="2"/>
      <c r="FZ1052" s="2"/>
      <c r="GA1052" s="2"/>
      <c r="GB1052" s="2"/>
      <c r="GC1052" s="2"/>
      <c r="GD1052" s="2"/>
      <c r="GE1052" s="2"/>
      <c r="GF1052" s="2"/>
      <c r="GG1052" s="2"/>
      <c r="GH1052" s="2"/>
      <c r="GI1052" s="2"/>
      <c r="GJ1052" s="2"/>
      <c r="GK1052" s="2"/>
      <c r="GL1052" s="2"/>
      <c r="GM1052" s="2"/>
      <c r="GN1052" s="2"/>
      <c r="GO1052" s="2"/>
      <c r="GP1052" s="2"/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/>
      <c r="HB1052" s="2"/>
      <c r="HC1052" s="2"/>
      <c r="HD1052" s="2"/>
      <c r="HE1052" s="2"/>
      <c r="HF1052" s="2"/>
      <c r="HG1052" s="2"/>
      <c r="HH1052" s="2"/>
      <c r="HI1052" s="2"/>
      <c r="HJ1052" s="2"/>
      <c r="HK1052" s="2"/>
      <c r="HL1052" s="2"/>
      <c r="HM1052" s="2"/>
      <c r="HN1052" s="2"/>
    </row>
    <row r="1053" spans="1:222" ht="15.75" customHeight="1" x14ac:dyDescent="0.2">
      <c r="A1053" s="3"/>
      <c r="B1053" s="3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  <c r="FQ1053" s="2"/>
      <c r="FR1053" s="2"/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  <c r="GC1053" s="2"/>
      <c r="GD1053" s="2"/>
      <c r="GE1053" s="2"/>
      <c r="GF1053" s="2"/>
      <c r="GG1053" s="2"/>
      <c r="GH1053" s="2"/>
      <c r="GI1053" s="2"/>
      <c r="GJ1053" s="2"/>
      <c r="GK1053" s="2"/>
      <c r="GL1053" s="2"/>
      <c r="GM1053" s="2"/>
      <c r="GN1053" s="2"/>
      <c r="GO1053" s="2"/>
      <c r="GP1053" s="2"/>
      <c r="GQ1053" s="2"/>
      <c r="GR1053" s="2"/>
      <c r="GS1053" s="2"/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/>
      <c r="HN1053" s="2"/>
    </row>
    <row r="1054" spans="1:222" ht="15.75" customHeight="1" x14ac:dyDescent="0.2">
      <c r="A1054" s="3"/>
      <c r="B1054" s="3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  <c r="EI1054" s="2"/>
      <c r="EJ1054" s="2"/>
      <c r="EK1054" s="2"/>
      <c r="EL1054" s="2"/>
      <c r="EM1054" s="2"/>
      <c r="EN1054" s="2"/>
      <c r="EO1054" s="2"/>
      <c r="EP1054" s="2"/>
      <c r="EQ1054" s="2"/>
      <c r="ER1054" s="2"/>
      <c r="ES1054" s="2"/>
      <c r="ET1054" s="2"/>
      <c r="EU1054" s="2"/>
      <c r="EV1054" s="2"/>
      <c r="EW1054" s="2"/>
      <c r="EX1054" s="2"/>
      <c r="EY1054" s="2"/>
      <c r="EZ1054" s="2"/>
      <c r="FA1054" s="2"/>
      <c r="FB1054" s="2"/>
      <c r="FC1054" s="2"/>
      <c r="FD1054" s="2"/>
      <c r="FE1054" s="2"/>
      <c r="FF1054" s="2"/>
      <c r="FG1054" s="2"/>
      <c r="FH1054" s="2"/>
      <c r="FI1054" s="2"/>
      <c r="FJ1054" s="2"/>
      <c r="FK1054" s="2"/>
      <c r="FL1054" s="2"/>
      <c r="FM1054" s="2"/>
      <c r="FN1054" s="2"/>
      <c r="FO1054" s="2"/>
      <c r="FP1054" s="2"/>
      <c r="FQ1054" s="2"/>
      <c r="FR1054" s="2"/>
      <c r="FS1054" s="2"/>
      <c r="FT1054" s="2"/>
      <c r="FU1054" s="2"/>
      <c r="FV1054" s="2"/>
      <c r="FW1054" s="2"/>
      <c r="FX1054" s="2"/>
      <c r="FY1054" s="2"/>
      <c r="FZ1054" s="2"/>
      <c r="GA1054" s="2"/>
      <c r="GB1054" s="2"/>
      <c r="GC1054" s="2"/>
      <c r="GD1054" s="2"/>
      <c r="GE1054" s="2"/>
      <c r="GF1054" s="2"/>
      <c r="GG1054" s="2"/>
      <c r="GH1054" s="2"/>
      <c r="GI1054" s="2"/>
      <c r="GJ1054" s="2"/>
      <c r="GK1054" s="2"/>
      <c r="GL1054" s="2"/>
      <c r="GM1054" s="2"/>
      <c r="GN1054" s="2"/>
      <c r="GO1054" s="2"/>
      <c r="GP1054" s="2"/>
      <c r="GQ1054" s="2"/>
      <c r="GR1054" s="2"/>
      <c r="GS1054" s="2"/>
      <c r="GT1054" s="2"/>
      <c r="GU1054" s="2"/>
      <c r="GV1054" s="2"/>
      <c r="GW1054" s="2"/>
      <c r="GX1054" s="2"/>
      <c r="GY1054" s="2"/>
      <c r="GZ1054" s="2"/>
      <c r="HA1054" s="2"/>
      <c r="HB1054" s="2"/>
      <c r="HC1054" s="2"/>
      <c r="HD1054" s="2"/>
      <c r="HE1054" s="2"/>
      <c r="HF1054" s="2"/>
      <c r="HG1054" s="2"/>
      <c r="HH1054" s="2"/>
      <c r="HI1054" s="2"/>
      <c r="HJ1054" s="2"/>
      <c r="HK1054" s="2"/>
      <c r="HL1054" s="2"/>
      <c r="HM1054" s="2"/>
      <c r="HN1054" s="2"/>
    </row>
    <row r="1055" spans="1:222" ht="15.75" customHeight="1" x14ac:dyDescent="0.2">
      <c r="A1055" s="3"/>
      <c r="B1055" s="3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/>
      <c r="FM1055" s="2"/>
      <c r="FN1055" s="2"/>
      <c r="FO1055" s="2"/>
      <c r="FP1055" s="2"/>
      <c r="FQ1055" s="2"/>
      <c r="FR1055" s="2"/>
      <c r="FS1055" s="2"/>
      <c r="FT1055" s="2"/>
      <c r="FU1055" s="2"/>
      <c r="FV1055" s="2"/>
      <c r="FW1055" s="2"/>
      <c r="FX1055" s="2"/>
      <c r="FY1055" s="2"/>
      <c r="FZ1055" s="2"/>
      <c r="GA1055" s="2"/>
      <c r="GB1055" s="2"/>
      <c r="GC1055" s="2"/>
      <c r="GD1055" s="2"/>
      <c r="GE1055" s="2"/>
      <c r="GF1055" s="2"/>
      <c r="GG1055" s="2"/>
      <c r="GH1055" s="2"/>
      <c r="GI1055" s="2"/>
      <c r="GJ1055" s="2"/>
      <c r="GK1055" s="2"/>
      <c r="GL1055" s="2"/>
      <c r="GM1055" s="2"/>
      <c r="GN1055" s="2"/>
      <c r="GO1055" s="2"/>
      <c r="GP1055" s="2"/>
      <c r="GQ1055" s="2"/>
      <c r="GR1055" s="2"/>
      <c r="GS1055" s="2"/>
      <c r="GT1055" s="2"/>
      <c r="GU1055" s="2"/>
      <c r="GV1055" s="2"/>
      <c r="GW1055" s="2"/>
      <c r="GX1055" s="2"/>
      <c r="GY1055" s="2"/>
      <c r="GZ1055" s="2"/>
      <c r="HA1055" s="2"/>
      <c r="HB1055" s="2"/>
      <c r="HC1055" s="2"/>
      <c r="HD1055" s="2"/>
      <c r="HE1055" s="2"/>
      <c r="HF1055" s="2"/>
      <c r="HG1055" s="2"/>
      <c r="HH1055" s="2"/>
      <c r="HI1055" s="2"/>
      <c r="HJ1055" s="2"/>
      <c r="HK1055" s="2"/>
      <c r="HL1055" s="2"/>
      <c r="HM1055" s="2"/>
      <c r="HN1055" s="2"/>
    </row>
    <row r="1056" spans="1:222" ht="15.75" customHeight="1" x14ac:dyDescent="0.2">
      <c r="A1056" s="3"/>
      <c r="B1056" s="3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2"/>
      <c r="EF1056" s="2"/>
      <c r="EG1056" s="2"/>
      <c r="EH1056" s="2"/>
      <c r="EI1056" s="2"/>
      <c r="EJ1056" s="2"/>
      <c r="EK1056" s="2"/>
      <c r="EL1056" s="2"/>
      <c r="EM1056" s="2"/>
      <c r="EN1056" s="2"/>
      <c r="EO1056" s="2"/>
      <c r="EP1056" s="2"/>
      <c r="EQ1056" s="2"/>
      <c r="ER1056" s="2"/>
      <c r="ES1056" s="2"/>
      <c r="ET1056" s="2"/>
      <c r="EU1056" s="2"/>
      <c r="EV1056" s="2"/>
      <c r="EW1056" s="2"/>
      <c r="EX1056" s="2"/>
      <c r="EY1056" s="2"/>
      <c r="EZ1056" s="2"/>
      <c r="FA1056" s="2"/>
      <c r="FB1056" s="2"/>
      <c r="FC1056" s="2"/>
      <c r="FD1056" s="2"/>
      <c r="FE1056" s="2"/>
      <c r="FF1056" s="2"/>
      <c r="FG1056" s="2"/>
      <c r="FH1056" s="2"/>
      <c r="FI1056" s="2"/>
      <c r="FJ1056" s="2"/>
      <c r="FK1056" s="2"/>
      <c r="FL1056" s="2"/>
      <c r="FM1056" s="2"/>
      <c r="FN1056" s="2"/>
      <c r="FO1056" s="2"/>
      <c r="FP1056" s="2"/>
      <c r="FQ1056" s="2"/>
      <c r="FR1056" s="2"/>
      <c r="FS1056" s="2"/>
      <c r="FT1056" s="2"/>
      <c r="FU1056" s="2"/>
      <c r="FV1056" s="2"/>
      <c r="FW1056" s="2"/>
      <c r="FX1056" s="2"/>
      <c r="FY1056" s="2"/>
      <c r="FZ1056" s="2"/>
      <c r="GA1056" s="2"/>
      <c r="GB1056" s="2"/>
      <c r="GC1056" s="2"/>
      <c r="GD1056" s="2"/>
      <c r="GE1056" s="2"/>
      <c r="GF1056" s="2"/>
      <c r="GG1056" s="2"/>
      <c r="GH1056" s="2"/>
      <c r="GI1056" s="2"/>
      <c r="GJ1056" s="2"/>
      <c r="GK1056" s="2"/>
      <c r="GL1056" s="2"/>
      <c r="GM1056" s="2"/>
      <c r="GN1056" s="2"/>
      <c r="GO1056" s="2"/>
      <c r="GP1056" s="2"/>
      <c r="GQ1056" s="2"/>
      <c r="GR1056" s="2"/>
      <c r="GS1056" s="2"/>
      <c r="GT1056" s="2"/>
      <c r="GU1056" s="2"/>
      <c r="GV1056" s="2"/>
      <c r="GW1056" s="2"/>
      <c r="GX1056" s="2"/>
      <c r="GY1056" s="2"/>
      <c r="GZ1056" s="2"/>
      <c r="HA1056" s="2"/>
      <c r="HB1056" s="2"/>
      <c r="HC1056" s="2"/>
      <c r="HD1056" s="2"/>
      <c r="HE1056" s="2"/>
      <c r="HF1056" s="2"/>
      <c r="HG1056" s="2"/>
      <c r="HH1056" s="2"/>
      <c r="HI1056" s="2"/>
      <c r="HJ1056" s="2"/>
      <c r="HK1056" s="2"/>
      <c r="HL1056" s="2"/>
      <c r="HM1056" s="2"/>
      <c r="HN1056" s="2"/>
    </row>
    <row r="1057" spans="1:222" ht="15.75" customHeight="1" x14ac:dyDescent="0.2">
      <c r="A1057" s="3"/>
      <c r="B1057" s="3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  <c r="EI1057" s="2"/>
      <c r="EJ1057" s="2"/>
      <c r="EK1057" s="2"/>
      <c r="EL1057" s="2"/>
      <c r="EM1057" s="2"/>
      <c r="EN1057" s="2"/>
      <c r="EO1057" s="2"/>
      <c r="EP1057" s="2"/>
      <c r="EQ1057" s="2"/>
      <c r="ER1057" s="2"/>
      <c r="ES1057" s="2"/>
      <c r="ET1057" s="2"/>
      <c r="EU1057" s="2"/>
      <c r="EV1057" s="2"/>
      <c r="EW1057" s="2"/>
      <c r="EX1057" s="2"/>
      <c r="EY1057" s="2"/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/>
      <c r="FN1057" s="2"/>
      <c r="FO1057" s="2"/>
      <c r="FP1057" s="2"/>
      <c r="FQ1057" s="2"/>
      <c r="FR1057" s="2"/>
      <c r="FS1057" s="2"/>
      <c r="FT1057" s="2"/>
      <c r="FU1057" s="2"/>
      <c r="FV1057" s="2"/>
      <c r="FW1057" s="2"/>
      <c r="FX1057" s="2"/>
      <c r="FY1057" s="2"/>
      <c r="FZ1057" s="2"/>
      <c r="GA1057" s="2"/>
      <c r="GB1057" s="2"/>
      <c r="GC1057" s="2"/>
      <c r="GD1057" s="2"/>
      <c r="GE1057" s="2"/>
      <c r="GF1057" s="2"/>
      <c r="GG1057" s="2"/>
      <c r="GH1057" s="2"/>
      <c r="GI1057" s="2"/>
      <c r="GJ1057" s="2"/>
      <c r="GK1057" s="2"/>
      <c r="GL1057" s="2"/>
      <c r="GM1057" s="2"/>
      <c r="GN1057" s="2"/>
      <c r="GO1057" s="2"/>
      <c r="GP1057" s="2"/>
      <c r="GQ1057" s="2"/>
      <c r="GR1057" s="2"/>
      <c r="GS1057" s="2"/>
      <c r="GT1057" s="2"/>
      <c r="GU1057" s="2"/>
      <c r="GV1057" s="2"/>
      <c r="GW1057" s="2"/>
      <c r="GX1057" s="2"/>
      <c r="GY1057" s="2"/>
      <c r="GZ1057" s="2"/>
      <c r="HA1057" s="2"/>
      <c r="HB1057" s="2"/>
      <c r="HC1057" s="2"/>
      <c r="HD1057" s="2"/>
      <c r="HE1057" s="2"/>
      <c r="HF1057" s="2"/>
      <c r="HG1057" s="2"/>
      <c r="HH1057" s="2"/>
      <c r="HI1057" s="2"/>
      <c r="HJ1057" s="2"/>
      <c r="HK1057" s="2"/>
      <c r="HL1057" s="2"/>
      <c r="HM1057" s="2"/>
      <c r="HN1057" s="2"/>
    </row>
    <row r="1058" spans="1:222" ht="15.75" customHeight="1" x14ac:dyDescent="0.2">
      <c r="A1058" s="3"/>
      <c r="B1058" s="3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/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/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  <c r="GC1058" s="2"/>
      <c r="GD1058" s="2"/>
      <c r="GE1058" s="2"/>
      <c r="GF1058" s="2"/>
      <c r="GG1058" s="2"/>
      <c r="GH1058" s="2"/>
      <c r="GI1058" s="2"/>
      <c r="GJ1058" s="2"/>
      <c r="GK1058" s="2"/>
      <c r="GL1058" s="2"/>
      <c r="GM1058" s="2"/>
      <c r="GN1058" s="2"/>
      <c r="GO1058" s="2"/>
      <c r="GP1058" s="2"/>
      <c r="GQ1058" s="2"/>
      <c r="GR1058" s="2"/>
      <c r="GS1058" s="2"/>
      <c r="GT1058" s="2"/>
      <c r="GU1058" s="2"/>
      <c r="GV1058" s="2"/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  <c r="HG1058" s="2"/>
      <c r="HH1058" s="2"/>
      <c r="HI1058" s="2"/>
      <c r="HJ1058" s="2"/>
      <c r="HK1058" s="2"/>
      <c r="HL1058" s="2"/>
      <c r="HM1058" s="2"/>
      <c r="HN1058" s="2"/>
    </row>
    <row r="1059" spans="1:222" ht="15.75" customHeight="1" x14ac:dyDescent="0.2">
      <c r="A1059" s="3"/>
      <c r="B1059" s="3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  <c r="FB1059" s="2"/>
      <c r="FC1059" s="2"/>
      <c r="FD1059" s="2"/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  <c r="FQ1059" s="2"/>
      <c r="FR1059" s="2"/>
      <c r="FS1059" s="2"/>
      <c r="FT1059" s="2"/>
      <c r="FU1059" s="2"/>
      <c r="FV1059" s="2"/>
      <c r="FW1059" s="2"/>
      <c r="FX1059" s="2"/>
      <c r="FY1059" s="2"/>
      <c r="FZ1059" s="2"/>
      <c r="GA1059" s="2"/>
      <c r="GB1059" s="2"/>
      <c r="GC1059" s="2"/>
      <c r="GD1059" s="2"/>
      <c r="GE1059" s="2"/>
      <c r="GF1059" s="2"/>
      <c r="GG1059" s="2"/>
      <c r="GH1059" s="2"/>
      <c r="GI1059" s="2"/>
      <c r="GJ1059" s="2"/>
      <c r="GK1059" s="2"/>
      <c r="GL1059" s="2"/>
      <c r="GM1059" s="2"/>
      <c r="GN1059" s="2"/>
      <c r="GO1059" s="2"/>
      <c r="GP1059" s="2"/>
      <c r="GQ1059" s="2"/>
      <c r="GR1059" s="2"/>
      <c r="GS1059" s="2"/>
      <c r="GT1059" s="2"/>
      <c r="GU1059" s="2"/>
      <c r="GV1059" s="2"/>
      <c r="GW1059" s="2"/>
      <c r="GX1059" s="2"/>
      <c r="GY1059" s="2"/>
      <c r="GZ1059" s="2"/>
      <c r="HA1059" s="2"/>
      <c r="HB1059" s="2"/>
      <c r="HC1059" s="2"/>
      <c r="HD1059" s="2"/>
      <c r="HE1059" s="2"/>
      <c r="HF1059" s="2"/>
      <c r="HG1059" s="2"/>
      <c r="HH1059" s="2"/>
      <c r="HI1059" s="2"/>
      <c r="HJ1059" s="2"/>
      <c r="HK1059" s="2"/>
      <c r="HL1059" s="2"/>
      <c r="HM1059" s="2"/>
      <c r="HN1059" s="2"/>
    </row>
    <row r="1060" spans="1:222" ht="15.75" customHeight="1" x14ac:dyDescent="0.2">
      <c r="A1060" s="3"/>
      <c r="B1060" s="3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/>
      <c r="GA1060" s="2"/>
      <c r="GB1060" s="2"/>
      <c r="GC1060" s="2"/>
      <c r="GD1060" s="2"/>
      <c r="GE1060" s="2"/>
      <c r="GF1060" s="2"/>
      <c r="GG1060" s="2"/>
      <c r="GH1060" s="2"/>
      <c r="GI1060" s="2"/>
      <c r="GJ1060" s="2"/>
      <c r="GK1060" s="2"/>
      <c r="GL1060" s="2"/>
      <c r="GM1060" s="2"/>
      <c r="GN1060" s="2"/>
      <c r="GO1060" s="2"/>
      <c r="GP1060" s="2"/>
      <c r="GQ1060" s="2"/>
      <c r="GR1060" s="2"/>
      <c r="GS1060" s="2"/>
      <c r="GT1060" s="2"/>
      <c r="GU1060" s="2"/>
      <c r="GV1060" s="2"/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/>
      <c r="HN1060" s="2"/>
    </row>
    <row r="1061" spans="1:222" ht="15.75" customHeight="1" x14ac:dyDescent="0.2">
      <c r="A1061" s="3"/>
      <c r="B1061" s="3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/>
      <c r="GK1061" s="2"/>
      <c r="GL1061" s="2"/>
      <c r="GM1061" s="2"/>
      <c r="GN1061" s="2"/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/>
      <c r="HH1061" s="2"/>
      <c r="HI1061" s="2"/>
      <c r="HJ1061" s="2"/>
      <c r="HK1061" s="2"/>
      <c r="HL1061" s="2"/>
      <c r="HM1061" s="2"/>
      <c r="HN1061" s="2"/>
    </row>
    <row r="1062" spans="1:222" ht="15.75" customHeight="1" x14ac:dyDescent="0.2">
      <c r="A1062" s="3"/>
      <c r="B1062" s="3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  <c r="EI1062" s="2"/>
      <c r="EJ1062" s="2"/>
      <c r="EK1062" s="2"/>
      <c r="EL1062" s="2"/>
      <c r="EM1062" s="2"/>
      <c r="EN1062" s="2"/>
      <c r="EO1062" s="2"/>
      <c r="EP1062" s="2"/>
      <c r="EQ1062" s="2"/>
      <c r="ER1062" s="2"/>
      <c r="ES1062" s="2"/>
      <c r="ET1062" s="2"/>
      <c r="EU1062" s="2"/>
      <c r="EV1062" s="2"/>
      <c r="EW1062" s="2"/>
      <c r="EX1062" s="2"/>
      <c r="EY1062" s="2"/>
      <c r="EZ1062" s="2"/>
      <c r="FA1062" s="2"/>
      <c r="FB1062" s="2"/>
      <c r="FC1062" s="2"/>
      <c r="FD1062" s="2"/>
      <c r="FE1062" s="2"/>
      <c r="FF1062" s="2"/>
      <c r="FG1062" s="2"/>
      <c r="FH1062" s="2"/>
      <c r="FI1062" s="2"/>
      <c r="FJ1062" s="2"/>
      <c r="FK1062" s="2"/>
      <c r="FL1062" s="2"/>
      <c r="FM1062" s="2"/>
      <c r="FN1062" s="2"/>
      <c r="FO1062" s="2"/>
      <c r="FP1062" s="2"/>
      <c r="FQ1062" s="2"/>
      <c r="FR1062" s="2"/>
      <c r="FS1062" s="2"/>
      <c r="FT1062" s="2"/>
      <c r="FU1062" s="2"/>
      <c r="FV1062" s="2"/>
      <c r="FW1062" s="2"/>
      <c r="FX1062" s="2"/>
      <c r="FY1062" s="2"/>
      <c r="FZ1062" s="2"/>
      <c r="GA1062" s="2"/>
      <c r="GB1062" s="2"/>
      <c r="GC1062" s="2"/>
      <c r="GD1062" s="2"/>
      <c r="GE1062" s="2"/>
      <c r="GF1062" s="2"/>
      <c r="GG1062" s="2"/>
      <c r="GH1062" s="2"/>
      <c r="GI1062" s="2"/>
      <c r="GJ1062" s="2"/>
      <c r="GK1062" s="2"/>
      <c r="GL1062" s="2"/>
      <c r="GM1062" s="2"/>
      <c r="GN1062" s="2"/>
      <c r="GO1062" s="2"/>
      <c r="GP1062" s="2"/>
      <c r="GQ1062" s="2"/>
      <c r="GR1062" s="2"/>
      <c r="GS1062" s="2"/>
      <c r="GT1062" s="2"/>
      <c r="GU1062" s="2"/>
      <c r="GV1062" s="2"/>
      <c r="GW1062" s="2"/>
      <c r="GX1062" s="2"/>
      <c r="GY1062" s="2"/>
      <c r="GZ1062" s="2"/>
      <c r="HA1062" s="2"/>
      <c r="HB1062" s="2"/>
      <c r="HC1062" s="2"/>
      <c r="HD1062" s="2"/>
      <c r="HE1062" s="2"/>
      <c r="HF1062" s="2"/>
      <c r="HG1062" s="2"/>
      <c r="HH1062" s="2"/>
      <c r="HI1062" s="2"/>
      <c r="HJ1062" s="2"/>
      <c r="HK1062" s="2"/>
      <c r="HL1062" s="2"/>
      <c r="HM1062" s="2"/>
      <c r="HN1062" s="2"/>
    </row>
    <row r="1063" spans="1:222" ht="15.75" customHeight="1" x14ac:dyDescent="0.2">
      <c r="A1063" s="3"/>
      <c r="B1063" s="3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  <c r="FB1063" s="2"/>
      <c r="FC1063" s="2"/>
      <c r="FD1063" s="2"/>
      <c r="FE1063" s="2"/>
      <c r="FF1063" s="2"/>
      <c r="FG1063" s="2"/>
      <c r="FH1063" s="2"/>
      <c r="FI1063" s="2"/>
      <c r="FJ1063" s="2"/>
      <c r="FK1063" s="2"/>
      <c r="FL1063" s="2"/>
      <c r="FM1063" s="2"/>
      <c r="FN1063" s="2"/>
      <c r="FO1063" s="2"/>
      <c r="FP1063" s="2"/>
      <c r="FQ1063" s="2"/>
      <c r="FR1063" s="2"/>
      <c r="FS1063" s="2"/>
      <c r="FT1063" s="2"/>
      <c r="FU1063" s="2"/>
      <c r="FV1063" s="2"/>
      <c r="FW1063" s="2"/>
      <c r="FX1063" s="2"/>
      <c r="FY1063" s="2"/>
      <c r="FZ1063" s="2"/>
      <c r="GA1063" s="2"/>
      <c r="GB1063" s="2"/>
      <c r="GC1063" s="2"/>
      <c r="GD1063" s="2"/>
      <c r="GE1063" s="2"/>
      <c r="GF1063" s="2"/>
      <c r="GG1063" s="2"/>
      <c r="GH1063" s="2"/>
      <c r="GI1063" s="2"/>
      <c r="GJ1063" s="2"/>
      <c r="GK1063" s="2"/>
      <c r="GL1063" s="2"/>
      <c r="GM1063" s="2"/>
      <c r="GN1063" s="2"/>
      <c r="GO1063" s="2"/>
      <c r="GP1063" s="2"/>
      <c r="GQ1063" s="2"/>
      <c r="GR1063" s="2"/>
      <c r="GS1063" s="2"/>
      <c r="GT1063" s="2"/>
      <c r="GU1063" s="2"/>
      <c r="GV1063" s="2"/>
      <c r="GW1063" s="2"/>
      <c r="GX1063" s="2"/>
      <c r="GY1063" s="2"/>
      <c r="GZ1063" s="2"/>
      <c r="HA1063" s="2"/>
      <c r="HB1063" s="2"/>
      <c r="HC1063" s="2"/>
      <c r="HD1063" s="2"/>
      <c r="HE1063" s="2"/>
      <c r="HF1063" s="2"/>
      <c r="HG1063" s="2"/>
      <c r="HH1063" s="2"/>
      <c r="HI1063" s="2"/>
      <c r="HJ1063" s="2"/>
      <c r="HK1063" s="2"/>
      <c r="HL1063" s="2"/>
      <c r="HM1063" s="2"/>
      <c r="HN1063" s="2"/>
    </row>
    <row r="1064" spans="1:222" ht="15.75" customHeight="1" x14ac:dyDescent="0.2">
      <c r="A1064" s="3"/>
      <c r="B1064" s="3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2"/>
      <c r="EQ1064" s="2"/>
      <c r="ER1064" s="2"/>
      <c r="ES1064" s="2"/>
      <c r="ET1064" s="2"/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  <c r="FQ1064" s="2"/>
      <c r="FR1064" s="2"/>
      <c r="FS1064" s="2"/>
      <c r="FT1064" s="2"/>
      <c r="FU1064" s="2"/>
      <c r="FV1064" s="2"/>
      <c r="FW1064" s="2"/>
      <c r="FX1064" s="2"/>
      <c r="FY1064" s="2"/>
      <c r="FZ1064" s="2"/>
      <c r="GA1064" s="2"/>
      <c r="GB1064" s="2"/>
      <c r="GC1064" s="2"/>
      <c r="GD1064" s="2"/>
      <c r="GE1064" s="2"/>
      <c r="GF1064" s="2"/>
      <c r="GG1064" s="2"/>
      <c r="GH1064" s="2"/>
      <c r="GI1064" s="2"/>
      <c r="GJ1064" s="2"/>
      <c r="GK1064" s="2"/>
      <c r="GL1064" s="2"/>
      <c r="GM1064" s="2"/>
      <c r="GN1064" s="2"/>
      <c r="GO1064" s="2"/>
      <c r="GP1064" s="2"/>
      <c r="GQ1064" s="2"/>
      <c r="GR1064" s="2"/>
      <c r="GS1064" s="2"/>
      <c r="GT1064" s="2"/>
      <c r="GU1064" s="2"/>
      <c r="GV1064" s="2"/>
      <c r="GW1064" s="2"/>
      <c r="GX1064" s="2"/>
      <c r="GY1064" s="2"/>
      <c r="GZ1064" s="2"/>
      <c r="HA1064" s="2"/>
      <c r="HB1064" s="2"/>
      <c r="HC1064" s="2"/>
      <c r="HD1064" s="2"/>
      <c r="HE1064" s="2"/>
      <c r="HF1064" s="2"/>
      <c r="HG1064" s="2"/>
      <c r="HH1064" s="2"/>
      <c r="HI1064" s="2"/>
      <c r="HJ1064" s="2"/>
      <c r="HK1064" s="2"/>
      <c r="HL1064" s="2"/>
      <c r="HM1064" s="2"/>
      <c r="HN1064" s="2"/>
    </row>
    <row r="1065" spans="1:222" ht="15.75" customHeight="1" x14ac:dyDescent="0.2">
      <c r="A1065" s="3"/>
      <c r="B1065" s="3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  <c r="FB1065" s="2"/>
      <c r="FC1065" s="2"/>
      <c r="FD1065" s="2"/>
      <c r="FE1065" s="2"/>
      <c r="FF1065" s="2"/>
      <c r="FG1065" s="2"/>
      <c r="FH1065" s="2"/>
      <c r="FI1065" s="2"/>
      <c r="FJ1065" s="2"/>
      <c r="FK1065" s="2"/>
      <c r="FL1065" s="2"/>
      <c r="FM1065" s="2"/>
      <c r="FN1065" s="2"/>
      <c r="FO1065" s="2"/>
      <c r="FP1065" s="2"/>
      <c r="FQ1065" s="2"/>
      <c r="FR1065" s="2"/>
      <c r="FS1065" s="2"/>
      <c r="FT1065" s="2"/>
      <c r="FU1065" s="2"/>
      <c r="FV1065" s="2"/>
      <c r="FW1065" s="2"/>
      <c r="FX1065" s="2"/>
      <c r="FY1065" s="2"/>
      <c r="FZ1065" s="2"/>
      <c r="GA1065" s="2"/>
      <c r="GB1065" s="2"/>
      <c r="GC1065" s="2"/>
      <c r="GD1065" s="2"/>
      <c r="GE1065" s="2"/>
      <c r="GF1065" s="2"/>
      <c r="GG1065" s="2"/>
      <c r="GH1065" s="2"/>
      <c r="GI1065" s="2"/>
      <c r="GJ1065" s="2"/>
      <c r="GK1065" s="2"/>
      <c r="GL1065" s="2"/>
      <c r="GM1065" s="2"/>
      <c r="GN1065" s="2"/>
      <c r="GO1065" s="2"/>
      <c r="GP1065" s="2"/>
      <c r="GQ1065" s="2"/>
      <c r="GR1065" s="2"/>
      <c r="GS1065" s="2"/>
      <c r="GT1065" s="2"/>
      <c r="GU1065" s="2"/>
      <c r="GV1065" s="2"/>
      <c r="GW1065" s="2"/>
      <c r="GX1065" s="2"/>
      <c r="GY1065" s="2"/>
      <c r="GZ1065" s="2"/>
      <c r="HA1065" s="2"/>
      <c r="HB1065" s="2"/>
      <c r="HC1065" s="2"/>
      <c r="HD1065" s="2"/>
      <c r="HE1065" s="2"/>
      <c r="HF1065" s="2"/>
      <c r="HG1065" s="2"/>
      <c r="HH1065" s="2"/>
      <c r="HI1065" s="2"/>
      <c r="HJ1065" s="2"/>
      <c r="HK1065" s="2"/>
      <c r="HL1065" s="2"/>
      <c r="HM1065" s="2"/>
      <c r="HN1065" s="2"/>
    </row>
    <row r="1066" spans="1:222" ht="15.75" customHeight="1" x14ac:dyDescent="0.2">
      <c r="A1066" s="3"/>
      <c r="B1066" s="3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2"/>
      <c r="EQ1066" s="2"/>
      <c r="ER1066" s="2"/>
      <c r="ES1066" s="2"/>
      <c r="ET1066" s="2"/>
      <c r="EU1066" s="2"/>
      <c r="EV1066" s="2"/>
      <c r="EW1066" s="2"/>
      <c r="EX1066" s="2"/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  <c r="FQ1066" s="2"/>
      <c r="FR1066" s="2"/>
      <c r="FS1066" s="2"/>
      <c r="FT1066" s="2"/>
      <c r="FU1066" s="2"/>
      <c r="FV1066" s="2"/>
      <c r="FW1066" s="2"/>
      <c r="FX1066" s="2"/>
      <c r="FY1066" s="2"/>
      <c r="FZ1066" s="2"/>
      <c r="GA1066" s="2"/>
      <c r="GB1066" s="2"/>
      <c r="GC1066" s="2"/>
      <c r="GD1066" s="2"/>
      <c r="GE1066" s="2"/>
      <c r="GF1066" s="2"/>
      <c r="GG1066" s="2"/>
      <c r="GH1066" s="2"/>
      <c r="GI1066" s="2"/>
      <c r="GJ1066" s="2"/>
      <c r="GK1066" s="2"/>
      <c r="GL1066" s="2"/>
      <c r="GM1066" s="2"/>
      <c r="GN1066" s="2"/>
      <c r="GO1066" s="2"/>
      <c r="GP1066" s="2"/>
      <c r="GQ1066" s="2"/>
      <c r="GR1066" s="2"/>
      <c r="GS1066" s="2"/>
      <c r="GT1066" s="2"/>
      <c r="GU1066" s="2"/>
      <c r="GV1066" s="2"/>
      <c r="GW1066" s="2"/>
      <c r="GX1066" s="2"/>
      <c r="GY1066" s="2"/>
      <c r="GZ1066" s="2"/>
      <c r="HA1066" s="2"/>
      <c r="HB1066" s="2"/>
      <c r="HC1066" s="2"/>
      <c r="HD1066" s="2"/>
      <c r="HE1066" s="2"/>
      <c r="HF1066" s="2"/>
      <c r="HG1066" s="2"/>
      <c r="HH1066" s="2"/>
      <c r="HI1066" s="2"/>
      <c r="HJ1066" s="2"/>
      <c r="HK1066" s="2"/>
      <c r="HL1066" s="2"/>
      <c r="HM1066" s="2"/>
      <c r="HN1066" s="2"/>
    </row>
    <row r="1067" spans="1:222" ht="15.75" customHeight="1" x14ac:dyDescent="0.2">
      <c r="A1067" s="3"/>
      <c r="B1067" s="3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  <c r="FB1067" s="2"/>
      <c r="FC1067" s="2"/>
      <c r="FD1067" s="2"/>
      <c r="FE1067" s="2"/>
      <c r="FF1067" s="2"/>
      <c r="FG1067" s="2"/>
      <c r="FH1067" s="2"/>
      <c r="FI1067" s="2"/>
      <c r="FJ1067" s="2"/>
      <c r="FK1067" s="2"/>
      <c r="FL1067" s="2"/>
      <c r="FM1067" s="2"/>
      <c r="FN1067" s="2"/>
      <c r="FO1067" s="2"/>
      <c r="FP1067" s="2"/>
      <c r="FQ1067" s="2"/>
      <c r="FR1067" s="2"/>
      <c r="FS1067" s="2"/>
      <c r="FT1067" s="2"/>
      <c r="FU1067" s="2"/>
      <c r="FV1067" s="2"/>
      <c r="FW1067" s="2"/>
      <c r="FX1067" s="2"/>
      <c r="FY1067" s="2"/>
      <c r="FZ1067" s="2"/>
      <c r="GA1067" s="2"/>
      <c r="GB1067" s="2"/>
      <c r="GC1067" s="2"/>
      <c r="GD1067" s="2"/>
      <c r="GE1067" s="2"/>
      <c r="GF1067" s="2"/>
      <c r="GG1067" s="2"/>
      <c r="GH1067" s="2"/>
      <c r="GI1067" s="2"/>
      <c r="GJ1067" s="2"/>
      <c r="GK1067" s="2"/>
      <c r="GL1067" s="2"/>
      <c r="GM1067" s="2"/>
      <c r="GN1067" s="2"/>
      <c r="GO1067" s="2"/>
      <c r="GP1067" s="2"/>
      <c r="GQ1067" s="2"/>
      <c r="GR1067" s="2"/>
      <c r="GS1067" s="2"/>
      <c r="GT1067" s="2"/>
      <c r="GU1067" s="2"/>
      <c r="GV1067" s="2"/>
      <c r="GW1067" s="2"/>
      <c r="GX1067" s="2"/>
      <c r="GY1067" s="2"/>
      <c r="GZ1067" s="2"/>
      <c r="HA1067" s="2"/>
      <c r="HB1067" s="2"/>
      <c r="HC1067" s="2"/>
      <c r="HD1067" s="2"/>
      <c r="HE1067" s="2"/>
      <c r="HF1067" s="2"/>
      <c r="HG1067" s="2"/>
      <c r="HH1067" s="2"/>
      <c r="HI1067" s="2"/>
      <c r="HJ1067" s="2"/>
      <c r="HK1067" s="2"/>
      <c r="HL1067" s="2"/>
      <c r="HM1067" s="2"/>
      <c r="HN1067" s="2"/>
    </row>
    <row r="1068" spans="1:222" ht="15.75" customHeight="1" x14ac:dyDescent="0.2">
      <c r="A1068" s="3"/>
      <c r="B1068" s="3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  <c r="FQ1068" s="2"/>
      <c r="FR1068" s="2"/>
      <c r="FS1068" s="2"/>
      <c r="FT1068" s="2"/>
      <c r="FU1068" s="2"/>
      <c r="FV1068" s="2"/>
      <c r="FW1068" s="2"/>
      <c r="FX1068" s="2"/>
      <c r="FY1068" s="2"/>
      <c r="FZ1068" s="2"/>
      <c r="GA1068" s="2"/>
      <c r="GB1068" s="2"/>
      <c r="GC1068" s="2"/>
      <c r="GD1068" s="2"/>
      <c r="GE1068" s="2"/>
      <c r="GF1068" s="2"/>
      <c r="GG1068" s="2"/>
      <c r="GH1068" s="2"/>
      <c r="GI1068" s="2"/>
      <c r="GJ1068" s="2"/>
      <c r="GK1068" s="2"/>
      <c r="GL1068" s="2"/>
      <c r="GM1068" s="2"/>
      <c r="GN1068" s="2"/>
      <c r="GO1068" s="2"/>
      <c r="GP1068" s="2"/>
      <c r="GQ1068" s="2"/>
      <c r="GR1068" s="2"/>
      <c r="GS1068" s="2"/>
      <c r="GT1068" s="2"/>
      <c r="GU1068" s="2"/>
      <c r="GV1068" s="2"/>
      <c r="GW1068" s="2"/>
      <c r="GX1068" s="2"/>
      <c r="GY1068" s="2"/>
      <c r="GZ1068" s="2"/>
      <c r="HA1068" s="2"/>
      <c r="HB1068" s="2"/>
      <c r="HC1068" s="2"/>
      <c r="HD1068" s="2"/>
      <c r="HE1068" s="2"/>
      <c r="HF1068" s="2"/>
      <c r="HG1068" s="2"/>
      <c r="HH1068" s="2"/>
      <c r="HI1068" s="2"/>
      <c r="HJ1068" s="2"/>
      <c r="HK1068" s="2"/>
      <c r="HL1068" s="2"/>
      <c r="HM1068" s="2"/>
      <c r="HN1068" s="2"/>
    </row>
    <row r="1069" spans="1:222" ht="15.75" customHeight="1" x14ac:dyDescent="0.2">
      <c r="A1069" s="3"/>
      <c r="B1069" s="3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  <c r="EI1069" s="2"/>
      <c r="EJ1069" s="2"/>
      <c r="EK1069" s="2"/>
      <c r="EL1069" s="2"/>
      <c r="EM1069" s="2"/>
      <c r="EN1069" s="2"/>
      <c r="EO1069" s="2"/>
      <c r="EP1069" s="2"/>
      <c r="EQ1069" s="2"/>
      <c r="ER1069" s="2"/>
      <c r="ES1069" s="2"/>
      <c r="ET1069" s="2"/>
      <c r="EU1069" s="2"/>
      <c r="EV1069" s="2"/>
      <c r="EW1069" s="2"/>
      <c r="EX1069" s="2"/>
      <c r="EY1069" s="2"/>
      <c r="EZ1069" s="2"/>
      <c r="FA1069" s="2"/>
      <c r="FB1069" s="2"/>
      <c r="FC1069" s="2"/>
      <c r="FD1069" s="2"/>
      <c r="FE1069" s="2"/>
      <c r="FF1069" s="2"/>
      <c r="FG1069" s="2"/>
      <c r="FH1069" s="2"/>
      <c r="FI1069" s="2"/>
      <c r="FJ1069" s="2"/>
      <c r="FK1069" s="2"/>
      <c r="FL1069" s="2"/>
      <c r="FM1069" s="2"/>
      <c r="FN1069" s="2"/>
      <c r="FO1069" s="2"/>
      <c r="FP1069" s="2"/>
      <c r="FQ1069" s="2"/>
      <c r="FR1069" s="2"/>
      <c r="FS1069" s="2"/>
      <c r="FT1069" s="2"/>
      <c r="FU1069" s="2"/>
      <c r="FV1069" s="2"/>
      <c r="FW1069" s="2"/>
      <c r="FX1069" s="2"/>
      <c r="FY1069" s="2"/>
      <c r="FZ1069" s="2"/>
      <c r="GA1069" s="2"/>
      <c r="GB1069" s="2"/>
      <c r="GC1069" s="2"/>
      <c r="GD1069" s="2"/>
      <c r="GE1069" s="2"/>
      <c r="GF1069" s="2"/>
      <c r="GG1069" s="2"/>
      <c r="GH1069" s="2"/>
      <c r="GI1069" s="2"/>
      <c r="GJ1069" s="2"/>
      <c r="GK1069" s="2"/>
      <c r="GL1069" s="2"/>
      <c r="GM1069" s="2"/>
      <c r="GN1069" s="2"/>
      <c r="GO1069" s="2"/>
      <c r="GP1069" s="2"/>
      <c r="GQ1069" s="2"/>
      <c r="GR1069" s="2"/>
      <c r="GS1069" s="2"/>
      <c r="GT1069" s="2"/>
      <c r="GU1069" s="2"/>
      <c r="GV1069" s="2"/>
      <c r="GW1069" s="2"/>
      <c r="GX1069" s="2"/>
      <c r="GY1069" s="2"/>
      <c r="GZ1069" s="2"/>
      <c r="HA1069" s="2"/>
      <c r="HB1069" s="2"/>
      <c r="HC1069" s="2"/>
      <c r="HD1069" s="2"/>
      <c r="HE1069" s="2"/>
      <c r="HF1069" s="2"/>
      <c r="HG1069" s="2"/>
      <c r="HH1069" s="2"/>
      <c r="HI1069" s="2"/>
      <c r="HJ1069" s="2"/>
      <c r="HK1069" s="2"/>
      <c r="HL1069" s="2"/>
      <c r="HM1069" s="2"/>
      <c r="HN1069" s="2"/>
    </row>
    <row r="1070" spans="1:222" ht="15.75" customHeight="1" x14ac:dyDescent="0.2">
      <c r="A1070" s="3"/>
      <c r="B1070" s="3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  <c r="FQ1070" s="2"/>
      <c r="FR1070" s="2"/>
      <c r="FS1070" s="2"/>
      <c r="FT1070" s="2"/>
      <c r="FU1070" s="2"/>
      <c r="FV1070" s="2"/>
      <c r="FW1070" s="2"/>
      <c r="FX1070" s="2"/>
      <c r="FY1070" s="2"/>
      <c r="FZ1070" s="2"/>
      <c r="GA1070" s="2"/>
      <c r="GB1070" s="2"/>
      <c r="GC1070" s="2"/>
      <c r="GD1070" s="2"/>
      <c r="GE1070" s="2"/>
      <c r="GF1070" s="2"/>
      <c r="GG1070" s="2"/>
      <c r="GH1070" s="2"/>
      <c r="GI1070" s="2"/>
      <c r="GJ1070" s="2"/>
      <c r="GK1070" s="2"/>
      <c r="GL1070" s="2"/>
      <c r="GM1070" s="2"/>
      <c r="GN1070" s="2"/>
      <c r="GO1070" s="2"/>
      <c r="GP1070" s="2"/>
      <c r="GQ1070" s="2"/>
      <c r="GR1070" s="2"/>
      <c r="GS1070" s="2"/>
      <c r="GT1070" s="2"/>
      <c r="GU1070" s="2"/>
      <c r="GV1070" s="2"/>
      <c r="GW1070" s="2"/>
      <c r="GX1070" s="2"/>
      <c r="GY1070" s="2"/>
      <c r="GZ1070" s="2"/>
      <c r="HA1070" s="2"/>
      <c r="HB1070" s="2"/>
      <c r="HC1070" s="2"/>
      <c r="HD1070" s="2"/>
      <c r="HE1070" s="2"/>
      <c r="HF1070" s="2"/>
      <c r="HG1070" s="2"/>
      <c r="HH1070" s="2"/>
      <c r="HI1070" s="2"/>
      <c r="HJ1070" s="2"/>
      <c r="HK1070" s="2"/>
      <c r="HL1070" s="2"/>
      <c r="HM1070" s="2"/>
      <c r="HN1070" s="2"/>
    </row>
    <row r="1071" spans="1:222" ht="15.75" customHeight="1" x14ac:dyDescent="0.2">
      <c r="A1071" s="3"/>
      <c r="B1071" s="3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  <c r="FB1071" s="2"/>
      <c r="FC1071" s="2"/>
      <c r="FD1071" s="2"/>
      <c r="FE1071" s="2"/>
      <c r="FF1071" s="2"/>
      <c r="FG1071" s="2"/>
      <c r="FH1071" s="2"/>
      <c r="FI1071" s="2"/>
      <c r="FJ1071" s="2"/>
      <c r="FK1071" s="2"/>
      <c r="FL1071" s="2"/>
      <c r="FM1071" s="2"/>
      <c r="FN1071" s="2"/>
      <c r="FO1071" s="2"/>
      <c r="FP1071" s="2"/>
      <c r="FQ1071" s="2"/>
      <c r="FR1071" s="2"/>
      <c r="FS1071" s="2"/>
      <c r="FT1071" s="2"/>
      <c r="FU1071" s="2"/>
      <c r="FV1071" s="2"/>
      <c r="FW1071" s="2"/>
      <c r="FX1071" s="2"/>
      <c r="FY1071" s="2"/>
      <c r="FZ1071" s="2"/>
      <c r="GA1071" s="2"/>
      <c r="GB1071" s="2"/>
      <c r="GC1071" s="2"/>
      <c r="GD1071" s="2"/>
      <c r="GE1071" s="2"/>
      <c r="GF1071" s="2"/>
      <c r="GG1071" s="2"/>
      <c r="GH1071" s="2"/>
      <c r="GI1071" s="2"/>
      <c r="GJ1071" s="2"/>
      <c r="GK1071" s="2"/>
      <c r="GL1071" s="2"/>
      <c r="GM1071" s="2"/>
      <c r="GN1071" s="2"/>
      <c r="GO1071" s="2"/>
      <c r="GP1071" s="2"/>
      <c r="GQ1071" s="2"/>
      <c r="GR1071" s="2"/>
      <c r="GS1071" s="2"/>
      <c r="GT1071" s="2"/>
      <c r="GU1071" s="2"/>
      <c r="GV1071" s="2"/>
      <c r="GW1071" s="2"/>
      <c r="GX1071" s="2"/>
      <c r="GY1071" s="2"/>
      <c r="GZ1071" s="2"/>
      <c r="HA1071" s="2"/>
      <c r="HB1071" s="2"/>
      <c r="HC1071" s="2"/>
      <c r="HD1071" s="2"/>
      <c r="HE1071" s="2"/>
      <c r="HF1071" s="2"/>
      <c r="HG1071" s="2"/>
      <c r="HH1071" s="2"/>
      <c r="HI1071" s="2"/>
      <c r="HJ1071" s="2"/>
      <c r="HK1071" s="2"/>
      <c r="HL1071" s="2"/>
      <c r="HM1071" s="2"/>
      <c r="HN1071" s="2"/>
    </row>
    <row r="1072" spans="1:222" ht="15.75" customHeight="1" x14ac:dyDescent="0.2">
      <c r="A1072" s="3"/>
      <c r="B1072" s="3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  <c r="FB1072" s="2"/>
      <c r="FC1072" s="2"/>
      <c r="FD1072" s="2"/>
      <c r="FE1072" s="2"/>
      <c r="FF1072" s="2"/>
      <c r="FG1072" s="2"/>
      <c r="FH1072" s="2"/>
      <c r="FI1072" s="2"/>
      <c r="FJ1072" s="2"/>
      <c r="FK1072" s="2"/>
      <c r="FL1072" s="2"/>
      <c r="FM1072" s="2"/>
      <c r="FN1072" s="2"/>
      <c r="FO1072" s="2"/>
      <c r="FP1072" s="2"/>
      <c r="FQ1072" s="2"/>
      <c r="FR1072" s="2"/>
      <c r="FS1072" s="2"/>
      <c r="FT1072" s="2"/>
      <c r="FU1072" s="2"/>
      <c r="FV1072" s="2"/>
      <c r="FW1072" s="2"/>
      <c r="FX1072" s="2"/>
      <c r="FY1072" s="2"/>
      <c r="FZ1072" s="2"/>
      <c r="GA1072" s="2"/>
      <c r="GB1072" s="2"/>
      <c r="GC1072" s="2"/>
      <c r="GD1072" s="2"/>
      <c r="GE1072" s="2"/>
      <c r="GF1072" s="2"/>
      <c r="GG1072" s="2"/>
      <c r="GH1072" s="2"/>
      <c r="GI1072" s="2"/>
      <c r="GJ1072" s="2"/>
      <c r="GK1072" s="2"/>
      <c r="GL1072" s="2"/>
      <c r="GM1072" s="2"/>
      <c r="GN1072" s="2"/>
      <c r="GO1072" s="2"/>
      <c r="GP1072" s="2"/>
      <c r="GQ1072" s="2"/>
      <c r="GR1072" s="2"/>
      <c r="GS1072" s="2"/>
      <c r="GT1072" s="2"/>
      <c r="GU1072" s="2"/>
      <c r="GV1072" s="2"/>
      <c r="GW1072" s="2"/>
      <c r="GX1072" s="2"/>
      <c r="GY1072" s="2"/>
      <c r="GZ1072" s="2"/>
      <c r="HA1072" s="2"/>
      <c r="HB1072" s="2"/>
      <c r="HC1072" s="2"/>
      <c r="HD1072" s="2"/>
      <c r="HE1072" s="2"/>
      <c r="HF1072" s="2"/>
      <c r="HG1072" s="2"/>
      <c r="HH1072" s="2"/>
      <c r="HI1072" s="2"/>
      <c r="HJ1072" s="2"/>
      <c r="HK1072" s="2"/>
      <c r="HL1072" s="2"/>
      <c r="HM1072" s="2"/>
      <c r="HN1072" s="2"/>
    </row>
    <row r="1073" spans="1:222" ht="15.75" customHeight="1" x14ac:dyDescent="0.2">
      <c r="A1073" s="3"/>
      <c r="B1073" s="3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2"/>
      <c r="EQ1073" s="2"/>
      <c r="ER1073" s="2"/>
      <c r="ES1073" s="2"/>
      <c r="ET1073" s="2"/>
      <c r="EU1073" s="2"/>
      <c r="EV1073" s="2"/>
      <c r="EW1073" s="2"/>
      <c r="EX1073" s="2"/>
      <c r="EY1073" s="2"/>
      <c r="EZ1073" s="2"/>
      <c r="FA1073" s="2"/>
      <c r="FB1073" s="2"/>
      <c r="FC1073" s="2"/>
      <c r="FD1073" s="2"/>
      <c r="FE1073" s="2"/>
      <c r="FF1073" s="2"/>
      <c r="FG1073" s="2"/>
      <c r="FH1073" s="2"/>
      <c r="FI1073" s="2"/>
      <c r="FJ1073" s="2"/>
      <c r="FK1073" s="2"/>
      <c r="FL1073" s="2"/>
      <c r="FM1073" s="2"/>
      <c r="FN1073" s="2"/>
      <c r="FO1073" s="2"/>
      <c r="FP1073" s="2"/>
      <c r="FQ1073" s="2"/>
      <c r="FR1073" s="2"/>
      <c r="FS1073" s="2"/>
      <c r="FT1073" s="2"/>
      <c r="FU1073" s="2"/>
      <c r="FV1073" s="2"/>
      <c r="FW1073" s="2"/>
      <c r="FX1073" s="2"/>
      <c r="FY1073" s="2"/>
      <c r="FZ1073" s="2"/>
      <c r="GA1073" s="2"/>
      <c r="GB1073" s="2"/>
      <c r="GC1073" s="2"/>
      <c r="GD1073" s="2"/>
      <c r="GE1073" s="2"/>
      <c r="GF1073" s="2"/>
      <c r="GG1073" s="2"/>
      <c r="GH1073" s="2"/>
      <c r="GI1073" s="2"/>
      <c r="GJ1073" s="2"/>
      <c r="GK1073" s="2"/>
      <c r="GL1073" s="2"/>
      <c r="GM1073" s="2"/>
      <c r="GN1073" s="2"/>
      <c r="GO1073" s="2"/>
      <c r="GP1073" s="2"/>
      <c r="GQ1073" s="2"/>
      <c r="GR1073" s="2"/>
      <c r="GS1073" s="2"/>
      <c r="GT1073" s="2"/>
      <c r="GU1073" s="2"/>
      <c r="GV1073" s="2"/>
      <c r="GW1073" s="2"/>
      <c r="GX1073" s="2"/>
      <c r="GY1073" s="2"/>
      <c r="GZ1073" s="2"/>
      <c r="HA1073" s="2"/>
      <c r="HB1073" s="2"/>
      <c r="HC1073" s="2"/>
      <c r="HD1073" s="2"/>
      <c r="HE1073" s="2"/>
      <c r="HF1073" s="2"/>
      <c r="HG1073" s="2"/>
      <c r="HH1073" s="2"/>
      <c r="HI1073" s="2"/>
      <c r="HJ1073" s="2"/>
      <c r="HK1073" s="2"/>
      <c r="HL1073" s="2"/>
      <c r="HM1073" s="2"/>
      <c r="HN1073" s="2"/>
    </row>
    <row r="1074" spans="1:222" ht="15.75" customHeight="1" x14ac:dyDescent="0.2">
      <c r="A1074" s="3"/>
      <c r="B1074" s="3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  <c r="EI1074" s="2"/>
      <c r="EJ1074" s="2"/>
      <c r="EK1074" s="2"/>
      <c r="EL1074" s="2"/>
      <c r="EM1074" s="2"/>
      <c r="EN1074" s="2"/>
      <c r="EO1074" s="2"/>
      <c r="EP1074" s="2"/>
      <c r="EQ1074" s="2"/>
      <c r="ER1074" s="2"/>
      <c r="ES1074" s="2"/>
      <c r="ET1074" s="2"/>
      <c r="EU1074" s="2"/>
      <c r="EV1074" s="2"/>
      <c r="EW1074" s="2"/>
      <c r="EX1074" s="2"/>
      <c r="EY1074" s="2"/>
      <c r="EZ1074" s="2"/>
      <c r="FA1074" s="2"/>
      <c r="FB1074" s="2"/>
      <c r="FC1074" s="2"/>
      <c r="FD1074" s="2"/>
      <c r="FE1074" s="2"/>
      <c r="FF1074" s="2"/>
      <c r="FG1074" s="2"/>
      <c r="FH1074" s="2"/>
      <c r="FI1074" s="2"/>
      <c r="FJ1074" s="2"/>
      <c r="FK1074" s="2"/>
      <c r="FL1074" s="2"/>
      <c r="FM1074" s="2"/>
      <c r="FN1074" s="2"/>
      <c r="FO1074" s="2"/>
      <c r="FP1074" s="2"/>
      <c r="FQ1074" s="2"/>
      <c r="FR1074" s="2"/>
      <c r="FS1074" s="2"/>
      <c r="FT1074" s="2"/>
      <c r="FU1074" s="2"/>
      <c r="FV1074" s="2"/>
      <c r="FW1074" s="2"/>
      <c r="FX1074" s="2"/>
      <c r="FY1074" s="2"/>
      <c r="FZ1074" s="2"/>
      <c r="GA1074" s="2"/>
      <c r="GB1074" s="2"/>
      <c r="GC1074" s="2"/>
      <c r="GD1074" s="2"/>
      <c r="GE1074" s="2"/>
      <c r="GF1074" s="2"/>
      <c r="GG1074" s="2"/>
      <c r="GH1074" s="2"/>
      <c r="GI1074" s="2"/>
      <c r="GJ1074" s="2"/>
      <c r="GK1074" s="2"/>
      <c r="GL1074" s="2"/>
      <c r="GM1074" s="2"/>
      <c r="GN1074" s="2"/>
      <c r="GO1074" s="2"/>
      <c r="GP1074" s="2"/>
      <c r="GQ1074" s="2"/>
      <c r="GR1074" s="2"/>
      <c r="GS1074" s="2"/>
      <c r="GT1074" s="2"/>
      <c r="GU1074" s="2"/>
      <c r="GV1074" s="2"/>
      <c r="GW1074" s="2"/>
      <c r="GX1074" s="2"/>
      <c r="GY1074" s="2"/>
      <c r="GZ1074" s="2"/>
      <c r="HA1074" s="2"/>
      <c r="HB1074" s="2"/>
      <c r="HC1074" s="2"/>
      <c r="HD1074" s="2"/>
      <c r="HE1074" s="2"/>
      <c r="HF1074" s="2"/>
      <c r="HG1074" s="2"/>
      <c r="HH1074" s="2"/>
      <c r="HI1074" s="2"/>
      <c r="HJ1074" s="2"/>
      <c r="HK1074" s="2"/>
      <c r="HL1074" s="2"/>
      <c r="HM1074" s="2"/>
      <c r="HN1074" s="2"/>
    </row>
    <row r="1075" spans="1:222" ht="15.75" customHeight="1" x14ac:dyDescent="0.2">
      <c r="A1075" s="3"/>
      <c r="B1075" s="3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  <c r="EI1075" s="2"/>
      <c r="EJ1075" s="2"/>
      <c r="EK1075" s="2"/>
      <c r="EL1075" s="2"/>
      <c r="EM1075" s="2"/>
      <c r="EN1075" s="2"/>
      <c r="EO1075" s="2"/>
      <c r="EP1075" s="2"/>
      <c r="EQ1075" s="2"/>
      <c r="ER1075" s="2"/>
      <c r="ES1075" s="2"/>
      <c r="ET1075" s="2"/>
      <c r="EU1075" s="2"/>
      <c r="EV1075" s="2"/>
      <c r="EW1075" s="2"/>
      <c r="EX1075" s="2"/>
      <c r="EY1075" s="2"/>
      <c r="EZ1075" s="2"/>
      <c r="FA1075" s="2"/>
      <c r="FB1075" s="2"/>
      <c r="FC1075" s="2"/>
      <c r="FD1075" s="2"/>
      <c r="FE1075" s="2"/>
      <c r="FF1075" s="2"/>
      <c r="FG1075" s="2"/>
      <c r="FH1075" s="2"/>
      <c r="FI1075" s="2"/>
      <c r="FJ1075" s="2"/>
      <c r="FK1075" s="2"/>
      <c r="FL1075" s="2"/>
      <c r="FM1075" s="2"/>
      <c r="FN1075" s="2"/>
      <c r="FO1075" s="2"/>
      <c r="FP1075" s="2"/>
      <c r="FQ1075" s="2"/>
      <c r="FR1075" s="2"/>
      <c r="FS1075" s="2"/>
      <c r="FT1075" s="2"/>
      <c r="FU1075" s="2"/>
      <c r="FV1075" s="2"/>
      <c r="FW1075" s="2"/>
      <c r="FX1075" s="2"/>
      <c r="FY1075" s="2"/>
      <c r="FZ1075" s="2"/>
      <c r="GA1075" s="2"/>
      <c r="GB1075" s="2"/>
      <c r="GC1075" s="2"/>
      <c r="GD1075" s="2"/>
      <c r="GE1075" s="2"/>
      <c r="GF1075" s="2"/>
      <c r="GG1075" s="2"/>
      <c r="GH1075" s="2"/>
      <c r="GI1075" s="2"/>
      <c r="GJ1075" s="2"/>
      <c r="GK1075" s="2"/>
      <c r="GL1075" s="2"/>
      <c r="GM1075" s="2"/>
      <c r="GN1075" s="2"/>
      <c r="GO1075" s="2"/>
      <c r="GP1075" s="2"/>
      <c r="GQ1075" s="2"/>
      <c r="GR1075" s="2"/>
      <c r="GS1075" s="2"/>
      <c r="GT1075" s="2"/>
      <c r="GU1075" s="2"/>
      <c r="GV1075" s="2"/>
      <c r="GW1075" s="2"/>
      <c r="GX1075" s="2"/>
      <c r="GY1075" s="2"/>
      <c r="GZ1075" s="2"/>
      <c r="HA1075" s="2"/>
      <c r="HB1075" s="2"/>
      <c r="HC1075" s="2"/>
      <c r="HD1075" s="2"/>
      <c r="HE1075" s="2"/>
      <c r="HF1075" s="2"/>
      <c r="HG1075" s="2"/>
      <c r="HH1075" s="2"/>
      <c r="HI1075" s="2"/>
      <c r="HJ1075" s="2"/>
      <c r="HK1075" s="2"/>
      <c r="HL1075" s="2"/>
      <c r="HM1075" s="2"/>
      <c r="HN1075" s="2"/>
    </row>
    <row r="1076" spans="1:222" ht="15.75" customHeight="1" x14ac:dyDescent="0.2">
      <c r="A1076" s="3"/>
      <c r="B1076" s="3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2"/>
      <c r="EQ1076" s="2"/>
      <c r="ER1076" s="2"/>
      <c r="ES1076" s="2"/>
      <c r="ET1076" s="2"/>
      <c r="EU1076" s="2"/>
      <c r="EV1076" s="2"/>
      <c r="EW1076" s="2"/>
      <c r="EX1076" s="2"/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  <c r="FQ1076" s="2"/>
      <c r="FR1076" s="2"/>
      <c r="FS1076" s="2"/>
      <c r="FT1076" s="2"/>
      <c r="FU1076" s="2"/>
      <c r="FV1076" s="2"/>
      <c r="FW1076" s="2"/>
      <c r="FX1076" s="2"/>
      <c r="FY1076" s="2"/>
      <c r="FZ1076" s="2"/>
      <c r="GA1076" s="2"/>
      <c r="GB1076" s="2"/>
      <c r="GC1076" s="2"/>
      <c r="GD1076" s="2"/>
      <c r="GE1076" s="2"/>
      <c r="GF1076" s="2"/>
      <c r="GG1076" s="2"/>
      <c r="GH1076" s="2"/>
      <c r="GI1076" s="2"/>
      <c r="GJ1076" s="2"/>
      <c r="GK1076" s="2"/>
      <c r="GL1076" s="2"/>
      <c r="GM1076" s="2"/>
      <c r="GN1076" s="2"/>
      <c r="GO1076" s="2"/>
      <c r="GP1076" s="2"/>
      <c r="GQ1076" s="2"/>
      <c r="GR1076" s="2"/>
      <c r="GS1076" s="2"/>
      <c r="GT1076" s="2"/>
      <c r="GU1076" s="2"/>
      <c r="GV1076" s="2"/>
      <c r="GW1076" s="2"/>
      <c r="GX1076" s="2"/>
      <c r="GY1076" s="2"/>
      <c r="GZ1076" s="2"/>
      <c r="HA1076" s="2"/>
      <c r="HB1076" s="2"/>
      <c r="HC1076" s="2"/>
      <c r="HD1076" s="2"/>
      <c r="HE1076" s="2"/>
      <c r="HF1076" s="2"/>
      <c r="HG1076" s="2"/>
      <c r="HH1076" s="2"/>
      <c r="HI1076" s="2"/>
      <c r="HJ1076" s="2"/>
      <c r="HK1076" s="2"/>
      <c r="HL1076" s="2"/>
      <c r="HM1076" s="2"/>
      <c r="HN1076" s="2"/>
    </row>
    <row r="1077" spans="1:222" ht="15.75" customHeight="1" x14ac:dyDescent="0.2">
      <c r="A1077" s="3"/>
      <c r="B1077" s="3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2"/>
      <c r="EQ1077" s="2"/>
      <c r="ER1077" s="2"/>
      <c r="ES1077" s="2"/>
      <c r="ET1077" s="2"/>
      <c r="EU1077" s="2"/>
      <c r="EV1077" s="2"/>
      <c r="EW1077" s="2"/>
      <c r="EX1077" s="2"/>
      <c r="EY1077" s="2"/>
      <c r="EZ1077" s="2"/>
      <c r="FA1077" s="2"/>
      <c r="FB1077" s="2"/>
      <c r="FC1077" s="2"/>
      <c r="FD1077" s="2"/>
      <c r="FE1077" s="2"/>
      <c r="FF1077" s="2"/>
      <c r="FG1077" s="2"/>
      <c r="FH1077" s="2"/>
      <c r="FI1077" s="2"/>
      <c r="FJ1077" s="2"/>
      <c r="FK1077" s="2"/>
      <c r="FL1077" s="2"/>
      <c r="FM1077" s="2"/>
      <c r="FN1077" s="2"/>
      <c r="FO1077" s="2"/>
      <c r="FP1077" s="2"/>
      <c r="FQ1077" s="2"/>
      <c r="FR1077" s="2"/>
      <c r="FS1077" s="2"/>
      <c r="FT1077" s="2"/>
      <c r="FU1077" s="2"/>
      <c r="FV1077" s="2"/>
      <c r="FW1077" s="2"/>
      <c r="FX1077" s="2"/>
      <c r="FY1077" s="2"/>
      <c r="FZ1077" s="2"/>
      <c r="GA1077" s="2"/>
      <c r="GB1077" s="2"/>
      <c r="GC1077" s="2"/>
      <c r="GD1077" s="2"/>
      <c r="GE1077" s="2"/>
      <c r="GF1077" s="2"/>
      <c r="GG1077" s="2"/>
      <c r="GH1077" s="2"/>
      <c r="GI1077" s="2"/>
      <c r="GJ1077" s="2"/>
      <c r="GK1077" s="2"/>
      <c r="GL1077" s="2"/>
      <c r="GM1077" s="2"/>
      <c r="GN1077" s="2"/>
      <c r="GO1077" s="2"/>
      <c r="GP1077" s="2"/>
      <c r="GQ1077" s="2"/>
      <c r="GR1077" s="2"/>
      <c r="GS1077" s="2"/>
      <c r="GT1077" s="2"/>
      <c r="GU1077" s="2"/>
      <c r="GV1077" s="2"/>
      <c r="GW1077" s="2"/>
      <c r="GX1077" s="2"/>
      <c r="GY1077" s="2"/>
      <c r="GZ1077" s="2"/>
      <c r="HA1077" s="2"/>
      <c r="HB1077" s="2"/>
      <c r="HC1077" s="2"/>
      <c r="HD1077" s="2"/>
      <c r="HE1077" s="2"/>
      <c r="HF1077" s="2"/>
      <c r="HG1077" s="2"/>
      <c r="HH1077" s="2"/>
      <c r="HI1077" s="2"/>
      <c r="HJ1077" s="2"/>
      <c r="HK1077" s="2"/>
      <c r="HL1077" s="2"/>
      <c r="HM1077" s="2"/>
      <c r="HN1077" s="2"/>
    </row>
    <row r="1078" spans="1:222" ht="15.75" customHeight="1" x14ac:dyDescent="0.2">
      <c r="A1078" s="3"/>
      <c r="B1078" s="3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  <c r="EI1078" s="2"/>
      <c r="EJ1078" s="2"/>
      <c r="EK1078" s="2"/>
      <c r="EL1078" s="2"/>
      <c r="EM1078" s="2"/>
      <c r="EN1078" s="2"/>
      <c r="EO1078" s="2"/>
      <c r="EP1078" s="2"/>
      <c r="EQ1078" s="2"/>
      <c r="ER1078" s="2"/>
      <c r="ES1078" s="2"/>
      <c r="ET1078" s="2"/>
      <c r="EU1078" s="2"/>
      <c r="EV1078" s="2"/>
      <c r="EW1078" s="2"/>
      <c r="EX1078" s="2"/>
      <c r="EY1078" s="2"/>
      <c r="EZ1078" s="2"/>
      <c r="FA1078" s="2"/>
      <c r="FB1078" s="2"/>
      <c r="FC1078" s="2"/>
      <c r="FD1078" s="2"/>
      <c r="FE1078" s="2"/>
      <c r="FF1078" s="2"/>
      <c r="FG1078" s="2"/>
      <c r="FH1078" s="2"/>
      <c r="FI1078" s="2"/>
      <c r="FJ1078" s="2"/>
      <c r="FK1078" s="2"/>
      <c r="FL1078" s="2"/>
      <c r="FM1078" s="2"/>
      <c r="FN1078" s="2"/>
      <c r="FO1078" s="2"/>
      <c r="FP1078" s="2"/>
      <c r="FQ1078" s="2"/>
      <c r="FR1078" s="2"/>
      <c r="FS1078" s="2"/>
      <c r="FT1078" s="2"/>
      <c r="FU1078" s="2"/>
      <c r="FV1078" s="2"/>
      <c r="FW1078" s="2"/>
      <c r="FX1078" s="2"/>
      <c r="FY1078" s="2"/>
      <c r="FZ1078" s="2"/>
      <c r="GA1078" s="2"/>
      <c r="GB1078" s="2"/>
      <c r="GC1078" s="2"/>
      <c r="GD1078" s="2"/>
      <c r="GE1078" s="2"/>
      <c r="GF1078" s="2"/>
      <c r="GG1078" s="2"/>
      <c r="GH1078" s="2"/>
      <c r="GI1078" s="2"/>
      <c r="GJ1078" s="2"/>
      <c r="GK1078" s="2"/>
      <c r="GL1078" s="2"/>
      <c r="GM1078" s="2"/>
      <c r="GN1078" s="2"/>
      <c r="GO1078" s="2"/>
      <c r="GP1078" s="2"/>
      <c r="GQ1078" s="2"/>
      <c r="GR1078" s="2"/>
      <c r="GS1078" s="2"/>
      <c r="GT1078" s="2"/>
      <c r="GU1078" s="2"/>
      <c r="GV1078" s="2"/>
      <c r="GW1078" s="2"/>
      <c r="GX1078" s="2"/>
      <c r="GY1078" s="2"/>
      <c r="GZ1078" s="2"/>
      <c r="HA1078" s="2"/>
      <c r="HB1078" s="2"/>
      <c r="HC1078" s="2"/>
      <c r="HD1078" s="2"/>
      <c r="HE1078" s="2"/>
      <c r="HF1078" s="2"/>
      <c r="HG1078" s="2"/>
      <c r="HH1078" s="2"/>
      <c r="HI1078" s="2"/>
      <c r="HJ1078" s="2"/>
      <c r="HK1078" s="2"/>
      <c r="HL1078" s="2"/>
      <c r="HM1078" s="2"/>
      <c r="HN1078" s="2"/>
    </row>
    <row r="1079" spans="1:222" ht="15.75" customHeight="1" x14ac:dyDescent="0.2">
      <c r="A1079" s="3"/>
      <c r="B1079" s="3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/>
      <c r="EL1079" s="2"/>
      <c r="EM1079" s="2"/>
      <c r="EN1079" s="2"/>
      <c r="EO1079" s="2"/>
      <c r="EP1079" s="2"/>
      <c r="EQ1079" s="2"/>
      <c r="ER1079" s="2"/>
      <c r="ES1079" s="2"/>
      <c r="ET1079" s="2"/>
      <c r="EU1079" s="2"/>
      <c r="EV1079" s="2"/>
      <c r="EW1079" s="2"/>
      <c r="EX1079" s="2"/>
      <c r="EY1079" s="2"/>
      <c r="EZ1079" s="2"/>
      <c r="FA1079" s="2"/>
      <c r="FB1079" s="2"/>
      <c r="FC1079" s="2"/>
      <c r="FD1079" s="2"/>
      <c r="FE1079" s="2"/>
      <c r="FF1079" s="2"/>
      <c r="FG1079" s="2"/>
      <c r="FH1079" s="2"/>
      <c r="FI1079" s="2"/>
      <c r="FJ1079" s="2"/>
      <c r="FK1079" s="2"/>
      <c r="FL1079" s="2"/>
      <c r="FM1079" s="2"/>
      <c r="FN1079" s="2"/>
      <c r="FO1079" s="2"/>
      <c r="FP1079" s="2"/>
      <c r="FQ1079" s="2"/>
      <c r="FR1079" s="2"/>
      <c r="FS1079" s="2"/>
      <c r="FT1079" s="2"/>
      <c r="FU1079" s="2"/>
      <c r="FV1079" s="2"/>
      <c r="FW1079" s="2"/>
      <c r="FX1079" s="2"/>
      <c r="FY1079" s="2"/>
      <c r="FZ1079" s="2"/>
      <c r="GA1079" s="2"/>
      <c r="GB1079" s="2"/>
      <c r="GC1079" s="2"/>
      <c r="GD1079" s="2"/>
      <c r="GE1079" s="2"/>
      <c r="GF1079" s="2"/>
      <c r="GG1079" s="2"/>
      <c r="GH1079" s="2"/>
      <c r="GI1079" s="2"/>
      <c r="GJ1079" s="2"/>
      <c r="GK1079" s="2"/>
      <c r="GL1079" s="2"/>
      <c r="GM1079" s="2"/>
      <c r="GN1079" s="2"/>
      <c r="GO1079" s="2"/>
      <c r="GP1079" s="2"/>
      <c r="GQ1079" s="2"/>
      <c r="GR1079" s="2"/>
      <c r="GS1079" s="2"/>
      <c r="GT1079" s="2"/>
      <c r="GU1079" s="2"/>
      <c r="GV1079" s="2"/>
      <c r="GW1079" s="2"/>
      <c r="GX1079" s="2"/>
      <c r="GY1079" s="2"/>
      <c r="GZ1079" s="2"/>
      <c r="HA1079" s="2"/>
      <c r="HB1079" s="2"/>
      <c r="HC1079" s="2"/>
      <c r="HD1079" s="2"/>
      <c r="HE1079" s="2"/>
      <c r="HF1079" s="2"/>
      <c r="HG1079" s="2"/>
      <c r="HH1079" s="2"/>
      <c r="HI1079" s="2"/>
      <c r="HJ1079" s="2"/>
      <c r="HK1079" s="2"/>
      <c r="HL1079" s="2"/>
      <c r="HM1079" s="2"/>
      <c r="HN1079" s="2"/>
    </row>
    <row r="1080" spans="1:222" ht="15.75" customHeight="1" x14ac:dyDescent="0.2">
      <c r="A1080" s="3"/>
      <c r="B1080" s="3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2"/>
      <c r="EQ1080" s="2"/>
      <c r="ER1080" s="2"/>
      <c r="ES1080" s="2"/>
      <c r="ET1080" s="2"/>
      <c r="EU1080" s="2"/>
      <c r="EV1080" s="2"/>
      <c r="EW1080" s="2"/>
      <c r="EX1080" s="2"/>
      <c r="EY1080" s="2"/>
      <c r="EZ1080" s="2"/>
      <c r="FA1080" s="2"/>
      <c r="FB1080" s="2"/>
      <c r="FC1080" s="2"/>
      <c r="FD1080" s="2"/>
      <c r="FE1080" s="2"/>
      <c r="FF1080" s="2"/>
      <c r="FG1080" s="2"/>
      <c r="FH1080" s="2"/>
      <c r="FI1080" s="2"/>
      <c r="FJ1080" s="2"/>
      <c r="FK1080" s="2"/>
      <c r="FL1080" s="2"/>
      <c r="FM1080" s="2"/>
      <c r="FN1080" s="2"/>
      <c r="FO1080" s="2"/>
      <c r="FP1080" s="2"/>
      <c r="FQ1080" s="2"/>
      <c r="FR1080" s="2"/>
      <c r="FS1080" s="2"/>
      <c r="FT1080" s="2"/>
      <c r="FU1080" s="2"/>
      <c r="FV1080" s="2"/>
      <c r="FW1080" s="2"/>
      <c r="FX1080" s="2"/>
      <c r="FY1080" s="2"/>
      <c r="FZ1080" s="2"/>
      <c r="GA1080" s="2"/>
      <c r="GB1080" s="2"/>
      <c r="GC1080" s="2"/>
      <c r="GD1080" s="2"/>
      <c r="GE1080" s="2"/>
      <c r="GF1080" s="2"/>
      <c r="GG1080" s="2"/>
      <c r="GH1080" s="2"/>
      <c r="GI1080" s="2"/>
      <c r="GJ1080" s="2"/>
      <c r="GK1080" s="2"/>
      <c r="GL1080" s="2"/>
      <c r="GM1080" s="2"/>
      <c r="GN1080" s="2"/>
      <c r="GO1080" s="2"/>
      <c r="GP1080" s="2"/>
      <c r="GQ1080" s="2"/>
      <c r="GR1080" s="2"/>
      <c r="GS1080" s="2"/>
      <c r="GT1080" s="2"/>
      <c r="GU1080" s="2"/>
      <c r="GV1080" s="2"/>
      <c r="GW1080" s="2"/>
      <c r="GX1080" s="2"/>
      <c r="GY1080" s="2"/>
      <c r="GZ1080" s="2"/>
      <c r="HA1080" s="2"/>
      <c r="HB1080" s="2"/>
      <c r="HC1080" s="2"/>
      <c r="HD1080" s="2"/>
      <c r="HE1080" s="2"/>
      <c r="HF1080" s="2"/>
      <c r="HG1080" s="2"/>
      <c r="HH1080" s="2"/>
      <c r="HI1080" s="2"/>
      <c r="HJ1080" s="2"/>
      <c r="HK1080" s="2"/>
      <c r="HL1080" s="2"/>
      <c r="HM1080" s="2"/>
      <c r="HN1080" s="2"/>
    </row>
    <row r="1081" spans="1:222" ht="15.75" customHeight="1" x14ac:dyDescent="0.2">
      <c r="A1081" s="3"/>
      <c r="B1081" s="3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/>
      <c r="EM1081" s="2"/>
      <c r="EN1081" s="2"/>
      <c r="EO1081" s="2"/>
      <c r="EP1081" s="2"/>
      <c r="EQ1081" s="2"/>
      <c r="ER1081" s="2"/>
      <c r="ES1081" s="2"/>
      <c r="ET1081" s="2"/>
      <c r="EU1081" s="2"/>
      <c r="EV1081" s="2"/>
      <c r="EW1081" s="2"/>
      <c r="EX1081" s="2"/>
      <c r="EY1081" s="2"/>
      <c r="EZ1081" s="2"/>
      <c r="FA1081" s="2"/>
      <c r="FB1081" s="2"/>
      <c r="FC1081" s="2"/>
      <c r="FD1081" s="2"/>
      <c r="FE1081" s="2"/>
      <c r="FF1081" s="2"/>
      <c r="FG1081" s="2"/>
      <c r="FH1081" s="2"/>
      <c r="FI1081" s="2"/>
      <c r="FJ1081" s="2"/>
      <c r="FK1081" s="2"/>
      <c r="FL1081" s="2"/>
      <c r="FM1081" s="2"/>
      <c r="FN1081" s="2"/>
      <c r="FO1081" s="2"/>
      <c r="FP1081" s="2"/>
      <c r="FQ1081" s="2"/>
      <c r="FR1081" s="2"/>
      <c r="FS1081" s="2"/>
      <c r="FT1081" s="2"/>
      <c r="FU1081" s="2"/>
      <c r="FV1081" s="2"/>
      <c r="FW1081" s="2"/>
      <c r="FX1081" s="2"/>
      <c r="FY1081" s="2"/>
      <c r="FZ1081" s="2"/>
      <c r="GA1081" s="2"/>
      <c r="GB1081" s="2"/>
      <c r="GC1081" s="2"/>
      <c r="GD1081" s="2"/>
      <c r="GE1081" s="2"/>
      <c r="GF1081" s="2"/>
      <c r="GG1081" s="2"/>
      <c r="GH1081" s="2"/>
      <c r="GI1081" s="2"/>
      <c r="GJ1081" s="2"/>
      <c r="GK1081" s="2"/>
      <c r="GL1081" s="2"/>
      <c r="GM1081" s="2"/>
      <c r="GN1081" s="2"/>
      <c r="GO1081" s="2"/>
      <c r="GP1081" s="2"/>
      <c r="GQ1081" s="2"/>
      <c r="GR1081" s="2"/>
      <c r="GS1081" s="2"/>
      <c r="GT1081" s="2"/>
      <c r="GU1081" s="2"/>
      <c r="GV1081" s="2"/>
      <c r="GW1081" s="2"/>
      <c r="GX1081" s="2"/>
      <c r="GY1081" s="2"/>
      <c r="GZ1081" s="2"/>
      <c r="HA1081" s="2"/>
      <c r="HB1081" s="2"/>
      <c r="HC1081" s="2"/>
      <c r="HD1081" s="2"/>
      <c r="HE1081" s="2"/>
      <c r="HF1081" s="2"/>
      <c r="HG1081" s="2"/>
      <c r="HH1081" s="2"/>
      <c r="HI1081" s="2"/>
      <c r="HJ1081" s="2"/>
      <c r="HK1081" s="2"/>
      <c r="HL1081" s="2"/>
      <c r="HM1081" s="2"/>
      <c r="HN1081" s="2"/>
    </row>
    <row r="1082" spans="1:222" ht="15.75" customHeight="1" x14ac:dyDescent="0.2">
      <c r="A1082" s="3"/>
      <c r="B1082" s="3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2"/>
      <c r="EQ1082" s="2"/>
      <c r="ER1082" s="2"/>
      <c r="ES1082" s="2"/>
      <c r="ET1082" s="2"/>
      <c r="EU1082" s="2"/>
      <c r="EV1082" s="2"/>
      <c r="EW1082" s="2"/>
      <c r="EX1082" s="2"/>
      <c r="EY1082" s="2"/>
      <c r="EZ1082" s="2"/>
      <c r="FA1082" s="2"/>
      <c r="FB1082" s="2"/>
      <c r="FC1082" s="2"/>
      <c r="FD1082" s="2"/>
      <c r="FE1082" s="2"/>
      <c r="FF1082" s="2"/>
      <c r="FG1082" s="2"/>
      <c r="FH1082" s="2"/>
      <c r="FI1082" s="2"/>
      <c r="FJ1082" s="2"/>
      <c r="FK1082" s="2"/>
      <c r="FL1082" s="2"/>
      <c r="FM1082" s="2"/>
      <c r="FN1082" s="2"/>
      <c r="FO1082" s="2"/>
      <c r="FP1082" s="2"/>
      <c r="FQ1082" s="2"/>
      <c r="FR1082" s="2"/>
      <c r="FS1082" s="2"/>
      <c r="FT1082" s="2"/>
      <c r="FU1082" s="2"/>
      <c r="FV1082" s="2"/>
      <c r="FW1082" s="2"/>
      <c r="FX1082" s="2"/>
      <c r="FY1082" s="2"/>
      <c r="FZ1082" s="2"/>
      <c r="GA1082" s="2"/>
      <c r="GB1082" s="2"/>
      <c r="GC1082" s="2"/>
      <c r="GD1082" s="2"/>
      <c r="GE1082" s="2"/>
      <c r="GF1082" s="2"/>
      <c r="GG1082" s="2"/>
      <c r="GH1082" s="2"/>
      <c r="GI1082" s="2"/>
      <c r="GJ1082" s="2"/>
      <c r="GK1082" s="2"/>
      <c r="GL1082" s="2"/>
      <c r="GM1082" s="2"/>
      <c r="GN1082" s="2"/>
      <c r="GO1082" s="2"/>
      <c r="GP1082" s="2"/>
      <c r="GQ1082" s="2"/>
      <c r="GR1082" s="2"/>
      <c r="GS1082" s="2"/>
      <c r="GT1082" s="2"/>
      <c r="GU1082" s="2"/>
      <c r="GV1082" s="2"/>
      <c r="GW1082" s="2"/>
      <c r="GX1082" s="2"/>
      <c r="GY1082" s="2"/>
      <c r="GZ1082" s="2"/>
      <c r="HA1082" s="2"/>
      <c r="HB1082" s="2"/>
      <c r="HC1082" s="2"/>
      <c r="HD1082" s="2"/>
      <c r="HE1082" s="2"/>
      <c r="HF1082" s="2"/>
      <c r="HG1082" s="2"/>
      <c r="HH1082" s="2"/>
      <c r="HI1082" s="2"/>
      <c r="HJ1082" s="2"/>
      <c r="HK1082" s="2"/>
      <c r="HL1082" s="2"/>
      <c r="HM1082" s="2"/>
      <c r="HN1082" s="2"/>
    </row>
    <row r="1083" spans="1:222" ht="15.75" customHeight="1" x14ac:dyDescent="0.2">
      <c r="A1083" s="3"/>
      <c r="B1083" s="3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/>
      <c r="EK1083" s="2"/>
      <c r="EL1083" s="2"/>
      <c r="EM1083" s="2"/>
      <c r="EN1083" s="2"/>
      <c r="EO1083" s="2"/>
      <c r="EP1083" s="2"/>
      <c r="EQ1083" s="2"/>
      <c r="ER1083" s="2"/>
      <c r="ES1083" s="2"/>
      <c r="ET1083" s="2"/>
      <c r="EU1083" s="2"/>
      <c r="EV1083" s="2"/>
      <c r="EW1083" s="2"/>
      <c r="EX1083" s="2"/>
      <c r="EY1083" s="2"/>
      <c r="EZ1083" s="2"/>
      <c r="FA1083" s="2"/>
      <c r="FB1083" s="2"/>
      <c r="FC1083" s="2"/>
      <c r="FD1083" s="2"/>
      <c r="FE1083" s="2"/>
      <c r="FF1083" s="2"/>
      <c r="FG1083" s="2"/>
      <c r="FH1083" s="2"/>
      <c r="FI1083" s="2"/>
      <c r="FJ1083" s="2"/>
      <c r="FK1083" s="2"/>
      <c r="FL1083" s="2"/>
      <c r="FM1083" s="2"/>
      <c r="FN1083" s="2"/>
      <c r="FO1083" s="2"/>
      <c r="FP1083" s="2"/>
      <c r="FQ1083" s="2"/>
      <c r="FR1083" s="2"/>
      <c r="FS1083" s="2"/>
      <c r="FT1083" s="2"/>
      <c r="FU1083" s="2"/>
      <c r="FV1083" s="2"/>
      <c r="FW1083" s="2"/>
      <c r="FX1083" s="2"/>
      <c r="FY1083" s="2"/>
      <c r="FZ1083" s="2"/>
      <c r="GA1083" s="2"/>
      <c r="GB1083" s="2"/>
      <c r="GC1083" s="2"/>
      <c r="GD1083" s="2"/>
      <c r="GE1083" s="2"/>
      <c r="GF1083" s="2"/>
      <c r="GG1083" s="2"/>
      <c r="GH1083" s="2"/>
      <c r="GI1083" s="2"/>
      <c r="GJ1083" s="2"/>
      <c r="GK1083" s="2"/>
      <c r="GL1083" s="2"/>
      <c r="GM1083" s="2"/>
      <c r="GN1083" s="2"/>
      <c r="GO1083" s="2"/>
      <c r="GP1083" s="2"/>
      <c r="GQ1083" s="2"/>
      <c r="GR1083" s="2"/>
      <c r="GS1083" s="2"/>
      <c r="GT1083" s="2"/>
      <c r="GU1083" s="2"/>
      <c r="GV1083" s="2"/>
      <c r="GW1083" s="2"/>
      <c r="GX1083" s="2"/>
      <c r="GY1083" s="2"/>
      <c r="GZ1083" s="2"/>
      <c r="HA1083" s="2"/>
      <c r="HB1083" s="2"/>
      <c r="HC1083" s="2"/>
      <c r="HD1083" s="2"/>
      <c r="HE1083" s="2"/>
      <c r="HF1083" s="2"/>
      <c r="HG1083" s="2"/>
      <c r="HH1083" s="2"/>
      <c r="HI1083" s="2"/>
      <c r="HJ1083" s="2"/>
      <c r="HK1083" s="2"/>
      <c r="HL1083" s="2"/>
      <c r="HM1083" s="2"/>
      <c r="HN1083" s="2"/>
    </row>
    <row r="1084" spans="1:222" ht="15.75" customHeight="1" x14ac:dyDescent="0.2">
      <c r="A1084" s="3"/>
      <c r="B1084" s="3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2"/>
      <c r="EQ1084" s="2"/>
      <c r="ER1084" s="2"/>
      <c r="ES1084" s="2"/>
      <c r="ET1084" s="2"/>
      <c r="EU1084" s="2"/>
      <c r="EV1084" s="2"/>
      <c r="EW1084" s="2"/>
      <c r="EX1084" s="2"/>
      <c r="EY1084" s="2"/>
      <c r="EZ1084" s="2"/>
      <c r="FA1084" s="2"/>
      <c r="FB1084" s="2"/>
      <c r="FC1084" s="2"/>
      <c r="FD1084" s="2"/>
      <c r="FE1084" s="2"/>
      <c r="FF1084" s="2"/>
      <c r="FG1084" s="2"/>
      <c r="FH1084" s="2"/>
      <c r="FI1084" s="2"/>
      <c r="FJ1084" s="2"/>
      <c r="FK1084" s="2"/>
      <c r="FL1084" s="2"/>
      <c r="FM1084" s="2"/>
      <c r="FN1084" s="2"/>
      <c r="FO1084" s="2"/>
      <c r="FP1084" s="2"/>
      <c r="FQ1084" s="2"/>
      <c r="FR1084" s="2"/>
      <c r="FS1084" s="2"/>
      <c r="FT1084" s="2"/>
      <c r="FU1084" s="2"/>
      <c r="FV1084" s="2"/>
      <c r="FW1084" s="2"/>
      <c r="FX1084" s="2"/>
      <c r="FY1084" s="2"/>
      <c r="FZ1084" s="2"/>
      <c r="GA1084" s="2"/>
      <c r="GB1084" s="2"/>
      <c r="GC1084" s="2"/>
      <c r="GD1084" s="2"/>
      <c r="GE1084" s="2"/>
      <c r="GF1084" s="2"/>
      <c r="GG1084" s="2"/>
      <c r="GH1084" s="2"/>
      <c r="GI1084" s="2"/>
      <c r="GJ1084" s="2"/>
      <c r="GK1084" s="2"/>
      <c r="GL1084" s="2"/>
      <c r="GM1084" s="2"/>
      <c r="GN1084" s="2"/>
      <c r="GO1084" s="2"/>
      <c r="GP1084" s="2"/>
      <c r="GQ1084" s="2"/>
      <c r="GR1084" s="2"/>
      <c r="GS1084" s="2"/>
      <c r="GT1084" s="2"/>
      <c r="GU1084" s="2"/>
      <c r="GV1084" s="2"/>
      <c r="GW1084" s="2"/>
      <c r="GX1084" s="2"/>
      <c r="GY1084" s="2"/>
      <c r="GZ1084" s="2"/>
      <c r="HA1084" s="2"/>
      <c r="HB1084" s="2"/>
      <c r="HC1084" s="2"/>
      <c r="HD1084" s="2"/>
      <c r="HE1084" s="2"/>
      <c r="HF1084" s="2"/>
      <c r="HG1084" s="2"/>
      <c r="HH1084" s="2"/>
      <c r="HI1084" s="2"/>
      <c r="HJ1084" s="2"/>
      <c r="HK1084" s="2"/>
      <c r="HL1084" s="2"/>
      <c r="HM1084" s="2"/>
      <c r="HN1084" s="2"/>
    </row>
    <row r="1085" spans="1:222" ht="15.75" customHeight="1" x14ac:dyDescent="0.2">
      <c r="A1085" s="3"/>
      <c r="B1085" s="3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  <c r="EI1085" s="2"/>
      <c r="EJ1085" s="2"/>
      <c r="EK1085" s="2"/>
      <c r="EL1085" s="2"/>
      <c r="EM1085" s="2"/>
      <c r="EN1085" s="2"/>
      <c r="EO1085" s="2"/>
      <c r="EP1085" s="2"/>
      <c r="EQ1085" s="2"/>
      <c r="ER1085" s="2"/>
      <c r="ES1085" s="2"/>
      <c r="ET1085" s="2"/>
      <c r="EU1085" s="2"/>
      <c r="EV1085" s="2"/>
      <c r="EW1085" s="2"/>
      <c r="EX1085" s="2"/>
      <c r="EY1085" s="2"/>
      <c r="EZ1085" s="2"/>
      <c r="FA1085" s="2"/>
      <c r="FB1085" s="2"/>
      <c r="FC1085" s="2"/>
      <c r="FD1085" s="2"/>
      <c r="FE1085" s="2"/>
      <c r="FF1085" s="2"/>
      <c r="FG1085" s="2"/>
      <c r="FH1085" s="2"/>
      <c r="FI1085" s="2"/>
      <c r="FJ1085" s="2"/>
      <c r="FK1085" s="2"/>
      <c r="FL1085" s="2"/>
      <c r="FM1085" s="2"/>
      <c r="FN1085" s="2"/>
      <c r="FO1085" s="2"/>
      <c r="FP1085" s="2"/>
      <c r="FQ1085" s="2"/>
      <c r="FR1085" s="2"/>
      <c r="FS1085" s="2"/>
      <c r="FT1085" s="2"/>
      <c r="FU1085" s="2"/>
      <c r="FV1085" s="2"/>
      <c r="FW1085" s="2"/>
      <c r="FX1085" s="2"/>
      <c r="FY1085" s="2"/>
      <c r="FZ1085" s="2"/>
      <c r="GA1085" s="2"/>
      <c r="GB1085" s="2"/>
      <c r="GC1085" s="2"/>
      <c r="GD1085" s="2"/>
      <c r="GE1085" s="2"/>
      <c r="GF1085" s="2"/>
      <c r="GG1085" s="2"/>
      <c r="GH1085" s="2"/>
      <c r="GI1085" s="2"/>
      <c r="GJ1085" s="2"/>
      <c r="GK1085" s="2"/>
      <c r="GL1085" s="2"/>
      <c r="GM1085" s="2"/>
      <c r="GN1085" s="2"/>
      <c r="GO1085" s="2"/>
      <c r="GP1085" s="2"/>
      <c r="GQ1085" s="2"/>
      <c r="GR1085" s="2"/>
      <c r="GS1085" s="2"/>
      <c r="GT1085" s="2"/>
      <c r="GU1085" s="2"/>
      <c r="GV1085" s="2"/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/>
      <c r="HH1085" s="2"/>
      <c r="HI1085" s="2"/>
      <c r="HJ1085" s="2"/>
      <c r="HK1085" s="2"/>
      <c r="HL1085" s="2"/>
      <c r="HM1085" s="2"/>
      <c r="HN1085" s="2"/>
    </row>
    <row r="1086" spans="1:222" ht="15.75" customHeight="1" x14ac:dyDescent="0.2">
      <c r="A1086" s="3"/>
      <c r="B1086" s="3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  <c r="EI1086" s="2"/>
      <c r="EJ1086" s="2"/>
      <c r="EK1086" s="2"/>
      <c r="EL1086" s="2"/>
      <c r="EM1086" s="2"/>
      <c r="EN1086" s="2"/>
      <c r="EO1086" s="2"/>
      <c r="EP1086" s="2"/>
      <c r="EQ1086" s="2"/>
      <c r="ER1086" s="2"/>
      <c r="ES1086" s="2"/>
      <c r="ET1086" s="2"/>
      <c r="EU1086" s="2"/>
      <c r="EV1086" s="2"/>
      <c r="EW1086" s="2"/>
      <c r="EX1086" s="2"/>
      <c r="EY1086" s="2"/>
      <c r="EZ1086" s="2"/>
      <c r="FA1086" s="2"/>
      <c r="FB1086" s="2"/>
      <c r="FC1086" s="2"/>
      <c r="FD1086" s="2"/>
      <c r="FE1086" s="2"/>
      <c r="FF1086" s="2"/>
      <c r="FG1086" s="2"/>
      <c r="FH1086" s="2"/>
      <c r="FI1086" s="2"/>
      <c r="FJ1086" s="2"/>
      <c r="FK1086" s="2"/>
      <c r="FL1086" s="2"/>
      <c r="FM1086" s="2"/>
      <c r="FN1086" s="2"/>
      <c r="FO1086" s="2"/>
      <c r="FP1086" s="2"/>
      <c r="FQ1086" s="2"/>
      <c r="FR1086" s="2"/>
      <c r="FS1086" s="2"/>
      <c r="FT1086" s="2"/>
      <c r="FU1086" s="2"/>
      <c r="FV1086" s="2"/>
      <c r="FW1086" s="2"/>
      <c r="FX1086" s="2"/>
      <c r="FY1086" s="2"/>
      <c r="FZ1086" s="2"/>
      <c r="GA1086" s="2"/>
      <c r="GB1086" s="2"/>
      <c r="GC1086" s="2"/>
      <c r="GD1086" s="2"/>
      <c r="GE1086" s="2"/>
      <c r="GF1086" s="2"/>
      <c r="GG1086" s="2"/>
      <c r="GH1086" s="2"/>
      <c r="GI1086" s="2"/>
      <c r="GJ1086" s="2"/>
      <c r="GK1086" s="2"/>
      <c r="GL1086" s="2"/>
      <c r="GM1086" s="2"/>
      <c r="GN1086" s="2"/>
      <c r="GO1086" s="2"/>
      <c r="GP1086" s="2"/>
      <c r="GQ1086" s="2"/>
      <c r="GR1086" s="2"/>
      <c r="GS1086" s="2"/>
      <c r="GT1086" s="2"/>
      <c r="GU1086" s="2"/>
      <c r="GV1086" s="2"/>
      <c r="GW1086" s="2"/>
      <c r="GX1086" s="2"/>
      <c r="GY1086" s="2"/>
      <c r="GZ1086" s="2"/>
      <c r="HA1086" s="2"/>
      <c r="HB1086" s="2"/>
      <c r="HC1086" s="2"/>
      <c r="HD1086" s="2"/>
      <c r="HE1086" s="2"/>
      <c r="HF1086" s="2"/>
      <c r="HG1086" s="2"/>
      <c r="HH1086" s="2"/>
      <c r="HI1086" s="2"/>
      <c r="HJ1086" s="2"/>
      <c r="HK1086" s="2"/>
      <c r="HL1086" s="2"/>
      <c r="HM1086" s="2"/>
      <c r="HN1086" s="2"/>
    </row>
    <row r="1087" spans="1:222" ht="15.75" customHeight="1" x14ac:dyDescent="0.2">
      <c r="A1087" s="3"/>
      <c r="B1087" s="3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  <c r="EI1087" s="2"/>
      <c r="EJ1087" s="2"/>
      <c r="EK1087" s="2"/>
      <c r="EL1087" s="2"/>
      <c r="EM1087" s="2"/>
      <c r="EN1087" s="2"/>
      <c r="EO1087" s="2"/>
      <c r="EP1087" s="2"/>
      <c r="EQ1087" s="2"/>
      <c r="ER1087" s="2"/>
      <c r="ES1087" s="2"/>
      <c r="ET1087" s="2"/>
      <c r="EU1087" s="2"/>
      <c r="EV1087" s="2"/>
      <c r="EW1087" s="2"/>
      <c r="EX1087" s="2"/>
      <c r="EY1087" s="2"/>
      <c r="EZ1087" s="2"/>
      <c r="FA1087" s="2"/>
      <c r="FB1087" s="2"/>
      <c r="FC1087" s="2"/>
      <c r="FD1087" s="2"/>
      <c r="FE1087" s="2"/>
      <c r="FF1087" s="2"/>
      <c r="FG1087" s="2"/>
      <c r="FH1087" s="2"/>
      <c r="FI1087" s="2"/>
      <c r="FJ1087" s="2"/>
      <c r="FK1087" s="2"/>
      <c r="FL1087" s="2"/>
      <c r="FM1087" s="2"/>
      <c r="FN1087" s="2"/>
      <c r="FO1087" s="2"/>
      <c r="FP1087" s="2"/>
      <c r="FQ1087" s="2"/>
      <c r="FR1087" s="2"/>
      <c r="FS1087" s="2"/>
      <c r="FT1087" s="2"/>
      <c r="FU1087" s="2"/>
      <c r="FV1087" s="2"/>
      <c r="FW1087" s="2"/>
      <c r="FX1087" s="2"/>
      <c r="FY1087" s="2"/>
      <c r="FZ1087" s="2"/>
      <c r="GA1087" s="2"/>
      <c r="GB1087" s="2"/>
      <c r="GC1087" s="2"/>
      <c r="GD1087" s="2"/>
      <c r="GE1087" s="2"/>
      <c r="GF1087" s="2"/>
      <c r="GG1087" s="2"/>
      <c r="GH1087" s="2"/>
      <c r="GI1087" s="2"/>
      <c r="GJ1087" s="2"/>
      <c r="GK1087" s="2"/>
      <c r="GL1087" s="2"/>
      <c r="GM1087" s="2"/>
      <c r="GN1087" s="2"/>
      <c r="GO1087" s="2"/>
      <c r="GP1087" s="2"/>
      <c r="GQ1087" s="2"/>
      <c r="GR1087" s="2"/>
      <c r="GS1087" s="2"/>
      <c r="GT1087" s="2"/>
      <c r="GU1087" s="2"/>
      <c r="GV1087" s="2"/>
      <c r="GW1087" s="2"/>
      <c r="GX1087" s="2"/>
      <c r="GY1087" s="2"/>
      <c r="GZ1087" s="2"/>
      <c r="HA1087" s="2"/>
      <c r="HB1087" s="2"/>
      <c r="HC1087" s="2"/>
      <c r="HD1087" s="2"/>
      <c r="HE1087" s="2"/>
      <c r="HF1087" s="2"/>
      <c r="HG1087" s="2"/>
      <c r="HH1087" s="2"/>
      <c r="HI1087" s="2"/>
      <c r="HJ1087" s="2"/>
      <c r="HK1087" s="2"/>
      <c r="HL1087" s="2"/>
      <c r="HM1087" s="2"/>
      <c r="HN1087" s="2"/>
    </row>
    <row r="1088" spans="1:222" ht="15.75" customHeight="1" x14ac:dyDescent="0.2">
      <c r="A1088" s="3"/>
      <c r="B1088" s="3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  <c r="EI1088" s="2"/>
      <c r="EJ1088" s="2"/>
      <c r="EK1088" s="2"/>
      <c r="EL1088" s="2"/>
      <c r="EM1088" s="2"/>
      <c r="EN1088" s="2"/>
      <c r="EO1088" s="2"/>
      <c r="EP1088" s="2"/>
      <c r="EQ1088" s="2"/>
      <c r="ER1088" s="2"/>
      <c r="ES1088" s="2"/>
      <c r="ET1088" s="2"/>
      <c r="EU1088" s="2"/>
      <c r="EV1088" s="2"/>
      <c r="EW1088" s="2"/>
      <c r="EX1088" s="2"/>
      <c r="EY1088" s="2"/>
      <c r="EZ1088" s="2"/>
      <c r="FA1088" s="2"/>
      <c r="FB1088" s="2"/>
      <c r="FC1088" s="2"/>
      <c r="FD1088" s="2"/>
      <c r="FE1088" s="2"/>
      <c r="FF1088" s="2"/>
      <c r="FG1088" s="2"/>
      <c r="FH1088" s="2"/>
      <c r="FI1088" s="2"/>
      <c r="FJ1088" s="2"/>
      <c r="FK1088" s="2"/>
      <c r="FL1088" s="2"/>
      <c r="FM1088" s="2"/>
      <c r="FN1088" s="2"/>
      <c r="FO1088" s="2"/>
      <c r="FP1088" s="2"/>
      <c r="FQ1088" s="2"/>
      <c r="FR1088" s="2"/>
      <c r="FS1088" s="2"/>
      <c r="FT1088" s="2"/>
      <c r="FU1088" s="2"/>
      <c r="FV1088" s="2"/>
      <c r="FW1088" s="2"/>
      <c r="FX1088" s="2"/>
      <c r="FY1088" s="2"/>
      <c r="FZ1088" s="2"/>
      <c r="GA1088" s="2"/>
      <c r="GB1088" s="2"/>
      <c r="GC1088" s="2"/>
      <c r="GD1088" s="2"/>
      <c r="GE1088" s="2"/>
      <c r="GF1088" s="2"/>
      <c r="GG1088" s="2"/>
      <c r="GH1088" s="2"/>
      <c r="GI1088" s="2"/>
      <c r="GJ1088" s="2"/>
      <c r="GK1088" s="2"/>
      <c r="GL1088" s="2"/>
      <c r="GM1088" s="2"/>
      <c r="GN1088" s="2"/>
      <c r="GO1088" s="2"/>
      <c r="GP1088" s="2"/>
      <c r="GQ1088" s="2"/>
      <c r="GR1088" s="2"/>
      <c r="GS1088" s="2"/>
      <c r="GT1088" s="2"/>
      <c r="GU1088" s="2"/>
      <c r="GV1088" s="2"/>
      <c r="GW1088" s="2"/>
      <c r="GX1088" s="2"/>
      <c r="GY1088" s="2"/>
      <c r="GZ1088" s="2"/>
      <c r="HA1088" s="2"/>
      <c r="HB1088" s="2"/>
      <c r="HC1088" s="2"/>
      <c r="HD1088" s="2"/>
      <c r="HE1088" s="2"/>
      <c r="HF1088" s="2"/>
      <c r="HG1088" s="2"/>
      <c r="HH1088" s="2"/>
      <c r="HI1088" s="2"/>
      <c r="HJ1088" s="2"/>
      <c r="HK1088" s="2"/>
      <c r="HL1088" s="2"/>
      <c r="HM1088" s="2"/>
      <c r="HN1088" s="2"/>
    </row>
    <row r="1089" spans="1:222" ht="15.75" customHeight="1" x14ac:dyDescent="0.2">
      <c r="A1089" s="3"/>
      <c r="B1089" s="3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  <c r="EI1089" s="2"/>
      <c r="EJ1089" s="2"/>
      <c r="EK1089" s="2"/>
      <c r="EL1089" s="2"/>
      <c r="EM1089" s="2"/>
      <c r="EN1089" s="2"/>
      <c r="EO1089" s="2"/>
      <c r="EP1089" s="2"/>
      <c r="EQ1089" s="2"/>
      <c r="ER1089" s="2"/>
      <c r="ES1089" s="2"/>
      <c r="ET1089" s="2"/>
      <c r="EU1089" s="2"/>
      <c r="EV1089" s="2"/>
      <c r="EW1089" s="2"/>
      <c r="EX1089" s="2"/>
      <c r="EY1089" s="2"/>
      <c r="EZ1089" s="2"/>
      <c r="FA1089" s="2"/>
      <c r="FB1089" s="2"/>
      <c r="FC1089" s="2"/>
      <c r="FD1089" s="2"/>
      <c r="FE1089" s="2"/>
      <c r="FF1089" s="2"/>
      <c r="FG1089" s="2"/>
      <c r="FH1089" s="2"/>
      <c r="FI1089" s="2"/>
      <c r="FJ1089" s="2"/>
      <c r="FK1089" s="2"/>
      <c r="FL1089" s="2"/>
      <c r="FM1089" s="2"/>
      <c r="FN1089" s="2"/>
      <c r="FO1089" s="2"/>
      <c r="FP1089" s="2"/>
      <c r="FQ1089" s="2"/>
      <c r="FR1089" s="2"/>
      <c r="FS1089" s="2"/>
      <c r="FT1089" s="2"/>
      <c r="FU1089" s="2"/>
      <c r="FV1089" s="2"/>
      <c r="FW1089" s="2"/>
      <c r="FX1089" s="2"/>
      <c r="FY1089" s="2"/>
      <c r="FZ1089" s="2"/>
      <c r="GA1089" s="2"/>
      <c r="GB1089" s="2"/>
      <c r="GC1089" s="2"/>
      <c r="GD1089" s="2"/>
      <c r="GE1089" s="2"/>
      <c r="GF1089" s="2"/>
      <c r="GG1089" s="2"/>
      <c r="GH1089" s="2"/>
      <c r="GI1089" s="2"/>
      <c r="GJ1089" s="2"/>
      <c r="GK1089" s="2"/>
      <c r="GL1089" s="2"/>
      <c r="GM1089" s="2"/>
      <c r="GN1089" s="2"/>
      <c r="GO1089" s="2"/>
      <c r="GP1089" s="2"/>
      <c r="GQ1089" s="2"/>
      <c r="GR1089" s="2"/>
      <c r="GS1089" s="2"/>
      <c r="GT1089" s="2"/>
      <c r="GU1089" s="2"/>
      <c r="GV1089" s="2"/>
      <c r="GW1089" s="2"/>
      <c r="GX1089" s="2"/>
      <c r="GY1089" s="2"/>
      <c r="GZ1089" s="2"/>
      <c r="HA1089" s="2"/>
      <c r="HB1089" s="2"/>
      <c r="HC1089" s="2"/>
      <c r="HD1089" s="2"/>
      <c r="HE1089" s="2"/>
      <c r="HF1089" s="2"/>
      <c r="HG1089" s="2"/>
      <c r="HH1089" s="2"/>
      <c r="HI1089" s="2"/>
      <c r="HJ1089" s="2"/>
      <c r="HK1089" s="2"/>
      <c r="HL1089" s="2"/>
      <c r="HM1089" s="2"/>
      <c r="HN1089" s="2"/>
    </row>
    <row r="1090" spans="1:222" ht="15.75" customHeight="1" x14ac:dyDescent="0.2">
      <c r="A1090" s="3"/>
      <c r="B1090" s="3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  <c r="EI1090" s="2"/>
      <c r="EJ1090" s="2"/>
      <c r="EK1090" s="2"/>
      <c r="EL1090" s="2"/>
      <c r="EM1090" s="2"/>
      <c r="EN1090" s="2"/>
      <c r="EO1090" s="2"/>
      <c r="EP1090" s="2"/>
      <c r="EQ1090" s="2"/>
      <c r="ER1090" s="2"/>
      <c r="ES1090" s="2"/>
      <c r="ET1090" s="2"/>
      <c r="EU1090" s="2"/>
      <c r="EV1090" s="2"/>
      <c r="EW1090" s="2"/>
      <c r="EX1090" s="2"/>
      <c r="EY1090" s="2"/>
      <c r="EZ1090" s="2"/>
      <c r="FA1090" s="2"/>
      <c r="FB1090" s="2"/>
      <c r="FC1090" s="2"/>
      <c r="FD1090" s="2"/>
      <c r="FE1090" s="2"/>
      <c r="FF1090" s="2"/>
      <c r="FG1090" s="2"/>
      <c r="FH1090" s="2"/>
      <c r="FI1090" s="2"/>
      <c r="FJ1090" s="2"/>
      <c r="FK1090" s="2"/>
      <c r="FL1090" s="2"/>
      <c r="FM1090" s="2"/>
      <c r="FN1090" s="2"/>
      <c r="FO1090" s="2"/>
      <c r="FP1090" s="2"/>
      <c r="FQ1090" s="2"/>
      <c r="FR1090" s="2"/>
      <c r="FS1090" s="2"/>
      <c r="FT1090" s="2"/>
      <c r="FU1090" s="2"/>
      <c r="FV1090" s="2"/>
      <c r="FW1090" s="2"/>
      <c r="FX1090" s="2"/>
      <c r="FY1090" s="2"/>
      <c r="FZ1090" s="2"/>
      <c r="GA1090" s="2"/>
      <c r="GB1090" s="2"/>
      <c r="GC1090" s="2"/>
      <c r="GD1090" s="2"/>
      <c r="GE1090" s="2"/>
      <c r="GF1090" s="2"/>
      <c r="GG1090" s="2"/>
      <c r="GH1090" s="2"/>
      <c r="GI1090" s="2"/>
      <c r="GJ1090" s="2"/>
      <c r="GK1090" s="2"/>
      <c r="GL1090" s="2"/>
      <c r="GM1090" s="2"/>
      <c r="GN1090" s="2"/>
      <c r="GO1090" s="2"/>
      <c r="GP1090" s="2"/>
      <c r="GQ1090" s="2"/>
      <c r="GR1090" s="2"/>
      <c r="GS1090" s="2"/>
      <c r="GT1090" s="2"/>
      <c r="GU1090" s="2"/>
      <c r="GV1090" s="2"/>
      <c r="GW1090" s="2"/>
      <c r="GX1090" s="2"/>
      <c r="GY1090" s="2"/>
      <c r="GZ1090" s="2"/>
      <c r="HA1090" s="2"/>
      <c r="HB1090" s="2"/>
      <c r="HC1090" s="2"/>
      <c r="HD1090" s="2"/>
      <c r="HE1090" s="2"/>
      <c r="HF1090" s="2"/>
      <c r="HG1090" s="2"/>
      <c r="HH1090" s="2"/>
      <c r="HI1090" s="2"/>
      <c r="HJ1090" s="2"/>
      <c r="HK1090" s="2"/>
      <c r="HL1090" s="2"/>
      <c r="HM1090" s="2"/>
      <c r="HN1090" s="2"/>
    </row>
    <row r="1091" spans="1:222" ht="15.75" customHeight="1" x14ac:dyDescent="0.2">
      <c r="A1091" s="3"/>
      <c r="B1091" s="3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2"/>
      <c r="EQ1091" s="2"/>
      <c r="ER1091" s="2"/>
      <c r="ES1091" s="2"/>
      <c r="ET1091" s="2"/>
      <c r="EU1091" s="2"/>
      <c r="EV1091" s="2"/>
      <c r="EW1091" s="2"/>
      <c r="EX1091" s="2"/>
      <c r="EY1091" s="2"/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/>
      <c r="FR1091" s="2"/>
      <c r="FS1091" s="2"/>
      <c r="FT1091" s="2"/>
      <c r="FU1091" s="2"/>
      <c r="FV1091" s="2"/>
      <c r="FW1091" s="2"/>
      <c r="FX1091" s="2"/>
      <c r="FY1091" s="2"/>
      <c r="FZ1091" s="2"/>
      <c r="GA1091" s="2"/>
      <c r="GB1091" s="2"/>
      <c r="GC1091" s="2"/>
      <c r="GD1091" s="2"/>
      <c r="GE1091" s="2"/>
      <c r="GF1091" s="2"/>
      <c r="GG1091" s="2"/>
      <c r="GH1091" s="2"/>
      <c r="GI1091" s="2"/>
      <c r="GJ1091" s="2"/>
      <c r="GK1091" s="2"/>
      <c r="GL1091" s="2"/>
      <c r="GM1091" s="2"/>
      <c r="GN1091" s="2"/>
      <c r="GO1091" s="2"/>
      <c r="GP1091" s="2"/>
      <c r="GQ1091" s="2"/>
      <c r="GR1091" s="2"/>
      <c r="GS1091" s="2"/>
      <c r="GT1091" s="2"/>
      <c r="GU1091" s="2"/>
      <c r="GV1091" s="2"/>
      <c r="GW1091" s="2"/>
      <c r="GX1091" s="2"/>
      <c r="GY1091" s="2"/>
      <c r="GZ1091" s="2"/>
      <c r="HA1091" s="2"/>
      <c r="HB1091" s="2"/>
      <c r="HC1091" s="2"/>
      <c r="HD1091" s="2"/>
      <c r="HE1091" s="2"/>
      <c r="HF1091" s="2"/>
      <c r="HG1091" s="2"/>
      <c r="HH1091" s="2"/>
      <c r="HI1091" s="2"/>
      <c r="HJ1091" s="2"/>
      <c r="HK1091" s="2"/>
      <c r="HL1091" s="2"/>
      <c r="HM1091" s="2"/>
      <c r="HN1091" s="2"/>
    </row>
    <row r="1092" spans="1:222" ht="15.75" customHeight="1" x14ac:dyDescent="0.2">
      <c r="A1092" s="3"/>
      <c r="B1092" s="3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/>
      <c r="FH1092" s="2"/>
      <c r="FI1092" s="2"/>
      <c r="FJ1092" s="2"/>
      <c r="FK1092" s="2"/>
      <c r="FL1092" s="2"/>
      <c r="FM1092" s="2"/>
      <c r="FN1092" s="2"/>
      <c r="FO1092" s="2"/>
      <c r="FP1092" s="2"/>
      <c r="FQ1092" s="2"/>
      <c r="FR1092" s="2"/>
      <c r="FS1092" s="2"/>
      <c r="FT1092" s="2"/>
      <c r="FU1092" s="2"/>
      <c r="FV1092" s="2"/>
      <c r="FW1092" s="2"/>
      <c r="FX1092" s="2"/>
      <c r="FY1092" s="2"/>
      <c r="FZ1092" s="2"/>
      <c r="GA1092" s="2"/>
      <c r="GB1092" s="2"/>
      <c r="GC1092" s="2"/>
      <c r="GD1092" s="2"/>
      <c r="GE1092" s="2"/>
      <c r="GF1092" s="2"/>
      <c r="GG1092" s="2"/>
      <c r="GH1092" s="2"/>
      <c r="GI1092" s="2"/>
      <c r="GJ1092" s="2"/>
      <c r="GK1092" s="2"/>
      <c r="GL1092" s="2"/>
      <c r="GM1092" s="2"/>
      <c r="GN1092" s="2"/>
      <c r="GO1092" s="2"/>
      <c r="GP1092" s="2"/>
      <c r="GQ1092" s="2"/>
      <c r="GR1092" s="2"/>
      <c r="GS1092" s="2"/>
      <c r="GT1092" s="2"/>
      <c r="GU1092" s="2"/>
      <c r="GV1092" s="2"/>
      <c r="GW1092" s="2"/>
      <c r="GX1092" s="2"/>
      <c r="GY1092" s="2"/>
      <c r="GZ1092" s="2"/>
      <c r="HA1092" s="2"/>
      <c r="HB1092" s="2"/>
      <c r="HC1092" s="2"/>
      <c r="HD1092" s="2"/>
      <c r="HE1092" s="2"/>
      <c r="HF1092" s="2"/>
      <c r="HG1092" s="2"/>
      <c r="HH1092" s="2"/>
      <c r="HI1092" s="2"/>
      <c r="HJ1092" s="2"/>
      <c r="HK1092" s="2"/>
      <c r="HL1092" s="2"/>
      <c r="HM1092" s="2"/>
      <c r="HN1092" s="2"/>
    </row>
    <row r="1093" spans="1:222" ht="15.75" customHeight="1" x14ac:dyDescent="0.2">
      <c r="A1093" s="3"/>
      <c r="B1093" s="3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  <c r="EI1093" s="2"/>
      <c r="EJ1093" s="2"/>
      <c r="EK1093" s="2"/>
      <c r="EL1093" s="2"/>
      <c r="EM1093" s="2"/>
      <c r="EN1093" s="2"/>
      <c r="EO1093" s="2"/>
      <c r="EP1093" s="2"/>
      <c r="EQ1093" s="2"/>
      <c r="ER1093" s="2"/>
      <c r="ES1093" s="2"/>
      <c r="ET1093" s="2"/>
      <c r="EU1093" s="2"/>
      <c r="EV1093" s="2"/>
      <c r="EW1093" s="2"/>
      <c r="EX1093" s="2"/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  <c r="FQ1093" s="2"/>
      <c r="FR1093" s="2"/>
      <c r="FS1093" s="2"/>
      <c r="FT1093" s="2"/>
      <c r="FU1093" s="2"/>
      <c r="FV1093" s="2"/>
      <c r="FW1093" s="2"/>
      <c r="FX1093" s="2"/>
      <c r="FY1093" s="2"/>
      <c r="FZ1093" s="2"/>
      <c r="GA1093" s="2"/>
      <c r="GB1093" s="2"/>
      <c r="GC1093" s="2"/>
      <c r="GD1093" s="2"/>
      <c r="GE1093" s="2"/>
      <c r="GF1093" s="2"/>
      <c r="GG1093" s="2"/>
      <c r="GH1093" s="2"/>
      <c r="GI1093" s="2"/>
      <c r="GJ1093" s="2"/>
      <c r="GK1093" s="2"/>
      <c r="GL1093" s="2"/>
      <c r="GM1093" s="2"/>
      <c r="GN1093" s="2"/>
      <c r="GO1093" s="2"/>
      <c r="GP1093" s="2"/>
      <c r="GQ1093" s="2"/>
      <c r="GR1093" s="2"/>
      <c r="GS1093" s="2"/>
      <c r="GT1093" s="2"/>
      <c r="GU1093" s="2"/>
      <c r="GV1093" s="2"/>
      <c r="GW1093" s="2"/>
      <c r="GX1093" s="2"/>
      <c r="GY1093" s="2"/>
      <c r="GZ1093" s="2"/>
      <c r="HA1093" s="2"/>
      <c r="HB1093" s="2"/>
      <c r="HC1093" s="2"/>
      <c r="HD1093" s="2"/>
      <c r="HE1093" s="2"/>
      <c r="HF1093" s="2"/>
      <c r="HG1093" s="2"/>
      <c r="HH1093" s="2"/>
      <c r="HI1093" s="2"/>
      <c r="HJ1093" s="2"/>
      <c r="HK1093" s="2"/>
      <c r="HL1093" s="2"/>
      <c r="HM1093" s="2"/>
      <c r="HN1093" s="2"/>
    </row>
    <row r="1094" spans="1:222" ht="15.75" customHeight="1" x14ac:dyDescent="0.2">
      <c r="A1094" s="3"/>
      <c r="B1094" s="3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  <c r="FQ1094" s="2"/>
      <c r="FR1094" s="2"/>
      <c r="FS1094" s="2"/>
      <c r="FT1094" s="2"/>
      <c r="FU1094" s="2"/>
      <c r="FV1094" s="2"/>
      <c r="FW1094" s="2"/>
      <c r="FX1094" s="2"/>
      <c r="FY1094" s="2"/>
      <c r="FZ1094" s="2"/>
      <c r="GA1094" s="2"/>
      <c r="GB1094" s="2"/>
      <c r="GC1094" s="2"/>
      <c r="GD1094" s="2"/>
      <c r="GE1094" s="2"/>
      <c r="GF1094" s="2"/>
      <c r="GG1094" s="2"/>
      <c r="GH1094" s="2"/>
      <c r="GI1094" s="2"/>
      <c r="GJ1094" s="2"/>
      <c r="GK1094" s="2"/>
      <c r="GL1094" s="2"/>
      <c r="GM1094" s="2"/>
      <c r="GN1094" s="2"/>
      <c r="GO1094" s="2"/>
      <c r="GP1094" s="2"/>
      <c r="GQ1094" s="2"/>
      <c r="GR1094" s="2"/>
      <c r="GS1094" s="2"/>
      <c r="GT1094" s="2"/>
      <c r="GU1094" s="2"/>
      <c r="GV1094" s="2"/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/>
      <c r="HN1094" s="2"/>
    </row>
    <row r="1095" spans="1:222" ht="15.75" customHeight="1" x14ac:dyDescent="0.2">
      <c r="A1095" s="3"/>
      <c r="B1095" s="3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/>
      <c r="FR1095" s="2"/>
      <c r="FS1095" s="2"/>
      <c r="FT1095" s="2"/>
      <c r="FU1095" s="2"/>
      <c r="FV1095" s="2"/>
      <c r="FW1095" s="2"/>
      <c r="FX1095" s="2"/>
      <c r="FY1095" s="2"/>
      <c r="FZ1095" s="2"/>
      <c r="GA1095" s="2"/>
      <c r="GB1095" s="2"/>
      <c r="GC1095" s="2"/>
      <c r="GD1095" s="2"/>
      <c r="GE1095" s="2"/>
      <c r="GF1095" s="2"/>
      <c r="GG1095" s="2"/>
      <c r="GH1095" s="2"/>
      <c r="GI1095" s="2"/>
      <c r="GJ1095" s="2"/>
      <c r="GK1095" s="2"/>
      <c r="GL1095" s="2"/>
      <c r="GM1095" s="2"/>
      <c r="GN1095" s="2"/>
      <c r="GO1095" s="2"/>
      <c r="GP1095" s="2"/>
      <c r="GQ1095" s="2"/>
      <c r="GR1095" s="2"/>
      <c r="GS1095" s="2"/>
      <c r="GT1095" s="2"/>
      <c r="GU1095" s="2"/>
      <c r="GV1095" s="2"/>
      <c r="GW1095" s="2"/>
      <c r="GX1095" s="2"/>
      <c r="GY1095" s="2"/>
      <c r="GZ1095" s="2"/>
      <c r="HA1095" s="2"/>
      <c r="HB1095" s="2"/>
      <c r="HC1095" s="2"/>
      <c r="HD1095" s="2"/>
      <c r="HE1095" s="2"/>
      <c r="HF1095" s="2"/>
      <c r="HG1095" s="2"/>
      <c r="HH1095" s="2"/>
      <c r="HI1095" s="2"/>
      <c r="HJ1095" s="2"/>
      <c r="HK1095" s="2"/>
      <c r="HL1095" s="2"/>
      <c r="HM1095" s="2"/>
      <c r="HN1095" s="2"/>
    </row>
    <row r="1096" spans="1:222" ht="15.75" customHeight="1" x14ac:dyDescent="0.2">
      <c r="A1096" s="3"/>
      <c r="B1096" s="3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2"/>
      <c r="FZ1096" s="2"/>
      <c r="GA1096" s="2"/>
      <c r="GB1096" s="2"/>
      <c r="GC1096" s="2"/>
      <c r="GD1096" s="2"/>
      <c r="GE1096" s="2"/>
      <c r="GF1096" s="2"/>
      <c r="GG1096" s="2"/>
      <c r="GH1096" s="2"/>
      <c r="GI1096" s="2"/>
      <c r="GJ1096" s="2"/>
      <c r="GK1096" s="2"/>
      <c r="GL1096" s="2"/>
      <c r="GM1096" s="2"/>
      <c r="GN1096" s="2"/>
      <c r="GO1096" s="2"/>
      <c r="GP1096" s="2"/>
      <c r="GQ1096" s="2"/>
      <c r="GR1096" s="2"/>
      <c r="GS1096" s="2"/>
      <c r="GT1096" s="2"/>
      <c r="GU1096" s="2"/>
      <c r="GV1096" s="2"/>
      <c r="GW1096" s="2"/>
      <c r="GX1096" s="2"/>
      <c r="GY1096" s="2"/>
      <c r="GZ1096" s="2"/>
      <c r="HA1096" s="2"/>
      <c r="HB1096" s="2"/>
      <c r="HC1096" s="2"/>
      <c r="HD1096" s="2"/>
      <c r="HE1096" s="2"/>
      <c r="HF1096" s="2"/>
      <c r="HG1096" s="2"/>
      <c r="HH1096" s="2"/>
      <c r="HI1096" s="2"/>
      <c r="HJ1096" s="2"/>
      <c r="HK1096" s="2"/>
      <c r="HL1096" s="2"/>
      <c r="HM1096" s="2"/>
      <c r="HN1096" s="2"/>
    </row>
    <row r="1097" spans="1:222" ht="15.75" customHeight="1" x14ac:dyDescent="0.2">
      <c r="A1097" s="3"/>
      <c r="B1097" s="3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2"/>
      <c r="FZ1097" s="2"/>
      <c r="GA1097" s="2"/>
      <c r="GB1097" s="2"/>
      <c r="GC1097" s="2"/>
      <c r="GD1097" s="2"/>
      <c r="GE1097" s="2"/>
      <c r="GF1097" s="2"/>
      <c r="GG1097" s="2"/>
      <c r="GH1097" s="2"/>
      <c r="GI1097" s="2"/>
      <c r="GJ1097" s="2"/>
      <c r="GK1097" s="2"/>
      <c r="GL1097" s="2"/>
      <c r="GM1097" s="2"/>
      <c r="GN1097" s="2"/>
      <c r="GO1097" s="2"/>
      <c r="GP1097" s="2"/>
      <c r="GQ1097" s="2"/>
      <c r="GR1097" s="2"/>
      <c r="GS1097" s="2"/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/>
      <c r="HN1097" s="2"/>
    </row>
    <row r="1098" spans="1:222" ht="15.75" customHeight="1" x14ac:dyDescent="0.2">
      <c r="A1098" s="3"/>
      <c r="B1098" s="3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/>
      <c r="FW1098" s="2"/>
      <c r="FX1098" s="2"/>
      <c r="FY1098" s="2"/>
      <c r="FZ1098" s="2"/>
      <c r="GA1098" s="2"/>
      <c r="GB1098" s="2"/>
      <c r="GC1098" s="2"/>
      <c r="GD1098" s="2"/>
      <c r="GE1098" s="2"/>
      <c r="GF1098" s="2"/>
      <c r="GG1098" s="2"/>
      <c r="GH1098" s="2"/>
      <c r="GI1098" s="2"/>
      <c r="GJ1098" s="2"/>
      <c r="GK1098" s="2"/>
      <c r="GL1098" s="2"/>
      <c r="GM1098" s="2"/>
      <c r="GN1098" s="2"/>
      <c r="GO1098" s="2"/>
      <c r="GP1098" s="2"/>
      <c r="GQ1098" s="2"/>
      <c r="GR1098" s="2"/>
      <c r="GS1098" s="2"/>
      <c r="GT1098" s="2"/>
      <c r="GU1098" s="2"/>
      <c r="GV1098" s="2"/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/>
      <c r="HN1098" s="2"/>
    </row>
    <row r="1099" spans="1:222" ht="15.75" customHeight="1" x14ac:dyDescent="0.2">
      <c r="A1099" s="3"/>
      <c r="B1099" s="3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/>
      <c r="GI1099" s="2"/>
      <c r="GJ1099" s="2"/>
      <c r="GK1099" s="2"/>
      <c r="GL1099" s="2"/>
      <c r="GM1099" s="2"/>
      <c r="GN1099" s="2"/>
      <c r="GO1099" s="2"/>
      <c r="GP1099" s="2"/>
      <c r="GQ1099" s="2"/>
      <c r="GR1099" s="2"/>
      <c r="GS1099" s="2"/>
      <c r="GT1099" s="2"/>
      <c r="GU1099" s="2"/>
      <c r="GV1099" s="2"/>
      <c r="GW1099" s="2"/>
      <c r="GX1099" s="2"/>
      <c r="GY1099" s="2"/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/>
      <c r="HN1099" s="2"/>
    </row>
    <row r="1100" spans="1:222" ht="15.75" customHeight="1" x14ac:dyDescent="0.2">
      <c r="A1100" s="3"/>
      <c r="B1100" s="3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  <c r="FQ1100" s="2"/>
      <c r="FR1100" s="2"/>
      <c r="FS1100" s="2"/>
      <c r="FT1100" s="2"/>
      <c r="FU1100" s="2"/>
      <c r="FV1100" s="2"/>
      <c r="FW1100" s="2"/>
      <c r="FX1100" s="2"/>
      <c r="FY1100" s="2"/>
      <c r="FZ1100" s="2"/>
      <c r="GA1100" s="2"/>
      <c r="GB1100" s="2"/>
      <c r="GC1100" s="2"/>
      <c r="GD1100" s="2"/>
      <c r="GE1100" s="2"/>
      <c r="GF1100" s="2"/>
      <c r="GG1100" s="2"/>
      <c r="GH1100" s="2"/>
      <c r="GI1100" s="2"/>
      <c r="GJ1100" s="2"/>
      <c r="GK1100" s="2"/>
      <c r="GL1100" s="2"/>
      <c r="GM1100" s="2"/>
      <c r="GN1100" s="2"/>
      <c r="GO1100" s="2"/>
      <c r="GP1100" s="2"/>
      <c r="GQ1100" s="2"/>
      <c r="GR1100" s="2"/>
      <c r="GS1100" s="2"/>
      <c r="GT1100" s="2"/>
      <c r="GU1100" s="2"/>
      <c r="GV1100" s="2"/>
      <c r="GW1100" s="2"/>
      <c r="GX1100" s="2"/>
      <c r="GY1100" s="2"/>
      <c r="GZ1100" s="2"/>
      <c r="HA1100" s="2"/>
      <c r="HB1100" s="2"/>
      <c r="HC1100" s="2"/>
      <c r="HD1100" s="2"/>
      <c r="HE1100" s="2"/>
      <c r="HF1100" s="2"/>
      <c r="HG1100" s="2"/>
      <c r="HH1100" s="2"/>
      <c r="HI1100" s="2"/>
      <c r="HJ1100" s="2"/>
      <c r="HK1100" s="2"/>
      <c r="HL1100" s="2"/>
      <c r="HM1100" s="2"/>
      <c r="HN1100" s="2"/>
    </row>
    <row r="1101" spans="1:222" ht="15.75" customHeight="1" x14ac:dyDescent="0.2">
      <c r="A1101" s="3"/>
      <c r="B1101" s="3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/>
      <c r="FR1101" s="2"/>
      <c r="FS1101" s="2"/>
      <c r="FT1101" s="2"/>
      <c r="FU1101" s="2"/>
      <c r="FV1101" s="2"/>
      <c r="FW1101" s="2"/>
      <c r="FX1101" s="2"/>
      <c r="FY1101" s="2"/>
      <c r="FZ1101" s="2"/>
      <c r="GA1101" s="2"/>
      <c r="GB1101" s="2"/>
      <c r="GC1101" s="2"/>
      <c r="GD1101" s="2"/>
      <c r="GE1101" s="2"/>
      <c r="GF1101" s="2"/>
      <c r="GG1101" s="2"/>
      <c r="GH1101" s="2"/>
      <c r="GI1101" s="2"/>
      <c r="GJ1101" s="2"/>
      <c r="GK1101" s="2"/>
      <c r="GL1101" s="2"/>
      <c r="GM1101" s="2"/>
      <c r="GN1101" s="2"/>
      <c r="GO1101" s="2"/>
      <c r="GP1101" s="2"/>
      <c r="GQ1101" s="2"/>
      <c r="GR1101" s="2"/>
      <c r="GS1101" s="2"/>
      <c r="GT1101" s="2"/>
      <c r="GU1101" s="2"/>
      <c r="GV1101" s="2"/>
      <c r="GW1101" s="2"/>
      <c r="GX1101" s="2"/>
      <c r="GY1101" s="2"/>
      <c r="GZ1101" s="2"/>
      <c r="HA1101" s="2"/>
      <c r="HB1101" s="2"/>
      <c r="HC1101" s="2"/>
      <c r="HD1101" s="2"/>
      <c r="HE1101" s="2"/>
      <c r="HF1101" s="2"/>
      <c r="HG1101" s="2"/>
      <c r="HH1101" s="2"/>
      <c r="HI1101" s="2"/>
      <c r="HJ1101" s="2"/>
      <c r="HK1101" s="2"/>
      <c r="HL1101" s="2"/>
      <c r="HM1101" s="2"/>
      <c r="HN1101" s="2"/>
    </row>
    <row r="1102" spans="1:222" ht="15.75" customHeight="1" x14ac:dyDescent="0.2">
      <c r="A1102" s="3"/>
      <c r="B1102" s="3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  <c r="FQ1102" s="2"/>
      <c r="FR1102" s="2"/>
      <c r="FS1102" s="2"/>
      <c r="FT1102" s="2"/>
      <c r="FU1102" s="2"/>
      <c r="FV1102" s="2"/>
      <c r="FW1102" s="2"/>
      <c r="FX1102" s="2"/>
      <c r="FY1102" s="2"/>
      <c r="FZ1102" s="2"/>
      <c r="GA1102" s="2"/>
      <c r="GB1102" s="2"/>
      <c r="GC1102" s="2"/>
      <c r="GD1102" s="2"/>
      <c r="GE1102" s="2"/>
      <c r="GF1102" s="2"/>
      <c r="GG1102" s="2"/>
      <c r="GH1102" s="2"/>
      <c r="GI1102" s="2"/>
      <c r="GJ1102" s="2"/>
      <c r="GK1102" s="2"/>
      <c r="GL1102" s="2"/>
      <c r="GM1102" s="2"/>
      <c r="GN1102" s="2"/>
      <c r="GO1102" s="2"/>
      <c r="GP1102" s="2"/>
      <c r="GQ1102" s="2"/>
      <c r="GR1102" s="2"/>
      <c r="GS1102" s="2"/>
      <c r="GT1102" s="2"/>
      <c r="GU1102" s="2"/>
      <c r="GV1102" s="2"/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/>
      <c r="HN1102" s="2"/>
    </row>
    <row r="1103" spans="1:222" ht="15.75" customHeight="1" x14ac:dyDescent="0.2">
      <c r="A1103" s="3"/>
      <c r="B1103" s="3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/>
      <c r="FR1103" s="2"/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  <c r="GC1103" s="2"/>
      <c r="GD1103" s="2"/>
      <c r="GE1103" s="2"/>
      <c r="GF1103" s="2"/>
      <c r="GG1103" s="2"/>
      <c r="GH1103" s="2"/>
      <c r="GI1103" s="2"/>
      <c r="GJ1103" s="2"/>
      <c r="GK1103" s="2"/>
      <c r="GL1103" s="2"/>
      <c r="GM1103" s="2"/>
      <c r="GN1103" s="2"/>
      <c r="GO1103" s="2"/>
      <c r="GP1103" s="2"/>
      <c r="GQ1103" s="2"/>
      <c r="GR1103" s="2"/>
      <c r="GS1103" s="2"/>
      <c r="GT1103" s="2"/>
      <c r="GU1103" s="2"/>
      <c r="GV1103" s="2"/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/>
      <c r="HN1103" s="2"/>
    </row>
    <row r="1104" spans="1:222" ht="15.75" customHeight="1" x14ac:dyDescent="0.2">
      <c r="A1104" s="3"/>
      <c r="B1104" s="3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/>
      <c r="HN1104" s="2"/>
    </row>
    <row r="1105" spans="1:222" ht="15.75" customHeight="1" x14ac:dyDescent="0.2">
      <c r="A1105" s="3"/>
      <c r="B1105" s="3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/>
      <c r="FR1105" s="2"/>
      <c r="FS1105" s="2"/>
      <c r="FT1105" s="2"/>
      <c r="FU1105" s="2"/>
      <c r="FV1105" s="2"/>
      <c r="FW1105" s="2"/>
      <c r="FX1105" s="2"/>
      <c r="FY1105" s="2"/>
      <c r="FZ1105" s="2"/>
      <c r="GA1105" s="2"/>
      <c r="GB1105" s="2"/>
      <c r="GC1105" s="2"/>
      <c r="GD1105" s="2"/>
      <c r="GE1105" s="2"/>
      <c r="GF1105" s="2"/>
      <c r="GG1105" s="2"/>
      <c r="GH1105" s="2"/>
      <c r="GI1105" s="2"/>
      <c r="GJ1105" s="2"/>
      <c r="GK1105" s="2"/>
      <c r="GL1105" s="2"/>
      <c r="GM1105" s="2"/>
      <c r="GN1105" s="2"/>
      <c r="GO1105" s="2"/>
      <c r="GP1105" s="2"/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/>
      <c r="HN1105" s="2"/>
    </row>
    <row r="1106" spans="1:222" ht="15.75" customHeight="1" x14ac:dyDescent="0.2">
      <c r="A1106" s="3"/>
      <c r="B1106" s="3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2"/>
      <c r="FZ1106" s="2"/>
      <c r="GA1106" s="2"/>
      <c r="GB1106" s="2"/>
      <c r="GC1106" s="2"/>
      <c r="GD1106" s="2"/>
      <c r="GE1106" s="2"/>
      <c r="GF1106" s="2"/>
      <c r="GG1106" s="2"/>
      <c r="GH1106" s="2"/>
      <c r="GI1106" s="2"/>
      <c r="GJ1106" s="2"/>
      <c r="GK1106" s="2"/>
      <c r="GL1106" s="2"/>
      <c r="GM1106" s="2"/>
      <c r="GN1106" s="2"/>
      <c r="GO1106" s="2"/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/>
      <c r="HN1106" s="2"/>
    </row>
    <row r="1107" spans="1:222" ht="15.75" customHeight="1" x14ac:dyDescent="0.2">
      <c r="A1107" s="3"/>
      <c r="B1107" s="3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/>
      <c r="FR1107" s="2"/>
      <c r="FS1107" s="2"/>
      <c r="FT1107" s="2"/>
      <c r="FU1107" s="2"/>
      <c r="FV1107" s="2"/>
      <c r="FW1107" s="2"/>
      <c r="FX1107" s="2"/>
      <c r="FY1107" s="2"/>
      <c r="FZ1107" s="2"/>
      <c r="GA1107" s="2"/>
      <c r="GB1107" s="2"/>
      <c r="GC1107" s="2"/>
      <c r="GD1107" s="2"/>
      <c r="GE1107" s="2"/>
      <c r="GF1107" s="2"/>
      <c r="GG1107" s="2"/>
      <c r="GH1107" s="2"/>
      <c r="GI1107" s="2"/>
      <c r="GJ1107" s="2"/>
      <c r="GK1107" s="2"/>
      <c r="GL1107" s="2"/>
      <c r="GM1107" s="2"/>
      <c r="GN1107" s="2"/>
      <c r="GO1107" s="2"/>
      <c r="GP1107" s="2"/>
      <c r="GQ1107" s="2"/>
      <c r="GR1107" s="2"/>
      <c r="GS1107" s="2"/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/>
      <c r="HN1107" s="2"/>
    </row>
    <row r="1108" spans="1:222" ht="15.75" customHeight="1" x14ac:dyDescent="0.2">
      <c r="A1108" s="3"/>
      <c r="B1108" s="3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  <c r="FQ1108" s="2"/>
      <c r="FR1108" s="2"/>
      <c r="FS1108" s="2"/>
      <c r="FT1108" s="2"/>
      <c r="FU1108" s="2"/>
      <c r="FV1108" s="2"/>
      <c r="FW1108" s="2"/>
      <c r="FX1108" s="2"/>
      <c r="FY1108" s="2"/>
      <c r="FZ1108" s="2"/>
      <c r="GA1108" s="2"/>
      <c r="GB1108" s="2"/>
      <c r="GC1108" s="2"/>
      <c r="GD1108" s="2"/>
      <c r="GE1108" s="2"/>
      <c r="GF1108" s="2"/>
      <c r="GG1108" s="2"/>
      <c r="GH1108" s="2"/>
      <c r="GI1108" s="2"/>
      <c r="GJ1108" s="2"/>
      <c r="GK1108" s="2"/>
      <c r="GL1108" s="2"/>
      <c r="GM1108" s="2"/>
      <c r="GN1108" s="2"/>
      <c r="GO1108" s="2"/>
      <c r="GP1108" s="2"/>
      <c r="GQ1108" s="2"/>
      <c r="GR1108" s="2"/>
      <c r="GS1108" s="2"/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/>
      <c r="HN1108" s="2"/>
    </row>
    <row r="1109" spans="1:222" ht="15.75" customHeight="1" x14ac:dyDescent="0.2">
      <c r="A1109" s="3"/>
      <c r="B1109" s="3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/>
      <c r="FR1109" s="2"/>
      <c r="FS1109" s="2"/>
      <c r="FT1109" s="2"/>
      <c r="FU1109" s="2"/>
      <c r="FV1109" s="2"/>
      <c r="FW1109" s="2"/>
      <c r="FX1109" s="2"/>
      <c r="FY1109" s="2"/>
      <c r="FZ1109" s="2"/>
      <c r="GA1109" s="2"/>
      <c r="GB1109" s="2"/>
      <c r="GC1109" s="2"/>
      <c r="GD1109" s="2"/>
      <c r="GE1109" s="2"/>
      <c r="GF1109" s="2"/>
      <c r="GG1109" s="2"/>
      <c r="GH1109" s="2"/>
      <c r="GI1109" s="2"/>
      <c r="GJ1109" s="2"/>
      <c r="GK1109" s="2"/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/>
      <c r="HH1109" s="2"/>
      <c r="HI1109" s="2"/>
      <c r="HJ1109" s="2"/>
      <c r="HK1109" s="2"/>
      <c r="HL1109" s="2"/>
      <c r="HM1109" s="2"/>
      <c r="HN1109" s="2"/>
    </row>
    <row r="1110" spans="1:222" ht="15.75" customHeight="1" x14ac:dyDescent="0.2">
      <c r="A1110" s="3"/>
      <c r="B1110" s="3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2"/>
      <c r="FZ1110" s="2"/>
      <c r="GA1110" s="2"/>
      <c r="GB1110" s="2"/>
      <c r="GC1110" s="2"/>
      <c r="GD1110" s="2"/>
      <c r="GE1110" s="2"/>
      <c r="GF1110" s="2"/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/>
      <c r="HN1110" s="2"/>
    </row>
    <row r="1111" spans="1:222" ht="15.75" customHeight="1" x14ac:dyDescent="0.2">
      <c r="A1111" s="3"/>
      <c r="B1111" s="3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/>
      <c r="HN1111" s="2"/>
    </row>
    <row r="1112" spans="1:222" ht="15.75" customHeight="1" x14ac:dyDescent="0.2">
      <c r="A1112" s="3"/>
      <c r="B1112" s="3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2"/>
      <c r="FZ1112" s="2"/>
      <c r="GA1112" s="2"/>
      <c r="GB1112" s="2"/>
      <c r="GC1112" s="2"/>
      <c r="GD1112" s="2"/>
      <c r="GE1112" s="2"/>
      <c r="GF1112" s="2"/>
      <c r="GG1112" s="2"/>
      <c r="GH1112" s="2"/>
      <c r="GI1112" s="2"/>
      <c r="GJ1112" s="2"/>
      <c r="GK1112" s="2"/>
      <c r="GL1112" s="2"/>
      <c r="GM1112" s="2"/>
      <c r="GN1112" s="2"/>
      <c r="GO1112" s="2"/>
      <c r="GP1112" s="2"/>
      <c r="GQ1112" s="2"/>
      <c r="GR1112" s="2"/>
      <c r="GS1112" s="2"/>
      <c r="GT1112" s="2"/>
      <c r="GU1112" s="2"/>
      <c r="GV1112" s="2"/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/>
      <c r="HN1112" s="2"/>
    </row>
    <row r="1113" spans="1:222" ht="15.75" customHeight="1" x14ac:dyDescent="0.2">
      <c r="A1113" s="3"/>
      <c r="B1113" s="3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</row>
    <row r="1114" spans="1:222" ht="15.75" customHeight="1" x14ac:dyDescent="0.2">
      <c r="A1114" s="3"/>
      <c r="B1114" s="3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2"/>
      <c r="FZ1114" s="2"/>
      <c r="GA1114" s="2"/>
      <c r="GB1114" s="2"/>
      <c r="GC1114" s="2"/>
      <c r="GD1114" s="2"/>
      <c r="GE1114" s="2"/>
      <c r="GF1114" s="2"/>
      <c r="GG1114" s="2"/>
      <c r="GH1114" s="2"/>
      <c r="GI1114" s="2"/>
      <c r="GJ1114" s="2"/>
      <c r="GK1114" s="2"/>
      <c r="GL1114" s="2"/>
      <c r="GM1114" s="2"/>
      <c r="GN1114" s="2"/>
      <c r="GO1114" s="2"/>
      <c r="GP1114" s="2"/>
      <c r="GQ1114" s="2"/>
      <c r="GR1114" s="2"/>
      <c r="GS1114" s="2"/>
      <c r="GT1114" s="2"/>
      <c r="GU1114" s="2"/>
      <c r="GV1114" s="2"/>
      <c r="GW1114" s="2"/>
      <c r="GX1114" s="2"/>
      <c r="GY1114" s="2"/>
      <c r="GZ1114" s="2"/>
      <c r="HA1114" s="2"/>
      <c r="HB1114" s="2"/>
      <c r="HC1114" s="2"/>
      <c r="HD1114" s="2"/>
      <c r="HE1114" s="2"/>
      <c r="HF1114" s="2"/>
      <c r="HG1114" s="2"/>
      <c r="HH1114" s="2"/>
      <c r="HI1114" s="2"/>
      <c r="HJ1114" s="2"/>
      <c r="HK1114" s="2"/>
      <c r="HL1114" s="2"/>
      <c r="HM1114" s="2"/>
      <c r="HN1114" s="2"/>
    </row>
    <row r="1115" spans="1:222" ht="15.75" customHeight="1" x14ac:dyDescent="0.2">
      <c r="A1115" s="3"/>
      <c r="B1115" s="3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/>
      <c r="HN1115" s="2"/>
    </row>
    <row r="1116" spans="1:222" ht="15.75" customHeight="1" x14ac:dyDescent="0.2">
      <c r="A1116" s="3"/>
      <c r="B1116" s="3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  <c r="GL1116" s="2"/>
      <c r="GM1116" s="2"/>
      <c r="GN1116" s="2"/>
      <c r="GO1116" s="2"/>
      <c r="GP1116" s="2"/>
      <c r="GQ1116" s="2"/>
      <c r="GR1116" s="2"/>
      <c r="GS1116" s="2"/>
      <c r="GT1116" s="2"/>
      <c r="GU1116" s="2"/>
      <c r="GV1116" s="2"/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/>
      <c r="HN1116" s="2"/>
    </row>
    <row r="1117" spans="1:222" ht="15.75" customHeight="1" x14ac:dyDescent="0.2">
      <c r="A1117" s="3"/>
      <c r="B1117" s="3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  <c r="GL1117" s="2"/>
      <c r="GM1117" s="2"/>
      <c r="GN1117" s="2"/>
      <c r="GO1117" s="2"/>
      <c r="GP1117" s="2"/>
      <c r="GQ1117" s="2"/>
      <c r="GR1117" s="2"/>
      <c r="GS1117" s="2"/>
      <c r="GT1117" s="2"/>
      <c r="GU1117" s="2"/>
      <c r="GV1117" s="2"/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/>
      <c r="HN1117" s="2"/>
    </row>
    <row r="1118" spans="1:222" ht="15.75" customHeight="1" x14ac:dyDescent="0.2">
      <c r="A1118" s="3"/>
      <c r="B1118" s="3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  <c r="GL1118" s="2"/>
      <c r="GM1118" s="2"/>
      <c r="GN1118" s="2"/>
      <c r="GO1118" s="2"/>
      <c r="GP1118" s="2"/>
      <c r="GQ1118" s="2"/>
      <c r="GR1118" s="2"/>
      <c r="GS1118" s="2"/>
      <c r="GT1118" s="2"/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/>
      <c r="HH1118" s="2"/>
      <c r="HI1118" s="2"/>
      <c r="HJ1118" s="2"/>
      <c r="HK1118" s="2"/>
      <c r="HL1118" s="2"/>
      <c r="HM1118" s="2"/>
      <c r="HN1118" s="2"/>
    </row>
    <row r="1119" spans="1:222" ht="15.75" customHeight="1" x14ac:dyDescent="0.2">
      <c r="A1119" s="3"/>
      <c r="B1119" s="3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2"/>
      <c r="FZ1119" s="2"/>
      <c r="GA1119" s="2"/>
      <c r="GB1119" s="2"/>
      <c r="GC1119" s="2"/>
      <c r="GD1119" s="2"/>
      <c r="GE1119" s="2"/>
      <c r="GF1119" s="2"/>
      <c r="GG1119" s="2"/>
      <c r="GH1119" s="2"/>
      <c r="GI1119" s="2"/>
      <c r="GJ1119" s="2"/>
      <c r="GK1119" s="2"/>
      <c r="GL1119" s="2"/>
      <c r="GM1119" s="2"/>
      <c r="GN1119" s="2"/>
      <c r="GO1119" s="2"/>
      <c r="GP1119" s="2"/>
      <c r="GQ1119" s="2"/>
      <c r="GR1119" s="2"/>
      <c r="GS1119" s="2"/>
      <c r="GT1119" s="2"/>
      <c r="GU1119" s="2"/>
      <c r="GV1119" s="2"/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/>
      <c r="HN1119" s="2"/>
    </row>
    <row r="1120" spans="1:222" ht="15.75" customHeight="1" x14ac:dyDescent="0.2">
      <c r="A1120" s="3"/>
      <c r="B1120" s="3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2"/>
      <c r="FZ1120" s="2"/>
      <c r="GA1120" s="2"/>
      <c r="GB1120" s="2"/>
      <c r="GC1120" s="2"/>
      <c r="GD1120" s="2"/>
      <c r="GE1120" s="2"/>
      <c r="GF1120" s="2"/>
      <c r="GG1120" s="2"/>
      <c r="GH1120" s="2"/>
      <c r="GI1120" s="2"/>
      <c r="GJ1120" s="2"/>
      <c r="GK1120" s="2"/>
      <c r="GL1120" s="2"/>
      <c r="GM1120" s="2"/>
      <c r="GN1120" s="2"/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/>
      <c r="HN1120" s="2"/>
    </row>
    <row r="1121" spans="1:222" ht="15.75" customHeight="1" x14ac:dyDescent="0.2">
      <c r="A1121" s="3"/>
      <c r="B1121" s="3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2"/>
      <c r="FZ1121" s="2"/>
      <c r="GA1121" s="2"/>
      <c r="GB1121" s="2"/>
      <c r="GC1121" s="2"/>
      <c r="GD1121" s="2"/>
      <c r="GE1121" s="2"/>
      <c r="GF1121" s="2"/>
      <c r="GG1121" s="2"/>
      <c r="GH1121" s="2"/>
      <c r="GI1121" s="2"/>
      <c r="GJ1121" s="2"/>
      <c r="GK1121" s="2"/>
      <c r="GL1121" s="2"/>
      <c r="GM1121" s="2"/>
      <c r="GN1121" s="2"/>
      <c r="GO1121" s="2"/>
      <c r="GP1121" s="2"/>
      <c r="GQ1121" s="2"/>
      <c r="GR1121" s="2"/>
      <c r="GS1121" s="2"/>
      <c r="GT1121" s="2"/>
      <c r="GU1121" s="2"/>
      <c r="GV1121" s="2"/>
      <c r="GW1121" s="2"/>
      <c r="GX1121" s="2"/>
      <c r="GY1121" s="2"/>
      <c r="GZ1121" s="2"/>
      <c r="HA1121" s="2"/>
      <c r="HB1121" s="2"/>
      <c r="HC1121" s="2"/>
      <c r="HD1121" s="2"/>
      <c r="HE1121" s="2"/>
      <c r="HF1121" s="2"/>
      <c r="HG1121" s="2"/>
      <c r="HH1121" s="2"/>
      <c r="HI1121" s="2"/>
      <c r="HJ1121" s="2"/>
      <c r="HK1121" s="2"/>
      <c r="HL1121" s="2"/>
      <c r="HM1121" s="2"/>
      <c r="HN1121" s="2"/>
    </row>
    <row r="1122" spans="1:222" ht="15.75" customHeight="1" x14ac:dyDescent="0.2">
      <c r="A1122" s="3"/>
      <c r="B1122" s="3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/>
      <c r="GT1122" s="2"/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/>
      <c r="HN1122" s="2"/>
    </row>
    <row r="1123" spans="1:222" ht="15.75" customHeight="1" x14ac:dyDescent="0.2">
      <c r="A1123" s="3"/>
      <c r="B1123" s="3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2"/>
      <c r="FZ1123" s="2"/>
      <c r="GA1123" s="2"/>
      <c r="GB1123" s="2"/>
      <c r="GC1123" s="2"/>
      <c r="GD1123" s="2"/>
      <c r="GE1123" s="2"/>
      <c r="GF1123" s="2"/>
      <c r="GG1123" s="2"/>
      <c r="GH1123" s="2"/>
      <c r="GI1123" s="2"/>
      <c r="GJ1123" s="2"/>
      <c r="GK1123" s="2"/>
      <c r="GL1123" s="2"/>
      <c r="GM1123" s="2"/>
      <c r="GN1123" s="2"/>
      <c r="GO1123" s="2"/>
      <c r="GP1123" s="2"/>
      <c r="GQ1123" s="2"/>
      <c r="GR1123" s="2"/>
      <c r="GS1123" s="2"/>
      <c r="GT1123" s="2"/>
      <c r="GU1123" s="2"/>
      <c r="GV1123" s="2"/>
      <c r="GW1123" s="2"/>
      <c r="GX1123" s="2"/>
      <c r="GY1123" s="2"/>
      <c r="GZ1123" s="2"/>
      <c r="HA1123" s="2"/>
      <c r="HB1123" s="2"/>
      <c r="HC1123" s="2"/>
      <c r="HD1123" s="2"/>
      <c r="HE1123" s="2"/>
      <c r="HF1123" s="2"/>
      <c r="HG1123" s="2"/>
      <c r="HH1123" s="2"/>
      <c r="HI1123" s="2"/>
      <c r="HJ1123" s="2"/>
      <c r="HK1123" s="2"/>
      <c r="HL1123" s="2"/>
      <c r="HM1123" s="2"/>
      <c r="HN1123" s="2"/>
    </row>
    <row r="1124" spans="1:222" ht="15.75" customHeight="1" x14ac:dyDescent="0.2">
      <c r="A1124" s="3"/>
      <c r="B1124" s="3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2"/>
      <c r="FZ1124" s="2"/>
      <c r="GA1124" s="2"/>
      <c r="GB1124" s="2"/>
      <c r="GC1124" s="2"/>
      <c r="GD1124" s="2"/>
      <c r="GE1124" s="2"/>
      <c r="GF1124" s="2"/>
      <c r="GG1124" s="2"/>
      <c r="GH1124" s="2"/>
      <c r="GI1124" s="2"/>
      <c r="GJ1124" s="2"/>
      <c r="GK1124" s="2"/>
      <c r="GL1124" s="2"/>
      <c r="GM1124" s="2"/>
      <c r="GN1124" s="2"/>
      <c r="GO1124" s="2"/>
      <c r="GP1124" s="2"/>
      <c r="GQ1124" s="2"/>
      <c r="GR1124" s="2"/>
      <c r="GS1124" s="2"/>
      <c r="GT1124" s="2"/>
      <c r="GU1124" s="2"/>
      <c r="GV1124" s="2"/>
      <c r="GW1124" s="2"/>
      <c r="GX1124" s="2"/>
      <c r="GY1124" s="2"/>
      <c r="GZ1124" s="2"/>
      <c r="HA1124" s="2"/>
      <c r="HB1124" s="2"/>
      <c r="HC1124" s="2"/>
      <c r="HD1124" s="2"/>
      <c r="HE1124" s="2"/>
      <c r="HF1124" s="2"/>
      <c r="HG1124" s="2"/>
      <c r="HH1124" s="2"/>
      <c r="HI1124" s="2"/>
      <c r="HJ1124" s="2"/>
      <c r="HK1124" s="2"/>
      <c r="HL1124" s="2"/>
      <c r="HM1124" s="2"/>
      <c r="HN1124" s="2"/>
    </row>
    <row r="1125" spans="1:222" ht="15.75" customHeight="1" x14ac:dyDescent="0.2">
      <c r="A1125" s="3"/>
      <c r="B1125" s="3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/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/>
      <c r="HN1125" s="2"/>
    </row>
    <row r="1126" spans="1:222" ht="15.75" customHeight="1" x14ac:dyDescent="0.2">
      <c r="A1126" s="3"/>
      <c r="B1126" s="3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/>
      <c r="FR1126" s="2"/>
      <c r="FS1126" s="2"/>
      <c r="FT1126" s="2"/>
      <c r="FU1126" s="2"/>
      <c r="FV1126" s="2"/>
      <c r="FW1126" s="2"/>
      <c r="FX1126" s="2"/>
      <c r="FY1126" s="2"/>
      <c r="FZ1126" s="2"/>
      <c r="GA1126" s="2"/>
      <c r="GB1126" s="2"/>
      <c r="GC1126" s="2"/>
      <c r="GD1126" s="2"/>
      <c r="GE1126" s="2"/>
      <c r="GF1126" s="2"/>
      <c r="GG1126" s="2"/>
      <c r="GH1126" s="2"/>
      <c r="GI1126" s="2"/>
      <c r="GJ1126" s="2"/>
      <c r="GK1126" s="2"/>
      <c r="GL1126" s="2"/>
      <c r="GM1126" s="2"/>
      <c r="GN1126" s="2"/>
      <c r="GO1126" s="2"/>
      <c r="GP1126" s="2"/>
      <c r="GQ1126" s="2"/>
      <c r="GR1126" s="2"/>
      <c r="GS1126" s="2"/>
      <c r="GT1126" s="2"/>
      <c r="GU1126" s="2"/>
      <c r="GV1126" s="2"/>
      <c r="GW1126" s="2"/>
      <c r="GX1126" s="2"/>
      <c r="GY1126" s="2"/>
      <c r="GZ1126" s="2"/>
      <c r="HA1126" s="2"/>
      <c r="HB1126" s="2"/>
      <c r="HC1126" s="2"/>
      <c r="HD1126" s="2"/>
      <c r="HE1126" s="2"/>
      <c r="HF1126" s="2"/>
      <c r="HG1126" s="2"/>
      <c r="HH1126" s="2"/>
      <c r="HI1126" s="2"/>
      <c r="HJ1126" s="2"/>
      <c r="HK1126" s="2"/>
      <c r="HL1126" s="2"/>
      <c r="HM1126" s="2"/>
      <c r="HN1126" s="2"/>
    </row>
    <row r="1127" spans="1:222" ht="15.75" customHeight="1" x14ac:dyDescent="0.2">
      <c r="A1127" s="3"/>
      <c r="B1127" s="3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2"/>
      <c r="FZ1127" s="2"/>
      <c r="GA1127" s="2"/>
      <c r="GB1127" s="2"/>
      <c r="GC1127" s="2"/>
      <c r="GD1127" s="2"/>
      <c r="GE1127" s="2"/>
      <c r="GF1127" s="2"/>
      <c r="GG1127" s="2"/>
      <c r="GH1127" s="2"/>
      <c r="GI1127" s="2"/>
      <c r="GJ1127" s="2"/>
      <c r="GK1127" s="2"/>
      <c r="GL1127" s="2"/>
      <c r="GM1127" s="2"/>
      <c r="GN1127" s="2"/>
      <c r="GO1127" s="2"/>
      <c r="GP1127" s="2"/>
      <c r="GQ1127" s="2"/>
      <c r="GR1127" s="2"/>
      <c r="GS1127" s="2"/>
      <c r="GT1127" s="2"/>
      <c r="GU1127" s="2"/>
      <c r="GV1127" s="2"/>
      <c r="GW1127" s="2"/>
      <c r="GX1127" s="2"/>
      <c r="GY1127" s="2"/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/>
      <c r="HN1127" s="2"/>
    </row>
    <row r="1128" spans="1:222" ht="15.75" customHeight="1" x14ac:dyDescent="0.2">
      <c r="A1128" s="3"/>
      <c r="B1128" s="3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2"/>
      <c r="FZ1128" s="2"/>
      <c r="GA1128" s="2"/>
      <c r="GB1128" s="2"/>
      <c r="GC1128" s="2"/>
      <c r="GD1128" s="2"/>
      <c r="GE1128" s="2"/>
      <c r="GF1128" s="2"/>
      <c r="GG1128" s="2"/>
      <c r="GH1128" s="2"/>
      <c r="GI1128" s="2"/>
      <c r="GJ1128" s="2"/>
      <c r="GK1128" s="2"/>
      <c r="GL1128" s="2"/>
      <c r="GM1128" s="2"/>
      <c r="GN1128" s="2"/>
      <c r="GO1128" s="2"/>
      <c r="GP1128" s="2"/>
      <c r="GQ1128" s="2"/>
      <c r="GR1128" s="2"/>
      <c r="GS1128" s="2"/>
      <c r="GT1128" s="2"/>
      <c r="GU1128" s="2"/>
      <c r="GV1128" s="2"/>
      <c r="GW1128" s="2"/>
      <c r="GX1128" s="2"/>
      <c r="GY1128" s="2"/>
      <c r="GZ1128" s="2"/>
      <c r="HA1128" s="2"/>
      <c r="HB1128" s="2"/>
      <c r="HC1128" s="2"/>
      <c r="HD1128" s="2"/>
      <c r="HE1128" s="2"/>
      <c r="HF1128" s="2"/>
      <c r="HG1128" s="2"/>
      <c r="HH1128" s="2"/>
      <c r="HI1128" s="2"/>
      <c r="HJ1128" s="2"/>
      <c r="HK1128" s="2"/>
      <c r="HL1128" s="2"/>
      <c r="HM1128" s="2"/>
      <c r="HN1128" s="2"/>
    </row>
    <row r="1129" spans="1:222" ht="15.75" customHeight="1" x14ac:dyDescent="0.2">
      <c r="A1129" s="3"/>
      <c r="B1129" s="3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/>
      <c r="FR1129" s="2"/>
      <c r="FS1129" s="2"/>
      <c r="FT1129" s="2"/>
      <c r="FU1129" s="2"/>
      <c r="FV1129" s="2"/>
      <c r="FW1129" s="2"/>
      <c r="FX1129" s="2"/>
      <c r="FY1129" s="2"/>
      <c r="FZ1129" s="2"/>
      <c r="GA1129" s="2"/>
      <c r="GB1129" s="2"/>
      <c r="GC1129" s="2"/>
      <c r="GD1129" s="2"/>
      <c r="GE1129" s="2"/>
      <c r="GF1129" s="2"/>
      <c r="GG1129" s="2"/>
      <c r="GH1129" s="2"/>
      <c r="GI1129" s="2"/>
      <c r="GJ1129" s="2"/>
      <c r="GK1129" s="2"/>
      <c r="GL1129" s="2"/>
      <c r="GM1129" s="2"/>
      <c r="GN1129" s="2"/>
      <c r="GO1129" s="2"/>
      <c r="GP1129" s="2"/>
      <c r="GQ1129" s="2"/>
      <c r="GR1129" s="2"/>
      <c r="GS1129" s="2"/>
      <c r="GT1129" s="2"/>
      <c r="GU1129" s="2"/>
      <c r="GV1129" s="2"/>
      <c r="GW1129" s="2"/>
      <c r="GX1129" s="2"/>
      <c r="GY1129" s="2"/>
      <c r="GZ1129" s="2"/>
      <c r="HA1129" s="2"/>
      <c r="HB1129" s="2"/>
      <c r="HC1129" s="2"/>
      <c r="HD1129" s="2"/>
      <c r="HE1129" s="2"/>
      <c r="HF1129" s="2"/>
      <c r="HG1129" s="2"/>
      <c r="HH1129" s="2"/>
      <c r="HI1129" s="2"/>
      <c r="HJ1129" s="2"/>
      <c r="HK1129" s="2"/>
      <c r="HL1129" s="2"/>
      <c r="HM1129" s="2"/>
      <c r="HN1129" s="2"/>
    </row>
    <row r="1130" spans="1:222" ht="15.75" customHeight="1" x14ac:dyDescent="0.2">
      <c r="A1130" s="3"/>
      <c r="B1130" s="3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2"/>
      <c r="FZ1130" s="2"/>
      <c r="GA1130" s="2"/>
      <c r="GB1130" s="2"/>
      <c r="GC1130" s="2"/>
      <c r="GD1130" s="2"/>
      <c r="GE1130" s="2"/>
      <c r="GF1130" s="2"/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/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/>
      <c r="HN1130" s="2"/>
    </row>
    <row r="1131" spans="1:222" ht="15.75" customHeight="1" x14ac:dyDescent="0.2">
      <c r="A1131" s="3"/>
      <c r="B1131" s="3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2"/>
      <c r="FZ1131" s="2"/>
      <c r="GA1131" s="2"/>
      <c r="GB1131" s="2"/>
      <c r="GC1131" s="2"/>
      <c r="GD1131" s="2"/>
      <c r="GE1131" s="2"/>
      <c r="GF1131" s="2"/>
      <c r="GG1131" s="2"/>
      <c r="GH1131" s="2"/>
      <c r="GI1131" s="2"/>
      <c r="GJ1131" s="2"/>
      <c r="GK1131" s="2"/>
      <c r="GL1131" s="2"/>
      <c r="GM1131" s="2"/>
      <c r="GN1131" s="2"/>
      <c r="GO1131" s="2"/>
      <c r="GP1131" s="2"/>
      <c r="GQ1131" s="2"/>
      <c r="GR1131" s="2"/>
      <c r="GS1131" s="2"/>
      <c r="GT1131" s="2"/>
      <c r="GU1131" s="2"/>
      <c r="GV1131" s="2"/>
      <c r="GW1131" s="2"/>
      <c r="GX1131" s="2"/>
      <c r="GY1131" s="2"/>
      <c r="GZ1131" s="2"/>
      <c r="HA1131" s="2"/>
      <c r="HB1131" s="2"/>
      <c r="HC1131" s="2"/>
      <c r="HD1131" s="2"/>
      <c r="HE1131" s="2"/>
      <c r="HF1131" s="2"/>
      <c r="HG1131" s="2"/>
      <c r="HH1131" s="2"/>
      <c r="HI1131" s="2"/>
      <c r="HJ1131" s="2"/>
      <c r="HK1131" s="2"/>
      <c r="HL1131" s="2"/>
      <c r="HM1131" s="2"/>
      <c r="HN1131" s="2"/>
    </row>
    <row r="1132" spans="1:222" ht="15.75" customHeight="1" x14ac:dyDescent="0.2">
      <c r="A1132" s="3"/>
      <c r="B1132" s="3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  <c r="FQ1132" s="2"/>
      <c r="FR1132" s="2"/>
      <c r="FS1132" s="2"/>
      <c r="FT1132" s="2"/>
      <c r="FU1132" s="2"/>
      <c r="FV1132" s="2"/>
      <c r="FW1132" s="2"/>
      <c r="FX1132" s="2"/>
      <c r="FY1132" s="2"/>
      <c r="FZ1132" s="2"/>
      <c r="GA1132" s="2"/>
      <c r="GB1132" s="2"/>
      <c r="GC1132" s="2"/>
      <c r="GD1132" s="2"/>
      <c r="GE1132" s="2"/>
      <c r="GF1132" s="2"/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/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/>
      <c r="HN1132" s="2"/>
    </row>
    <row r="1133" spans="1:222" ht="15.75" customHeight="1" x14ac:dyDescent="0.2">
      <c r="A1133" s="3"/>
      <c r="B1133" s="3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/>
      <c r="FR1133" s="2"/>
      <c r="FS1133" s="2"/>
      <c r="FT1133" s="2"/>
      <c r="FU1133" s="2"/>
      <c r="FV1133" s="2"/>
      <c r="FW1133" s="2"/>
      <c r="FX1133" s="2"/>
      <c r="FY1133" s="2"/>
      <c r="FZ1133" s="2"/>
      <c r="GA1133" s="2"/>
      <c r="GB1133" s="2"/>
      <c r="GC1133" s="2"/>
      <c r="GD1133" s="2"/>
      <c r="GE1133" s="2"/>
      <c r="GF1133" s="2"/>
      <c r="GG1133" s="2"/>
      <c r="GH1133" s="2"/>
      <c r="GI1133" s="2"/>
      <c r="GJ1133" s="2"/>
      <c r="GK1133" s="2"/>
      <c r="GL1133" s="2"/>
      <c r="GM1133" s="2"/>
      <c r="GN1133" s="2"/>
      <c r="GO1133" s="2"/>
      <c r="GP1133" s="2"/>
      <c r="GQ1133" s="2"/>
      <c r="GR1133" s="2"/>
      <c r="GS1133" s="2"/>
      <c r="GT1133" s="2"/>
      <c r="GU1133" s="2"/>
      <c r="GV1133" s="2"/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/>
      <c r="HN1133" s="2"/>
    </row>
    <row r="1134" spans="1:222" ht="15.75" customHeight="1" x14ac:dyDescent="0.2">
      <c r="A1134" s="3"/>
      <c r="B1134" s="3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2"/>
      <c r="FZ1134" s="2"/>
      <c r="GA1134" s="2"/>
      <c r="GB1134" s="2"/>
      <c r="GC1134" s="2"/>
      <c r="GD1134" s="2"/>
      <c r="GE1134" s="2"/>
      <c r="GF1134" s="2"/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/>
      <c r="GS1134" s="2"/>
      <c r="GT1134" s="2"/>
      <c r="GU1134" s="2"/>
      <c r="GV1134" s="2"/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  <c r="HG1134" s="2"/>
      <c r="HH1134" s="2"/>
      <c r="HI1134" s="2"/>
      <c r="HJ1134" s="2"/>
      <c r="HK1134" s="2"/>
      <c r="HL1134" s="2"/>
      <c r="HM1134" s="2"/>
      <c r="HN1134" s="2"/>
    </row>
    <row r="1135" spans="1:222" ht="15.75" customHeight="1" x14ac:dyDescent="0.2">
      <c r="A1135" s="3"/>
      <c r="B1135" s="3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/>
      <c r="EG1135" s="2"/>
      <c r="EH1135" s="2"/>
      <c r="EI1135" s="2"/>
      <c r="EJ1135" s="2"/>
      <c r="EK1135" s="2"/>
      <c r="EL1135" s="2"/>
      <c r="EM1135" s="2"/>
      <c r="EN1135" s="2"/>
      <c r="EO1135" s="2"/>
      <c r="EP1135" s="2"/>
      <c r="EQ1135" s="2"/>
      <c r="ER1135" s="2"/>
      <c r="ES1135" s="2"/>
      <c r="ET1135" s="2"/>
      <c r="EU1135" s="2"/>
      <c r="EV1135" s="2"/>
      <c r="EW1135" s="2"/>
      <c r="EX1135" s="2"/>
      <c r="EY1135" s="2"/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/>
      <c r="FR1135" s="2"/>
      <c r="FS1135" s="2"/>
      <c r="FT1135" s="2"/>
      <c r="FU1135" s="2"/>
      <c r="FV1135" s="2"/>
      <c r="FW1135" s="2"/>
      <c r="FX1135" s="2"/>
      <c r="FY1135" s="2"/>
      <c r="FZ1135" s="2"/>
      <c r="GA1135" s="2"/>
      <c r="GB1135" s="2"/>
      <c r="GC1135" s="2"/>
      <c r="GD1135" s="2"/>
      <c r="GE1135" s="2"/>
      <c r="GF1135" s="2"/>
      <c r="GG1135" s="2"/>
      <c r="GH1135" s="2"/>
      <c r="GI1135" s="2"/>
      <c r="GJ1135" s="2"/>
      <c r="GK1135" s="2"/>
      <c r="GL1135" s="2"/>
      <c r="GM1135" s="2"/>
      <c r="GN1135" s="2"/>
      <c r="GO1135" s="2"/>
      <c r="GP1135" s="2"/>
      <c r="GQ1135" s="2"/>
      <c r="GR1135" s="2"/>
      <c r="GS1135" s="2"/>
      <c r="GT1135" s="2"/>
      <c r="GU1135" s="2"/>
      <c r="GV1135" s="2"/>
      <c r="GW1135" s="2"/>
      <c r="GX1135" s="2"/>
      <c r="GY1135" s="2"/>
      <c r="GZ1135" s="2"/>
      <c r="HA1135" s="2"/>
      <c r="HB1135" s="2"/>
      <c r="HC1135" s="2"/>
      <c r="HD1135" s="2"/>
      <c r="HE1135" s="2"/>
      <c r="HF1135" s="2"/>
      <c r="HG1135" s="2"/>
      <c r="HH1135" s="2"/>
      <c r="HI1135" s="2"/>
      <c r="HJ1135" s="2"/>
      <c r="HK1135" s="2"/>
      <c r="HL1135" s="2"/>
      <c r="HM1135" s="2"/>
      <c r="HN1135" s="2"/>
    </row>
    <row r="1136" spans="1:222" ht="15.75" customHeight="1" x14ac:dyDescent="0.2">
      <c r="A1136" s="3"/>
      <c r="B1136" s="3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  <c r="GC1136" s="2"/>
      <c r="GD1136" s="2"/>
      <c r="GE1136" s="2"/>
      <c r="GF1136" s="2"/>
      <c r="GG1136" s="2"/>
      <c r="GH1136" s="2"/>
      <c r="GI1136" s="2"/>
      <c r="GJ1136" s="2"/>
      <c r="GK1136" s="2"/>
      <c r="GL1136" s="2"/>
      <c r="GM1136" s="2"/>
      <c r="GN1136" s="2"/>
      <c r="GO1136" s="2"/>
      <c r="GP1136" s="2"/>
      <c r="GQ1136" s="2"/>
      <c r="GR1136" s="2"/>
      <c r="GS1136" s="2"/>
      <c r="GT1136" s="2"/>
      <c r="GU1136" s="2"/>
      <c r="GV1136" s="2"/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/>
      <c r="HN1136" s="2"/>
    </row>
    <row r="1137" spans="1:222" ht="15.75" customHeight="1" x14ac:dyDescent="0.2">
      <c r="A1137" s="3"/>
      <c r="B1137" s="3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/>
      <c r="EG1137" s="2"/>
      <c r="EH1137" s="2"/>
      <c r="EI1137" s="2"/>
      <c r="EJ1137" s="2"/>
      <c r="EK1137" s="2"/>
      <c r="EL1137" s="2"/>
      <c r="EM1137" s="2"/>
      <c r="EN1137" s="2"/>
      <c r="EO1137" s="2"/>
      <c r="EP1137" s="2"/>
      <c r="EQ1137" s="2"/>
      <c r="ER1137" s="2"/>
      <c r="ES1137" s="2"/>
      <c r="ET1137" s="2"/>
      <c r="EU1137" s="2"/>
      <c r="EV1137" s="2"/>
      <c r="EW1137" s="2"/>
      <c r="EX1137" s="2"/>
      <c r="EY1137" s="2"/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/>
      <c r="FR1137" s="2"/>
      <c r="FS1137" s="2"/>
      <c r="FT1137" s="2"/>
      <c r="FU1137" s="2"/>
      <c r="FV1137" s="2"/>
      <c r="FW1137" s="2"/>
      <c r="FX1137" s="2"/>
      <c r="FY1137" s="2"/>
      <c r="FZ1137" s="2"/>
      <c r="GA1137" s="2"/>
      <c r="GB1137" s="2"/>
      <c r="GC1137" s="2"/>
      <c r="GD1137" s="2"/>
      <c r="GE1137" s="2"/>
      <c r="GF1137" s="2"/>
      <c r="GG1137" s="2"/>
      <c r="GH1137" s="2"/>
      <c r="GI1137" s="2"/>
      <c r="GJ1137" s="2"/>
      <c r="GK1137" s="2"/>
      <c r="GL1137" s="2"/>
      <c r="GM1137" s="2"/>
      <c r="GN1137" s="2"/>
      <c r="GO1137" s="2"/>
      <c r="GP1137" s="2"/>
      <c r="GQ1137" s="2"/>
      <c r="GR1137" s="2"/>
      <c r="GS1137" s="2"/>
      <c r="GT1137" s="2"/>
      <c r="GU1137" s="2"/>
      <c r="GV1137" s="2"/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/>
      <c r="HN1137" s="2"/>
    </row>
    <row r="1138" spans="1:222" ht="15.75" customHeight="1" x14ac:dyDescent="0.2">
      <c r="A1138" s="3"/>
      <c r="B1138" s="3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  <c r="EI1138" s="2"/>
      <c r="EJ1138" s="2"/>
      <c r="EK1138" s="2"/>
      <c r="EL1138" s="2"/>
      <c r="EM1138" s="2"/>
      <c r="EN1138" s="2"/>
      <c r="EO1138" s="2"/>
      <c r="EP1138" s="2"/>
      <c r="EQ1138" s="2"/>
      <c r="ER1138" s="2"/>
      <c r="ES1138" s="2"/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/>
      <c r="FE1138" s="2"/>
      <c r="FF1138" s="2"/>
      <c r="FG1138" s="2"/>
      <c r="FH1138" s="2"/>
      <c r="FI1138" s="2"/>
      <c r="FJ1138" s="2"/>
      <c r="FK1138" s="2"/>
      <c r="FL1138" s="2"/>
      <c r="FM1138" s="2"/>
      <c r="FN1138" s="2"/>
      <c r="FO1138" s="2"/>
      <c r="FP1138" s="2"/>
      <c r="FQ1138" s="2"/>
      <c r="FR1138" s="2"/>
      <c r="FS1138" s="2"/>
      <c r="FT1138" s="2"/>
      <c r="FU1138" s="2"/>
      <c r="FV1138" s="2"/>
      <c r="FW1138" s="2"/>
      <c r="FX1138" s="2"/>
      <c r="FY1138" s="2"/>
      <c r="FZ1138" s="2"/>
      <c r="GA1138" s="2"/>
      <c r="GB1138" s="2"/>
      <c r="GC1138" s="2"/>
      <c r="GD1138" s="2"/>
      <c r="GE1138" s="2"/>
      <c r="GF1138" s="2"/>
      <c r="GG1138" s="2"/>
      <c r="GH1138" s="2"/>
      <c r="GI1138" s="2"/>
      <c r="GJ1138" s="2"/>
      <c r="GK1138" s="2"/>
      <c r="GL1138" s="2"/>
      <c r="GM1138" s="2"/>
      <c r="GN1138" s="2"/>
      <c r="GO1138" s="2"/>
      <c r="GP1138" s="2"/>
      <c r="GQ1138" s="2"/>
      <c r="GR1138" s="2"/>
      <c r="GS1138" s="2"/>
      <c r="GT1138" s="2"/>
      <c r="GU1138" s="2"/>
      <c r="GV1138" s="2"/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/>
      <c r="HN1138" s="2"/>
    </row>
    <row r="1139" spans="1:222" ht="15.75" customHeight="1" x14ac:dyDescent="0.2">
      <c r="A1139" s="3"/>
      <c r="B1139" s="3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/>
      <c r="FW1139" s="2"/>
      <c r="FX1139" s="2"/>
      <c r="FY1139" s="2"/>
      <c r="FZ1139" s="2"/>
      <c r="GA1139" s="2"/>
      <c r="GB1139" s="2"/>
      <c r="GC1139" s="2"/>
      <c r="GD1139" s="2"/>
      <c r="GE1139" s="2"/>
      <c r="GF1139" s="2"/>
      <c r="GG1139" s="2"/>
      <c r="GH1139" s="2"/>
      <c r="GI1139" s="2"/>
      <c r="GJ1139" s="2"/>
      <c r="GK1139" s="2"/>
      <c r="GL1139" s="2"/>
      <c r="GM1139" s="2"/>
      <c r="GN1139" s="2"/>
      <c r="GO1139" s="2"/>
      <c r="GP1139" s="2"/>
      <c r="GQ1139" s="2"/>
      <c r="GR1139" s="2"/>
      <c r="GS1139" s="2"/>
      <c r="GT1139" s="2"/>
      <c r="GU1139" s="2"/>
      <c r="GV1139" s="2"/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/>
      <c r="HN1139" s="2"/>
    </row>
    <row r="1140" spans="1:222" ht="15.75" customHeight="1" x14ac:dyDescent="0.2">
      <c r="A1140" s="3"/>
      <c r="B1140" s="3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  <c r="FQ1140" s="2"/>
      <c r="FR1140" s="2"/>
      <c r="FS1140" s="2"/>
      <c r="FT1140" s="2"/>
      <c r="FU1140" s="2"/>
      <c r="FV1140" s="2"/>
      <c r="FW1140" s="2"/>
      <c r="FX1140" s="2"/>
      <c r="FY1140" s="2"/>
      <c r="FZ1140" s="2"/>
      <c r="GA1140" s="2"/>
      <c r="GB1140" s="2"/>
      <c r="GC1140" s="2"/>
      <c r="GD1140" s="2"/>
      <c r="GE1140" s="2"/>
      <c r="GF1140" s="2"/>
      <c r="GG1140" s="2"/>
      <c r="GH1140" s="2"/>
      <c r="GI1140" s="2"/>
      <c r="GJ1140" s="2"/>
      <c r="GK1140" s="2"/>
      <c r="GL1140" s="2"/>
      <c r="GM1140" s="2"/>
      <c r="GN1140" s="2"/>
      <c r="GO1140" s="2"/>
      <c r="GP1140" s="2"/>
      <c r="GQ1140" s="2"/>
      <c r="GR1140" s="2"/>
      <c r="GS1140" s="2"/>
      <c r="GT1140" s="2"/>
      <c r="GU1140" s="2"/>
      <c r="GV1140" s="2"/>
      <c r="GW1140" s="2"/>
      <c r="GX1140" s="2"/>
      <c r="GY1140" s="2"/>
      <c r="GZ1140" s="2"/>
      <c r="HA1140" s="2"/>
      <c r="HB1140" s="2"/>
      <c r="HC1140" s="2"/>
      <c r="HD1140" s="2"/>
      <c r="HE1140" s="2"/>
      <c r="HF1140" s="2"/>
      <c r="HG1140" s="2"/>
      <c r="HH1140" s="2"/>
      <c r="HI1140" s="2"/>
      <c r="HJ1140" s="2"/>
      <c r="HK1140" s="2"/>
      <c r="HL1140" s="2"/>
      <c r="HM1140" s="2"/>
      <c r="HN1140" s="2"/>
    </row>
    <row r="1141" spans="1:222" ht="15.75" customHeight="1" x14ac:dyDescent="0.2">
      <c r="A1141" s="3"/>
      <c r="B1141" s="3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  <c r="EI1141" s="2"/>
      <c r="EJ1141" s="2"/>
      <c r="EK1141" s="2"/>
      <c r="EL1141" s="2"/>
      <c r="EM1141" s="2"/>
      <c r="EN1141" s="2"/>
      <c r="EO1141" s="2"/>
      <c r="EP1141" s="2"/>
      <c r="EQ1141" s="2"/>
      <c r="ER1141" s="2"/>
      <c r="ES1141" s="2"/>
      <c r="ET1141" s="2"/>
      <c r="EU1141" s="2"/>
      <c r="EV1141" s="2"/>
      <c r="EW1141" s="2"/>
      <c r="EX1141" s="2"/>
      <c r="EY1141" s="2"/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/>
      <c r="FR1141" s="2"/>
      <c r="FS1141" s="2"/>
      <c r="FT1141" s="2"/>
      <c r="FU1141" s="2"/>
      <c r="FV1141" s="2"/>
      <c r="FW1141" s="2"/>
      <c r="FX1141" s="2"/>
      <c r="FY1141" s="2"/>
      <c r="FZ1141" s="2"/>
      <c r="GA1141" s="2"/>
      <c r="GB1141" s="2"/>
      <c r="GC1141" s="2"/>
      <c r="GD1141" s="2"/>
      <c r="GE1141" s="2"/>
      <c r="GF1141" s="2"/>
      <c r="GG1141" s="2"/>
      <c r="GH1141" s="2"/>
      <c r="GI1141" s="2"/>
      <c r="GJ1141" s="2"/>
      <c r="GK1141" s="2"/>
      <c r="GL1141" s="2"/>
      <c r="GM1141" s="2"/>
      <c r="GN1141" s="2"/>
      <c r="GO1141" s="2"/>
      <c r="GP1141" s="2"/>
      <c r="GQ1141" s="2"/>
      <c r="GR1141" s="2"/>
      <c r="GS1141" s="2"/>
      <c r="GT1141" s="2"/>
      <c r="GU1141" s="2"/>
      <c r="GV1141" s="2"/>
      <c r="GW1141" s="2"/>
      <c r="GX1141" s="2"/>
      <c r="GY1141" s="2"/>
      <c r="GZ1141" s="2"/>
      <c r="HA1141" s="2"/>
      <c r="HB1141" s="2"/>
      <c r="HC1141" s="2"/>
      <c r="HD1141" s="2"/>
      <c r="HE1141" s="2"/>
      <c r="HF1141" s="2"/>
      <c r="HG1141" s="2"/>
      <c r="HH1141" s="2"/>
      <c r="HI1141" s="2"/>
      <c r="HJ1141" s="2"/>
      <c r="HK1141" s="2"/>
      <c r="HL1141" s="2"/>
      <c r="HM1141" s="2"/>
      <c r="HN1141" s="2"/>
    </row>
    <row r="1142" spans="1:222" ht="15.75" customHeight="1" x14ac:dyDescent="0.2">
      <c r="A1142" s="3"/>
      <c r="B1142" s="3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  <c r="EI1142" s="2"/>
      <c r="EJ1142" s="2"/>
      <c r="EK1142" s="2"/>
      <c r="EL1142" s="2"/>
      <c r="EM1142" s="2"/>
      <c r="EN1142" s="2"/>
      <c r="EO1142" s="2"/>
      <c r="EP1142" s="2"/>
      <c r="EQ1142" s="2"/>
      <c r="ER1142" s="2"/>
      <c r="ES1142" s="2"/>
      <c r="ET1142" s="2"/>
      <c r="EU1142" s="2"/>
      <c r="EV1142" s="2"/>
      <c r="EW1142" s="2"/>
      <c r="EX1142" s="2"/>
      <c r="EY1142" s="2"/>
      <c r="EZ1142" s="2"/>
      <c r="FA1142" s="2"/>
      <c r="FB1142" s="2"/>
      <c r="FC1142" s="2"/>
      <c r="FD1142" s="2"/>
      <c r="FE1142" s="2"/>
      <c r="FF1142" s="2"/>
      <c r="FG1142" s="2"/>
      <c r="FH1142" s="2"/>
      <c r="FI1142" s="2"/>
      <c r="FJ1142" s="2"/>
      <c r="FK1142" s="2"/>
      <c r="FL1142" s="2"/>
      <c r="FM1142" s="2"/>
      <c r="FN1142" s="2"/>
      <c r="FO1142" s="2"/>
      <c r="FP1142" s="2"/>
      <c r="FQ1142" s="2"/>
      <c r="FR1142" s="2"/>
      <c r="FS1142" s="2"/>
      <c r="FT1142" s="2"/>
      <c r="FU1142" s="2"/>
      <c r="FV1142" s="2"/>
      <c r="FW1142" s="2"/>
      <c r="FX1142" s="2"/>
      <c r="FY1142" s="2"/>
      <c r="FZ1142" s="2"/>
      <c r="GA1142" s="2"/>
      <c r="GB1142" s="2"/>
      <c r="GC1142" s="2"/>
      <c r="GD1142" s="2"/>
      <c r="GE1142" s="2"/>
      <c r="GF1142" s="2"/>
      <c r="GG1142" s="2"/>
      <c r="GH1142" s="2"/>
      <c r="GI1142" s="2"/>
      <c r="GJ1142" s="2"/>
      <c r="GK1142" s="2"/>
      <c r="GL1142" s="2"/>
      <c r="GM1142" s="2"/>
      <c r="GN1142" s="2"/>
      <c r="GO1142" s="2"/>
      <c r="GP1142" s="2"/>
      <c r="GQ1142" s="2"/>
      <c r="GR1142" s="2"/>
      <c r="GS1142" s="2"/>
      <c r="GT1142" s="2"/>
      <c r="GU1142" s="2"/>
      <c r="GV1142" s="2"/>
      <c r="GW1142" s="2"/>
      <c r="GX1142" s="2"/>
      <c r="GY1142" s="2"/>
      <c r="GZ1142" s="2"/>
      <c r="HA1142" s="2"/>
      <c r="HB1142" s="2"/>
      <c r="HC1142" s="2"/>
      <c r="HD1142" s="2"/>
      <c r="HE1142" s="2"/>
      <c r="HF1142" s="2"/>
      <c r="HG1142" s="2"/>
      <c r="HH1142" s="2"/>
      <c r="HI1142" s="2"/>
      <c r="HJ1142" s="2"/>
      <c r="HK1142" s="2"/>
      <c r="HL1142" s="2"/>
      <c r="HM1142" s="2"/>
      <c r="HN1142" s="2"/>
    </row>
    <row r="1143" spans="1:222" ht="15.75" customHeight="1" x14ac:dyDescent="0.2">
      <c r="A1143" s="3"/>
      <c r="B1143" s="3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2"/>
      <c r="FZ1143" s="2"/>
      <c r="GA1143" s="2"/>
      <c r="GB1143" s="2"/>
      <c r="GC1143" s="2"/>
      <c r="GD1143" s="2"/>
      <c r="GE1143" s="2"/>
      <c r="GF1143" s="2"/>
      <c r="GG1143" s="2"/>
      <c r="GH1143" s="2"/>
      <c r="GI1143" s="2"/>
      <c r="GJ1143" s="2"/>
      <c r="GK1143" s="2"/>
      <c r="GL1143" s="2"/>
      <c r="GM1143" s="2"/>
      <c r="GN1143" s="2"/>
      <c r="GO1143" s="2"/>
      <c r="GP1143" s="2"/>
      <c r="GQ1143" s="2"/>
      <c r="GR1143" s="2"/>
      <c r="GS1143" s="2"/>
      <c r="GT1143" s="2"/>
      <c r="GU1143" s="2"/>
      <c r="GV1143" s="2"/>
      <c r="GW1143" s="2"/>
      <c r="GX1143" s="2"/>
      <c r="GY1143" s="2"/>
      <c r="GZ1143" s="2"/>
      <c r="HA1143" s="2"/>
      <c r="HB1143" s="2"/>
      <c r="HC1143" s="2"/>
      <c r="HD1143" s="2"/>
      <c r="HE1143" s="2"/>
      <c r="HF1143" s="2"/>
      <c r="HG1143" s="2"/>
      <c r="HH1143" s="2"/>
      <c r="HI1143" s="2"/>
      <c r="HJ1143" s="2"/>
      <c r="HK1143" s="2"/>
      <c r="HL1143" s="2"/>
      <c r="HM1143" s="2"/>
      <c r="HN1143" s="2"/>
    </row>
    <row r="1144" spans="1:222" ht="15.75" customHeight="1" x14ac:dyDescent="0.2">
      <c r="A1144" s="3"/>
      <c r="B1144" s="3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  <c r="EI1144" s="2"/>
      <c r="EJ1144" s="2"/>
      <c r="EK1144" s="2"/>
      <c r="EL1144" s="2"/>
      <c r="EM1144" s="2"/>
      <c r="EN1144" s="2"/>
      <c r="EO1144" s="2"/>
      <c r="EP1144" s="2"/>
      <c r="EQ1144" s="2"/>
      <c r="ER1144" s="2"/>
      <c r="ES1144" s="2"/>
      <c r="ET1144" s="2"/>
      <c r="EU1144" s="2"/>
      <c r="EV1144" s="2"/>
      <c r="EW1144" s="2"/>
      <c r="EX1144" s="2"/>
      <c r="EY1144" s="2"/>
      <c r="EZ1144" s="2"/>
      <c r="FA1144" s="2"/>
      <c r="FB1144" s="2"/>
      <c r="FC1144" s="2"/>
      <c r="FD1144" s="2"/>
      <c r="FE1144" s="2"/>
      <c r="FF1144" s="2"/>
      <c r="FG1144" s="2"/>
      <c r="FH1144" s="2"/>
      <c r="FI1144" s="2"/>
      <c r="FJ1144" s="2"/>
      <c r="FK1144" s="2"/>
      <c r="FL1144" s="2"/>
      <c r="FM1144" s="2"/>
      <c r="FN1144" s="2"/>
      <c r="FO1144" s="2"/>
      <c r="FP1144" s="2"/>
      <c r="FQ1144" s="2"/>
      <c r="FR1144" s="2"/>
      <c r="FS1144" s="2"/>
      <c r="FT1144" s="2"/>
      <c r="FU1144" s="2"/>
      <c r="FV1144" s="2"/>
      <c r="FW1144" s="2"/>
      <c r="FX1144" s="2"/>
      <c r="FY1144" s="2"/>
      <c r="FZ1144" s="2"/>
      <c r="GA1144" s="2"/>
      <c r="GB1144" s="2"/>
      <c r="GC1144" s="2"/>
      <c r="GD1144" s="2"/>
      <c r="GE1144" s="2"/>
      <c r="GF1144" s="2"/>
      <c r="GG1144" s="2"/>
      <c r="GH1144" s="2"/>
      <c r="GI1144" s="2"/>
      <c r="GJ1144" s="2"/>
      <c r="GK1144" s="2"/>
      <c r="GL1144" s="2"/>
      <c r="GM1144" s="2"/>
      <c r="GN1144" s="2"/>
      <c r="GO1144" s="2"/>
      <c r="GP1144" s="2"/>
      <c r="GQ1144" s="2"/>
      <c r="GR1144" s="2"/>
      <c r="GS1144" s="2"/>
      <c r="GT1144" s="2"/>
      <c r="GU1144" s="2"/>
      <c r="GV1144" s="2"/>
      <c r="GW1144" s="2"/>
      <c r="GX1144" s="2"/>
      <c r="GY1144" s="2"/>
      <c r="GZ1144" s="2"/>
      <c r="HA1144" s="2"/>
      <c r="HB1144" s="2"/>
      <c r="HC1144" s="2"/>
      <c r="HD1144" s="2"/>
      <c r="HE1144" s="2"/>
      <c r="HF1144" s="2"/>
      <c r="HG1144" s="2"/>
      <c r="HH1144" s="2"/>
      <c r="HI1144" s="2"/>
      <c r="HJ1144" s="2"/>
      <c r="HK1144" s="2"/>
      <c r="HL1144" s="2"/>
      <c r="HM1144" s="2"/>
      <c r="HN1144" s="2"/>
    </row>
    <row r="1145" spans="1:222" ht="15.75" customHeight="1" x14ac:dyDescent="0.2">
      <c r="A1145" s="3"/>
      <c r="B1145" s="3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/>
      <c r="FR1145" s="2"/>
      <c r="FS1145" s="2"/>
      <c r="FT1145" s="2"/>
      <c r="FU1145" s="2"/>
      <c r="FV1145" s="2"/>
      <c r="FW1145" s="2"/>
      <c r="FX1145" s="2"/>
      <c r="FY1145" s="2"/>
      <c r="FZ1145" s="2"/>
      <c r="GA1145" s="2"/>
      <c r="GB1145" s="2"/>
      <c r="GC1145" s="2"/>
      <c r="GD1145" s="2"/>
      <c r="GE1145" s="2"/>
      <c r="GF1145" s="2"/>
      <c r="GG1145" s="2"/>
      <c r="GH1145" s="2"/>
      <c r="GI1145" s="2"/>
      <c r="GJ1145" s="2"/>
      <c r="GK1145" s="2"/>
      <c r="GL1145" s="2"/>
      <c r="GM1145" s="2"/>
      <c r="GN1145" s="2"/>
      <c r="GO1145" s="2"/>
      <c r="GP1145" s="2"/>
      <c r="GQ1145" s="2"/>
      <c r="GR1145" s="2"/>
      <c r="GS1145" s="2"/>
      <c r="GT1145" s="2"/>
      <c r="GU1145" s="2"/>
      <c r="GV1145" s="2"/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/>
      <c r="HI1145" s="2"/>
      <c r="HJ1145" s="2"/>
      <c r="HK1145" s="2"/>
      <c r="HL1145" s="2"/>
      <c r="HM1145" s="2"/>
      <c r="HN1145" s="2"/>
    </row>
    <row r="1146" spans="1:222" ht="15.75" customHeight="1" x14ac:dyDescent="0.2">
      <c r="A1146" s="3"/>
      <c r="B1146" s="3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2"/>
      <c r="FZ1146" s="2"/>
      <c r="GA1146" s="2"/>
      <c r="GB1146" s="2"/>
      <c r="GC1146" s="2"/>
      <c r="GD1146" s="2"/>
      <c r="GE1146" s="2"/>
      <c r="GF1146" s="2"/>
      <c r="GG1146" s="2"/>
      <c r="GH1146" s="2"/>
      <c r="GI1146" s="2"/>
      <c r="GJ1146" s="2"/>
      <c r="GK1146" s="2"/>
      <c r="GL1146" s="2"/>
      <c r="GM1146" s="2"/>
      <c r="GN1146" s="2"/>
      <c r="GO1146" s="2"/>
      <c r="GP1146" s="2"/>
      <c r="GQ1146" s="2"/>
      <c r="GR1146" s="2"/>
      <c r="GS1146" s="2"/>
      <c r="GT1146" s="2"/>
      <c r="GU1146" s="2"/>
      <c r="GV1146" s="2"/>
      <c r="GW1146" s="2"/>
      <c r="GX1146" s="2"/>
      <c r="GY1146" s="2"/>
      <c r="GZ1146" s="2"/>
      <c r="HA1146" s="2"/>
      <c r="HB1146" s="2"/>
      <c r="HC1146" s="2"/>
      <c r="HD1146" s="2"/>
      <c r="HE1146" s="2"/>
      <c r="HF1146" s="2"/>
      <c r="HG1146" s="2"/>
      <c r="HH1146" s="2"/>
      <c r="HI1146" s="2"/>
      <c r="HJ1146" s="2"/>
      <c r="HK1146" s="2"/>
      <c r="HL1146" s="2"/>
      <c r="HM1146" s="2"/>
      <c r="HN1146" s="2"/>
    </row>
    <row r="1147" spans="1:222" ht="15.75" customHeight="1" x14ac:dyDescent="0.2">
      <c r="A1147" s="3"/>
      <c r="B1147" s="3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/>
      <c r="FR1147" s="2"/>
      <c r="FS1147" s="2"/>
      <c r="FT1147" s="2"/>
      <c r="FU1147" s="2"/>
      <c r="FV1147" s="2"/>
      <c r="FW1147" s="2"/>
      <c r="FX1147" s="2"/>
      <c r="FY1147" s="2"/>
      <c r="FZ1147" s="2"/>
      <c r="GA1147" s="2"/>
      <c r="GB1147" s="2"/>
      <c r="GC1147" s="2"/>
      <c r="GD1147" s="2"/>
      <c r="GE1147" s="2"/>
      <c r="GF1147" s="2"/>
      <c r="GG1147" s="2"/>
      <c r="GH1147" s="2"/>
      <c r="GI1147" s="2"/>
      <c r="GJ1147" s="2"/>
      <c r="GK1147" s="2"/>
      <c r="GL1147" s="2"/>
      <c r="GM1147" s="2"/>
      <c r="GN1147" s="2"/>
      <c r="GO1147" s="2"/>
      <c r="GP1147" s="2"/>
      <c r="GQ1147" s="2"/>
      <c r="GR1147" s="2"/>
      <c r="GS1147" s="2"/>
      <c r="GT1147" s="2"/>
      <c r="GU1147" s="2"/>
      <c r="GV1147" s="2"/>
      <c r="GW1147" s="2"/>
      <c r="GX1147" s="2"/>
      <c r="GY1147" s="2"/>
      <c r="GZ1147" s="2"/>
      <c r="HA1147" s="2"/>
      <c r="HB1147" s="2"/>
      <c r="HC1147" s="2"/>
      <c r="HD1147" s="2"/>
      <c r="HE1147" s="2"/>
      <c r="HF1147" s="2"/>
      <c r="HG1147" s="2"/>
      <c r="HH1147" s="2"/>
      <c r="HI1147" s="2"/>
      <c r="HJ1147" s="2"/>
      <c r="HK1147" s="2"/>
      <c r="HL1147" s="2"/>
      <c r="HM1147" s="2"/>
      <c r="HN1147" s="2"/>
    </row>
    <row r="1148" spans="1:222" ht="15.75" customHeight="1" x14ac:dyDescent="0.2">
      <c r="A1148" s="3"/>
      <c r="B1148" s="3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  <c r="FQ1148" s="2"/>
      <c r="FR1148" s="2"/>
      <c r="FS1148" s="2"/>
      <c r="FT1148" s="2"/>
      <c r="FU1148" s="2"/>
      <c r="FV1148" s="2"/>
      <c r="FW1148" s="2"/>
      <c r="FX1148" s="2"/>
      <c r="FY1148" s="2"/>
      <c r="FZ1148" s="2"/>
      <c r="GA1148" s="2"/>
      <c r="GB1148" s="2"/>
      <c r="GC1148" s="2"/>
      <c r="GD1148" s="2"/>
      <c r="GE1148" s="2"/>
      <c r="GF1148" s="2"/>
      <c r="GG1148" s="2"/>
      <c r="GH1148" s="2"/>
      <c r="GI1148" s="2"/>
      <c r="GJ1148" s="2"/>
      <c r="GK1148" s="2"/>
      <c r="GL1148" s="2"/>
      <c r="GM1148" s="2"/>
      <c r="GN1148" s="2"/>
      <c r="GO1148" s="2"/>
      <c r="GP1148" s="2"/>
      <c r="GQ1148" s="2"/>
      <c r="GR1148" s="2"/>
      <c r="GS1148" s="2"/>
      <c r="GT1148" s="2"/>
      <c r="GU1148" s="2"/>
      <c r="GV1148" s="2"/>
      <c r="GW1148" s="2"/>
      <c r="GX1148" s="2"/>
      <c r="GY1148" s="2"/>
      <c r="GZ1148" s="2"/>
      <c r="HA1148" s="2"/>
      <c r="HB1148" s="2"/>
      <c r="HC1148" s="2"/>
      <c r="HD1148" s="2"/>
      <c r="HE1148" s="2"/>
      <c r="HF1148" s="2"/>
      <c r="HG1148" s="2"/>
      <c r="HH1148" s="2"/>
      <c r="HI1148" s="2"/>
      <c r="HJ1148" s="2"/>
      <c r="HK1148" s="2"/>
      <c r="HL1148" s="2"/>
      <c r="HM1148" s="2"/>
      <c r="HN1148" s="2"/>
    </row>
    <row r="1149" spans="1:222" ht="15.75" customHeight="1" x14ac:dyDescent="0.2">
      <c r="A1149" s="3"/>
      <c r="B1149" s="3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2"/>
      <c r="FZ1149" s="2"/>
      <c r="GA1149" s="2"/>
      <c r="GB1149" s="2"/>
      <c r="GC1149" s="2"/>
      <c r="GD1149" s="2"/>
      <c r="GE1149" s="2"/>
      <c r="GF1149" s="2"/>
      <c r="GG1149" s="2"/>
      <c r="GH1149" s="2"/>
      <c r="GI1149" s="2"/>
      <c r="GJ1149" s="2"/>
      <c r="GK1149" s="2"/>
      <c r="GL1149" s="2"/>
      <c r="GM1149" s="2"/>
      <c r="GN1149" s="2"/>
      <c r="GO1149" s="2"/>
      <c r="GP1149" s="2"/>
      <c r="GQ1149" s="2"/>
      <c r="GR1149" s="2"/>
      <c r="GS1149" s="2"/>
      <c r="GT1149" s="2"/>
      <c r="GU1149" s="2"/>
      <c r="GV1149" s="2"/>
      <c r="GW1149" s="2"/>
      <c r="GX1149" s="2"/>
      <c r="GY1149" s="2"/>
      <c r="GZ1149" s="2"/>
      <c r="HA1149" s="2"/>
      <c r="HB1149" s="2"/>
      <c r="HC1149" s="2"/>
      <c r="HD1149" s="2"/>
      <c r="HE1149" s="2"/>
      <c r="HF1149" s="2"/>
      <c r="HG1149" s="2"/>
      <c r="HH1149" s="2"/>
      <c r="HI1149" s="2"/>
      <c r="HJ1149" s="2"/>
      <c r="HK1149" s="2"/>
      <c r="HL1149" s="2"/>
      <c r="HM1149" s="2"/>
      <c r="HN1149" s="2"/>
    </row>
    <row r="1150" spans="1:222" ht="15.75" customHeight="1" x14ac:dyDescent="0.2">
      <c r="A1150" s="3"/>
      <c r="B1150" s="3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2"/>
      <c r="FZ1150" s="2"/>
      <c r="GA1150" s="2"/>
      <c r="GB1150" s="2"/>
      <c r="GC1150" s="2"/>
      <c r="GD1150" s="2"/>
      <c r="GE1150" s="2"/>
      <c r="GF1150" s="2"/>
      <c r="GG1150" s="2"/>
      <c r="GH1150" s="2"/>
      <c r="GI1150" s="2"/>
      <c r="GJ1150" s="2"/>
      <c r="GK1150" s="2"/>
      <c r="GL1150" s="2"/>
      <c r="GM1150" s="2"/>
      <c r="GN1150" s="2"/>
      <c r="GO1150" s="2"/>
      <c r="GP1150" s="2"/>
      <c r="GQ1150" s="2"/>
      <c r="GR1150" s="2"/>
      <c r="GS1150" s="2"/>
      <c r="GT1150" s="2"/>
      <c r="GU1150" s="2"/>
      <c r="GV1150" s="2"/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/>
      <c r="HN1150" s="2"/>
    </row>
    <row r="1151" spans="1:222" ht="15.75" customHeight="1" x14ac:dyDescent="0.2">
      <c r="A1151" s="3"/>
      <c r="B1151" s="3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/>
      <c r="FT1151" s="2"/>
      <c r="FU1151" s="2"/>
      <c r="FV1151" s="2"/>
      <c r="FW1151" s="2"/>
      <c r="FX1151" s="2"/>
      <c r="FY1151" s="2"/>
      <c r="FZ1151" s="2"/>
      <c r="GA1151" s="2"/>
      <c r="GB1151" s="2"/>
      <c r="GC1151" s="2"/>
      <c r="GD1151" s="2"/>
      <c r="GE1151" s="2"/>
      <c r="GF1151" s="2"/>
      <c r="GG1151" s="2"/>
      <c r="GH1151" s="2"/>
      <c r="GI1151" s="2"/>
      <c r="GJ1151" s="2"/>
      <c r="GK1151" s="2"/>
      <c r="GL1151" s="2"/>
      <c r="GM1151" s="2"/>
      <c r="GN1151" s="2"/>
      <c r="GO1151" s="2"/>
      <c r="GP1151" s="2"/>
      <c r="GQ1151" s="2"/>
      <c r="GR1151" s="2"/>
      <c r="GS1151" s="2"/>
      <c r="GT1151" s="2"/>
      <c r="GU1151" s="2"/>
      <c r="GV1151" s="2"/>
      <c r="GW1151" s="2"/>
      <c r="GX1151" s="2"/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/>
      <c r="HK1151" s="2"/>
      <c r="HL1151" s="2"/>
      <c r="HM1151" s="2"/>
      <c r="HN1151" s="2"/>
    </row>
    <row r="1152" spans="1:222" ht="15.75" customHeight="1" x14ac:dyDescent="0.2">
      <c r="A1152" s="3"/>
      <c r="B1152" s="3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  <c r="FQ1152" s="2"/>
      <c r="FR1152" s="2"/>
      <c r="FS1152" s="2"/>
      <c r="FT1152" s="2"/>
      <c r="FU1152" s="2"/>
      <c r="FV1152" s="2"/>
      <c r="FW1152" s="2"/>
      <c r="FX1152" s="2"/>
      <c r="FY1152" s="2"/>
      <c r="FZ1152" s="2"/>
      <c r="GA1152" s="2"/>
      <c r="GB1152" s="2"/>
      <c r="GC1152" s="2"/>
      <c r="GD1152" s="2"/>
      <c r="GE1152" s="2"/>
      <c r="GF1152" s="2"/>
      <c r="GG1152" s="2"/>
      <c r="GH1152" s="2"/>
      <c r="GI1152" s="2"/>
      <c r="GJ1152" s="2"/>
      <c r="GK1152" s="2"/>
      <c r="GL1152" s="2"/>
      <c r="GM1152" s="2"/>
      <c r="GN1152" s="2"/>
      <c r="GO1152" s="2"/>
      <c r="GP1152" s="2"/>
      <c r="GQ1152" s="2"/>
      <c r="GR1152" s="2"/>
      <c r="GS1152" s="2"/>
      <c r="GT1152" s="2"/>
      <c r="GU1152" s="2"/>
      <c r="GV1152" s="2"/>
      <c r="GW1152" s="2"/>
      <c r="GX1152" s="2"/>
      <c r="GY1152" s="2"/>
      <c r="GZ1152" s="2"/>
      <c r="HA1152" s="2"/>
      <c r="HB1152" s="2"/>
      <c r="HC1152" s="2"/>
      <c r="HD1152" s="2"/>
      <c r="HE1152" s="2"/>
      <c r="HF1152" s="2"/>
      <c r="HG1152" s="2"/>
      <c r="HH1152" s="2"/>
      <c r="HI1152" s="2"/>
      <c r="HJ1152" s="2"/>
      <c r="HK1152" s="2"/>
      <c r="HL1152" s="2"/>
      <c r="HM1152" s="2"/>
      <c r="HN1152" s="2"/>
    </row>
    <row r="1153" spans="1:222" ht="15.75" customHeight="1" x14ac:dyDescent="0.2">
      <c r="A1153" s="3"/>
      <c r="B1153" s="3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/>
      <c r="FR1153" s="2"/>
      <c r="FS1153" s="2"/>
      <c r="FT1153" s="2"/>
      <c r="FU1153" s="2"/>
      <c r="FV1153" s="2"/>
      <c r="FW1153" s="2"/>
      <c r="FX1153" s="2"/>
      <c r="FY1153" s="2"/>
      <c r="FZ1153" s="2"/>
      <c r="GA1153" s="2"/>
      <c r="GB1153" s="2"/>
      <c r="GC1153" s="2"/>
      <c r="GD1153" s="2"/>
      <c r="GE1153" s="2"/>
      <c r="GF1153" s="2"/>
      <c r="GG1153" s="2"/>
      <c r="GH1153" s="2"/>
      <c r="GI1153" s="2"/>
      <c r="GJ1153" s="2"/>
      <c r="GK1153" s="2"/>
      <c r="GL1153" s="2"/>
      <c r="GM1153" s="2"/>
      <c r="GN1153" s="2"/>
      <c r="GO1153" s="2"/>
      <c r="GP1153" s="2"/>
      <c r="GQ1153" s="2"/>
      <c r="GR1153" s="2"/>
      <c r="GS1153" s="2"/>
      <c r="GT1153" s="2"/>
      <c r="GU1153" s="2"/>
      <c r="GV1153" s="2"/>
      <c r="GW1153" s="2"/>
      <c r="GX1153" s="2"/>
      <c r="GY1153" s="2"/>
      <c r="GZ1153" s="2"/>
      <c r="HA1153" s="2"/>
      <c r="HB1153" s="2"/>
      <c r="HC1153" s="2"/>
      <c r="HD1153" s="2"/>
      <c r="HE1153" s="2"/>
      <c r="HF1153" s="2"/>
      <c r="HG1153" s="2"/>
      <c r="HH1153" s="2"/>
      <c r="HI1153" s="2"/>
      <c r="HJ1153" s="2"/>
      <c r="HK1153" s="2"/>
      <c r="HL1153" s="2"/>
      <c r="HM1153" s="2"/>
      <c r="HN1153" s="2"/>
    </row>
    <row r="1154" spans="1:222" ht="15.75" customHeight="1" x14ac:dyDescent="0.2">
      <c r="A1154" s="3"/>
      <c r="B1154" s="3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  <c r="FQ1154" s="2"/>
      <c r="FR1154" s="2"/>
      <c r="FS1154" s="2"/>
      <c r="FT1154" s="2"/>
      <c r="FU1154" s="2"/>
      <c r="FV1154" s="2"/>
      <c r="FW1154" s="2"/>
      <c r="FX1154" s="2"/>
      <c r="FY1154" s="2"/>
      <c r="FZ1154" s="2"/>
      <c r="GA1154" s="2"/>
      <c r="GB1154" s="2"/>
      <c r="GC1154" s="2"/>
      <c r="GD1154" s="2"/>
      <c r="GE1154" s="2"/>
      <c r="GF1154" s="2"/>
      <c r="GG1154" s="2"/>
      <c r="GH1154" s="2"/>
      <c r="GI1154" s="2"/>
      <c r="GJ1154" s="2"/>
      <c r="GK1154" s="2"/>
      <c r="GL1154" s="2"/>
      <c r="GM1154" s="2"/>
      <c r="GN1154" s="2"/>
      <c r="GO1154" s="2"/>
      <c r="GP1154" s="2"/>
      <c r="GQ1154" s="2"/>
      <c r="GR1154" s="2"/>
      <c r="GS1154" s="2"/>
      <c r="GT1154" s="2"/>
      <c r="GU1154" s="2"/>
      <c r="GV1154" s="2"/>
      <c r="GW1154" s="2"/>
      <c r="GX1154" s="2"/>
      <c r="GY1154" s="2"/>
      <c r="GZ1154" s="2"/>
      <c r="HA1154" s="2"/>
      <c r="HB1154" s="2"/>
      <c r="HC1154" s="2"/>
      <c r="HD1154" s="2"/>
      <c r="HE1154" s="2"/>
      <c r="HF1154" s="2"/>
      <c r="HG1154" s="2"/>
      <c r="HH1154" s="2"/>
      <c r="HI1154" s="2"/>
      <c r="HJ1154" s="2"/>
      <c r="HK1154" s="2"/>
      <c r="HL1154" s="2"/>
      <c r="HM1154" s="2"/>
      <c r="HN1154" s="2"/>
    </row>
    <row r="1155" spans="1:222" ht="15.75" customHeight="1" x14ac:dyDescent="0.2">
      <c r="A1155" s="3"/>
      <c r="B1155" s="3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/>
      <c r="FR1155" s="2"/>
      <c r="FS1155" s="2"/>
      <c r="FT1155" s="2"/>
      <c r="FU1155" s="2"/>
      <c r="FV1155" s="2"/>
      <c r="FW1155" s="2"/>
      <c r="FX1155" s="2"/>
      <c r="FY1155" s="2"/>
      <c r="FZ1155" s="2"/>
      <c r="GA1155" s="2"/>
      <c r="GB1155" s="2"/>
      <c r="GC1155" s="2"/>
      <c r="GD1155" s="2"/>
      <c r="GE1155" s="2"/>
      <c r="GF1155" s="2"/>
      <c r="GG1155" s="2"/>
      <c r="GH1155" s="2"/>
      <c r="GI1155" s="2"/>
      <c r="GJ1155" s="2"/>
      <c r="GK1155" s="2"/>
      <c r="GL1155" s="2"/>
      <c r="GM1155" s="2"/>
      <c r="GN1155" s="2"/>
      <c r="GO1155" s="2"/>
      <c r="GP1155" s="2"/>
      <c r="GQ1155" s="2"/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/>
      <c r="HN1155" s="2"/>
    </row>
    <row r="1156" spans="1:222" ht="15.75" customHeight="1" x14ac:dyDescent="0.2">
      <c r="A1156" s="3"/>
      <c r="B1156" s="3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2"/>
      <c r="FZ1156" s="2"/>
      <c r="GA1156" s="2"/>
      <c r="GB1156" s="2"/>
      <c r="GC1156" s="2"/>
      <c r="GD1156" s="2"/>
      <c r="GE1156" s="2"/>
      <c r="GF1156" s="2"/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/>
      <c r="HN1156" s="2"/>
    </row>
    <row r="1157" spans="1:222" ht="15.75" customHeight="1" x14ac:dyDescent="0.2">
      <c r="A1157" s="3"/>
      <c r="B1157" s="3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/>
      <c r="FR1157" s="2"/>
      <c r="FS1157" s="2"/>
      <c r="FT1157" s="2"/>
      <c r="FU1157" s="2"/>
      <c r="FV1157" s="2"/>
      <c r="FW1157" s="2"/>
      <c r="FX1157" s="2"/>
      <c r="FY1157" s="2"/>
      <c r="FZ1157" s="2"/>
      <c r="GA1157" s="2"/>
      <c r="GB1157" s="2"/>
      <c r="GC1157" s="2"/>
      <c r="GD1157" s="2"/>
      <c r="GE1157" s="2"/>
      <c r="GF1157" s="2"/>
      <c r="GG1157" s="2"/>
      <c r="GH1157" s="2"/>
      <c r="GI1157" s="2"/>
      <c r="GJ1157" s="2"/>
      <c r="GK1157" s="2"/>
      <c r="GL1157" s="2"/>
      <c r="GM1157" s="2"/>
      <c r="GN1157" s="2"/>
      <c r="GO1157" s="2"/>
      <c r="GP1157" s="2"/>
      <c r="GQ1157" s="2"/>
      <c r="GR1157" s="2"/>
      <c r="GS1157" s="2"/>
      <c r="GT1157" s="2"/>
      <c r="GU1157" s="2"/>
      <c r="GV1157" s="2"/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/>
      <c r="HK1157" s="2"/>
      <c r="HL1157" s="2"/>
      <c r="HM1157" s="2"/>
      <c r="HN1157" s="2"/>
    </row>
    <row r="1158" spans="1:222" ht="15.75" customHeight="1" x14ac:dyDescent="0.2">
      <c r="A1158" s="3"/>
      <c r="B1158" s="3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  <c r="FQ1158" s="2"/>
      <c r="FR1158" s="2"/>
      <c r="FS1158" s="2"/>
      <c r="FT1158" s="2"/>
      <c r="FU1158" s="2"/>
      <c r="FV1158" s="2"/>
      <c r="FW1158" s="2"/>
      <c r="FX1158" s="2"/>
      <c r="FY1158" s="2"/>
      <c r="FZ1158" s="2"/>
      <c r="GA1158" s="2"/>
      <c r="GB1158" s="2"/>
      <c r="GC1158" s="2"/>
      <c r="GD1158" s="2"/>
      <c r="GE1158" s="2"/>
      <c r="GF1158" s="2"/>
      <c r="GG1158" s="2"/>
      <c r="GH1158" s="2"/>
      <c r="GI1158" s="2"/>
      <c r="GJ1158" s="2"/>
      <c r="GK1158" s="2"/>
      <c r="GL1158" s="2"/>
      <c r="GM1158" s="2"/>
      <c r="GN1158" s="2"/>
      <c r="GO1158" s="2"/>
      <c r="GP1158" s="2"/>
      <c r="GQ1158" s="2"/>
      <c r="GR1158" s="2"/>
      <c r="GS1158" s="2"/>
      <c r="GT1158" s="2"/>
      <c r="GU1158" s="2"/>
      <c r="GV1158" s="2"/>
      <c r="GW1158" s="2"/>
      <c r="GX1158" s="2"/>
      <c r="GY1158" s="2"/>
      <c r="GZ1158" s="2"/>
      <c r="HA1158" s="2"/>
      <c r="HB1158" s="2"/>
      <c r="HC1158" s="2"/>
      <c r="HD1158" s="2"/>
      <c r="HE1158" s="2"/>
      <c r="HF1158" s="2"/>
      <c r="HG1158" s="2"/>
      <c r="HH1158" s="2"/>
      <c r="HI1158" s="2"/>
      <c r="HJ1158" s="2"/>
      <c r="HK1158" s="2"/>
      <c r="HL1158" s="2"/>
      <c r="HM1158" s="2"/>
      <c r="HN1158" s="2"/>
    </row>
    <row r="1159" spans="1:222" ht="15.75" customHeight="1" x14ac:dyDescent="0.2">
      <c r="A1159" s="3"/>
      <c r="B1159" s="3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/>
      <c r="FR1159" s="2"/>
      <c r="FS1159" s="2"/>
      <c r="FT1159" s="2"/>
      <c r="FU1159" s="2"/>
      <c r="FV1159" s="2"/>
      <c r="FW1159" s="2"/>
      <c r="FX1159" s="2"/>
      <c r="FY1159" s="2"/>
      <c r="FZ1159" s="2"/>
      <c r="GA1159" s="2"/>
      <c r="GB1159" s="2"/>
      <c r="GC1159" s="2"/>
      <c r="GD1159" s="2"/>
      <c r="GE1159" s="2"/>
      <c r="GF1159" s="2"/>
      <c r="GG1159" s="2"/>
      <c r="GH1159" s="2"/>
      <c r="GI1159" s="2"/>
      <c r="GJ1159" s="2"/>
      <c r="GK1159" s="2"/>
      <c r="GL1159" s="2"/>
      <c r="GM1159" s="2"/>
      <c r="GN1159" s="2"/>
      <c r="GO1159" s="2"/>
      <c r="GP1159" s="2"/>
      <c r="GQ1159" s="2"/>
      <c r="GR1159" s="2"/>
      <c r="GS1159" s="2"/>
      <c r="GT1159" s="2"/>
      <c r="GU1159" s="2"/>
      <c r="GV1159" s="2"/>
      <c r="GW1159" s="2"/>
      <c r="GX1159" s="2"/>
      <c r="GY1159" s="2"/>
      <c r="GZ1159" s="2"/>
      <c r="HA1159" s="2"/>
      <c r="HB1159" s="2"/>
      <c r="HC1159" s="2"/>
      <c r="HD1159" s="2"/>
      <c r="HE1159" s="2"/>
      <c r="HF1159" s="2"/>
      <c r="HG1159" s="2"/>
      <c r="HH1159" s="2"/>
      <c r="HI1159" s="2"/>
      <c r="HJ1159" s="2"/>
      <c r="HK1159" s="2"/>
      <c r="HL1159" s="2"/>
      <c r="HM1159" s="2"/>
      <c r="HN1159" s="2"/>
    </row>
    <row r="1160" spans="1:222" ht="15.75" customHeight="1" x14ac:dyDescent="0.2">
      <c r="A1160" s="3"/>
      <c r="B1160" s="3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/>
      <c r="GD1160" s="2"/>
      <c r="GE1160" s="2"/>
      <c r="GF1160" s="2"/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/>
      <c r="HN1160" s="2"/>
    </row>
    <row r="1161" spans="1:222" ht="15.75" customHeight="1" x14ac:dyDescent="0.2">
      <c r="A1161" s="3"/>
      <c r="B1161" s="3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/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/>
      <c r="HN1161" s="2"/>
    </row>
    <row r="1162" spans="1:222" ht="15.75" customHeight="1" x14ac:dyDescent="0.2">
      <c r="A1162" s="3"/>
      <c r="B1162" s="3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  <c r="FQ1162" s="2"/>
      <c r="FR1162" s="2"/>
      <c r="FS1162" s="2"/>
      <c r="FT1162" s="2"/>
      <c r="FU1162" s="2"/>
      <c r="FV1162" s="2"/>
      <c r="FW1162" s="2"/>
      <c r="FX1162" s="2"/>
      <c r="FY1162" s="2"/>
      <c r="FZ1162" s="2"/>
      <c r="GA1162" s="2"/>
      <c r="GB1162" s="2"/>
      <c r="GC1162" s="2"/>
      <c r="GD1162" s="2"/>
      <c r="GE1162" s="2"/>
      <c r="GF1162" s="2"/>
      <c r="GG1162" s="2"/>
      <c r="GH1162" s="2"/>
      <c r="GI1162" s="2"/>
      <c r="GJ1162" s="2"/>
      <c r="GK1162" s="2"/>
      <c r="GL1162" s="2"/>
      <c r="GM1162" s="2"/>
      <c r="GN1162" s="2"/>
      <c r="GO1162" s="2"/>
      <c r="GP1162" s="2"/>
      <c r="GQ1162" s="2"/>
      <c r="GR1162" s="2"/>
      <c r="GS1162" s="2"/>
      <c r="GT1162" s="2"/>
      <c r="GU1162" s="2"/>
      <c r="GV1162" s="2"/>
      <c r="GW1162" s="2"/>
      <c r="GX1162" s="2"/>
      <c r="GY1162" s="2"/>
      <c r="GZ1162" s="2"/>
      <c r="HA1162" s="2"/>
      <c r="HB1162" s="2"/>
      <c r="HC1162" s="2"/>
      <c r="HD1162" s="2"/>
      <c r="HE1162" s="2"/>
      <c r="HF1162" s="2"/>
      <c r="HG1162" s="2"/>
      <c r="HH1162" s="2"/>
      <c r="HI1162" s="2"/>
      <c r="HJ1162" s="2"/>
      <c r="HK1162" s="2"/>
      <c r="HL1162" s="2"/>
      <c r="HM1162" s="2"/>
      <c r="HN1162" s="2"/>
    </row>
    <row r="1163" spans="1:222" ht="15.75" customHeight="1" x14ac:dyDescent="0.2">
      <c r="A1163" s="3"/>
      <c r="B1163" s="3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/>
      <c r="FR1163" s="2"/>
      <c r="FS1163" s="2"/>
      <c r="FT1163" s="2"/>
      <c r="FU1163" s="2"/>
      <c r="FV1163" s="2"/>
      <c r="FW1163" s="2"/>
      <c r="FX1163" s="2"/>
      <c r="FY1163" s="2"/>
      <c r="FZ1163" s="2"/>
      <c r="GA1163" s="2"/>
      <c r="GB1163" s="2"/>
      <c r="GC1163" s="2"/>
      <c r="GD1163" s="2"/>
      <c r="GE1163" s="2"/>
      <c r="GF1163" s="2"/>
      <c r="GG1163" s="2"/>
      <c r="GH1163" s="2"/>
      <c r="GI1163" s="2"/>
      <c r="GJ1163" s="2"/>
      <c r="GK1163" s="2"/>
      <c r="GL1163" s="2"/>
      <c r="GM1163" s="2"/>
      <c r="GN1163" s="2"/>
      <c r="GO1163" s="2"/>
      <c r="GP1163" s="2"/>
      <c r="GQ1163" s="2"/>
      <c r="GR1163" s="2"/>
      <c r="GS1163" s="2"/>
      <c r="GT1163" s="2"/>
      <c r="GU1163" s="2"/>
      <c r="GV1163" s="2"/>
      <c r="GW1163" s="2"/>
      <c r="GX1163" s="2"/>
      <c r="GY1163" s="2"/>
      <c r="GZ1163" s="2"/>
      <c r="HA1163" s="2"/>
      <c r="HB1163" s="2"/>
      <c r="HC1163" s="2"/>
      <c r="HD1163" s="2"/>
      <c r="HE1163" s="2"/>
      <c r="HF1163" s="2"/>
      <c r="HG1163" s="2"/>
      <c r="HH1163" s="2"/>
      <c r="HI1163" s="2"/>
      <c r="HJ1163" s="2"/>
      <c r="HK1163" s="2"/>
      <c r="HL1163" s="2"/>
      <c r="HM1163" s="2"/>
      <c r="HN1163" s="2"/>
    </row>
    <row r="1164" spans="1:222" ht="15.75" customHeight="1" x14ac:dyDescent="0.2">
      <c r="A1164" s="3"/>
      <c r="B1164" s="3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  <c r="GL1164" s="2"/>
      <c r="GM1164" s="2"/>
      <c r="GN1164" s="2"/>
      <c r="GO1164" s="2"/>
      <c r="GP1164" s="2"/>
      <c r="GQ1164" s="2"/>
      <c r="GR1164" s="2"/>
      <c r="GS1164" s="2"/>
      <c r="GT1164" s="2"/>
      <c r="GU1164" s="2"/>
      <c r="GV1164" s="2"/>
      <c r="GW1164" s="2"/>
      <c r="GX1164" s="2"/>
      <c r="GY1164" s="2"/>
      <c r="GZ1164" s="2"/>
      <c r="HA1164" s="2"/>
      <c r="HB1164" s="2"/>
      <c r="HC1164" s="2"/>
      <c r="HD1164" s="2"/>
      <c r="HE1164" s="2"/>
      <c r="HF1164" s="2"/>
      <c r="HG1164" s="2"/>
      <c r="HH1164" s="2"/>
      <c r="HI1164" s="2"/>
      <c r="HJ1164" s="2"/>
      <c r="HK1164" s="2"/>
      <c r="HL1164" s="2"/>
      <c r="HM1164" s="2"/>
      <c r="HN1164" s="2"/>
    </row>
    <row r="1165" spans="1:222" ht="15.75" customHeight="1" x14ac:dyDescent="0.2">
      <c r="A1165" s="3"/>
      <c r="B1165" s="3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  <c r="GL1165" s="2"/>
      <c r="GM1165" s="2"/>
      <c r="GN1165" s="2"/>
      <c r="GO1165" s="2"/>
      <c r="GP1165" s="2"/>
      <c r="GQ1165" s="2"/>
      <c r="GR1165" s="2"/>
      <c r="GS1165" s="2"/>
      <c r="GT1165" s="2"/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/>
      <c r="HN1165" s="2"/>
    </row>
    <row r="1166" spans="1:222" ht="15.75" customHeight="1" x14ac:dyDescent="0.2">
      <c r="A1166" s="3"/>
      <c r="B1166" s="3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  <c r="GL1166" s="2"/>
      <c r="GM1166" s="2"/>
      <c r="GN1166" s="2"/>
      <c r="GO1166" s="2"/>
      <c r="GP1166" s="2"/>
      <c r="GQ1166" s="2"/>
      <c r="GR1166" s="2"/>
      <c r="GS1166" s="2"/>
      <c r="GT1166" s="2"/>
      <c r="GU1166" s="2"/>
      <c r="GV1166" s="2"/>
      <c r="GW1166" s="2"/>
      <c r="GX1166" s="2"/>
      <c r="GY1166" s="2"/>
      <c r="GZ1166" s="2"/>
      <c r="HA1166" s="2"/>
      <c r="HB1166" s="2"/>
      <c r="HC1166" s="2"/>
      <c r="HD1166" s="2"/>
      <c r="HE1166" s="2"/>
      <c r="HF1166" s="2"/>
      <c r="HG1166" s="2"/>
      <c r="HH1166" s="2"/>
      <c r="HI1166" s="2"/>
      <c r="HJ1166" s="2"/>
      <c r="HK1166" s="2"/>
      <c r="HL1166" s="2"/>
      <c r="HM1166" s="2"/>
      <c r="HN1166" s="2"/>
    </row>
    <row r="1167" spans="1:222" ht="15.75" customHeight="1" x14ac:dyDescent="0.2">
      <c r="A1167" s="3"/>
      <c r="B1167" s="3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</row>
    <row r="1168" spans="1:222" ht="15.75" customHeight="1" x14ac:dyDescent="0.2">
      <c r="A1168" s="3"/>
      <c r="B1168" s="3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2"/>
      <c r="FZ1168" s="2"/>
      <c r="GA1168" s="2"/>
      <c r="GB1168" s="2"/>
      <c r="GC1168" s="2"/>
      <c r="GD1168" s="2"/>
      <c r="GE1168" s="2"/>
      <c r="GF1168" s="2"/>
      <c r="GG1168" s="2"/>
      <c r="GH1168" s="2"/>
      <c r="GI1168" s="2"/>
      <c r="GJ1168" s="2"/>
      <c r="GK1168" s="2"/>
      <c r="GL1168" s="2"/>
      <c r="GM1168" s="2"/>
      <c r="GN1168" s="2"/>
      <c r="GO1168" s="2"/>
      <c r="GP1168" s="2"/>
      <c r="GQ1168" s="2"/>
      <c r="GR1168" s="2"/>
      <c r="GS1168" s="2"/>
      <c r="GT1168" s="2"/>
      <c r="GU1168" s="2"/>
      <c r="GV1168" s="2"/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/>
      <c r="HN1168" s="2"/>
    </row>
    <row r="1169" spans="1:222" ht="15.75" customHeight="1" x14ac:dyDescent="0.2">
      <c r="A1169" s="3"/>
      <c r="B1169" s="3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2"/>
      <c r="FZ1169" s="2"/>
      <c r="GA1169" s="2"/>
      <c r="GB1169" s="2"/>
      <c r="GC1169" s="2"/>
      <c r="GD1169" s="2"/>
      <c r="GE1169" s="2"/>
      <c r="GF1169" s="2"/>
      <c r="GG1169" s="2"/>
      <c r="GH1169" s="2"/>
      <c r="GI1169" s="2"/>
      <c r="GJ1169" s="2"/>
      <c r="GK1169" s="2"/>
      <c r="GL1169" s="2"/>
      <c r="GM1169" s="2"/>
      <c r="GN1169" s="2"/>
      <c r="GO1169" s="2"/>
      <c r="GP1169" s="2"/>
      <c r="GQ1169" s="2"/>
      <c r="GR1169" s="2"/>
      <c r="GS1169" s="2"/>
      <c r="GT1169" s="2"/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/>
      <c r="HN1169" s="2"/>
    </row>
    <row r="1170" spans="1:222" ht="15.75" customHeight="1" x14ac:dyDescent="0.2">
      <c r="A1170" s="3"/>
      <c r="B1170" s="3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2"/>
      <c r="FZ1170" s="2"/>
      <c r="GA1170" s="2"/>
      <c r="GB1170" s="2"/>
      <c r="GC1170" s="2"/>
      <c r="GD1170" s="2"/>
      <c r="GE1170" s="2"/>
      <c r="GF1170" s="2"/>
      <c r="GG1170" s="2"/>
      <c r="GH1170" s="2"/>
      <c r="GI1170" s="2"/>
      <c r="GJ1170" s="2"/>
      <c r="GK1170" s="2"/>
      <c r="GL1170" s="2"/>
      <c r="GM1170" s="2"/>
      <c r="GN1170" s="2"/>
      <c r="GO1170" s="2"/>
      <c r="GP1170" s="2"/>
      <c r="GQ1170" s="2"/>
      <c r="GR1170" s="2"/>
      <c r="GS1170" s="2"/>
      <c r="GT1170" s="2"/>
      <c r="GU1170" s="2"/>
      <c r="GV1170" s="2"/>
      <c r="GW1170" s="2"/>
      <c r="GX1170" s="2"/>
      <c r="GY1170" s="2"/>
      <c r="GZ1170" s="2"/>
      <c r="HA1170" s="2"/>
      <c r="HB1170" s="2"/>
      <c r="HC1170" s="2"/>
      <c r="HD1170" s="2"/>
      <c r="HE1170" s="2"/>
      <c r="HF1170" s="2"/>
      <c r="HG1170" s="2"/>
      <c r="HH1170" s="2"/>
      <c r="HI1170" s="2"/>
      <c r="HJ1170" s="2"/>
      <c r="HK1170" s="2"/>
      <c r="HL1170" s="2"/>
      <c r="HM1170" s="2"/>
      <c r="HN1170" s="2"/>
    </row>
    <row r="1171" spans="1:222" ht="15.75" customHeight="1" x14ac:dyDescent="0.2">
      <c r="A1171" s="3"/>
      <c r="B1171" s="3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/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/>
      <c r="HN1171" s="2"/>
    </row>
    <row r="1172" spans="1:222" ht="15.75" customHeight="1" x14ac:dyDescent="0.2">
      <c r="A1172" s="3"/>
      <c r="B1172" s="3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</row>
    <row r="1173" spans="1:222" ht="15.75" customHeight="1" x14ac:dyDescent="0.2">
      <c r="A1173" s="3"/>
      <c r="B1173" s="3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2"/>
      <c r="FZ1173" s="2"/>
      <c r="GA1173" s="2"/>
      <c r="GB1173" s="2"/>
      <c r="GC1173" s="2"/>
      <c r="GD1173" s="2"/>
      <c r="GE1173" s="2"/>
      <c r="GF1173" s="2"/>
      <c r="GG1173" s="2"/>
      <c r="GH1173" s="2"/>
      <c r="GI1173" s="2"/>
      <c r="GJ1173" s="2"/>
      <c r="GK1173" s="2"/>
      <c r="GL1173" s="2"/>
      <c r="GM1173" s="2"/>
      <c r="GN1173" s="2"/>
      <c r="GO1173" s="2"/>
      <c r="GP1173" s="2"/>
      <c r="GQ1173" s="2"/>
      <c r="GR1173" s="2"/>
      <c r="GS1173" s="2"/>
      <c r="GT1173" s="2"/>
      <c r="GU1173" s="2"/>
      <c r="GV1173" s="2"/>
      <c r="GW1173" s="2"/>
      <c r="GX1173" s="2"/>
      <c r="GY1173" s="2"/>
      <c r="GZ1173" s="2"/>
      <c r="HA1173" s="2"/>
      <c r="HB1173" s="2"/>
      <c r="HC1173" s="2"/>
      <c r="HD1173" s="2"/>
      <c r="HE1173" s="2"/>
      <c r="HF1173" s="2"/>
      <c r="HG1173" s="2"/>
      <c r="HH1173" s="2"/>
      <c r="HI1173" s="2"/>
      <c r="HJ1173" s="2"/>
      <c r="HK1173" s="2"/>
      <c r="HL1173" s="2"/>
      <c r="HM1173" s="2"/>
      <c r="HN1173" s="2"/>
    </row>
    <row r="1174" spans="1:222" ht="15.75" customHeight="1" x14ac:dyDescent="0.2">
      <c r="A1174" s="3"/>
      <c r="B1174" s="3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2"/>
      <c r="FZ1174" s="2"/>
      <c r="GA1174" s="2"/>
      <c r="GB1174" s="2"/>
      <c r="GC1174" s="2"/>
      <c r="GD1174" s="2"/>
      <c r="GE1174" s="2"/>
      <c r="GF1174" s="2"/>
      <c r="GG1174" s="2"/>
      <c r="GH1174" s="2"/>
      <c r="GI1174" s="2"/>
      <c r="GJ1174" s="2"/>
      <c r="GK1174" s="2"/>
      <c r="GL1174" s="2"/>
      <c r="GM1174" s="2"/>
      <c r="GN1174" s="2"/>
      <c r="GO1174" s="2"/>
      <c r="GP1174" s="2"/>
      <c r="GQ1174" s="2"/>
      <c r="GR1174" s="2"/>
      <c r="GS1174" s="2"/>
      <c r="GT1174" s="2"/>
      <c r="GU1174" s="2"/>
      <c r="GV1174" s="2"/>
      <c r="GW1174" s="2"/>
      <c r="GX1174" s="2"/>
      <c r="GY1174" s="2"/>
      <c r="GZ1174" s="2"/>
      <c r="HA1174" s="2"/>
      <c r="HB1174" s="2"/>
      <c r="HC1174" s="2"/>
      <c r="HD1174" s="2"/>
      <c r="HE1174" s="2"/>
      <c r="HF1174" s="2"/>
      <c r="HG1174" s="2"/>
      <c r="HH1174" s="2"/>
      <c r="HI1174" s="2"/>
      <c r="HJ1174" s="2"/>
      <c r="HK1174" s="2"/>
      <c r="HL1174" s="2"/>
      <c r="HM1174" s="2"/>
      <c r="HN1174" s="2"/>
    </row>
    <row r="1175" spans="1:222" ht="15.75" customHeight="1" x14ac:dyDescent="0.2">
      <c r="A1175" s="3"/>
      <c r="B1175" s="3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2"/>
      <c r="FZ1175" s="2"/>
      <c r="GA1175" s="2"/>
      <c r="GB1175" s="2"/>
      <c r="GC1175" s="2"/>
      <c r="GD1175" s="2"/>
      <c r="GE1175" s="2"/>
      <c r="GF1175" s="2"/>
      <c r="GG1175" s="2"/>
      <c r="GH1175" s="2"/>
      <c r="GI1175" s="2"/>
      <c r="GJ1175" s="2"/>
      <c r="GK1175" s="2"/>
      <c r="GL1175" s="2"/>
      <c r="GM1175" s="2"/>
      <c r="GN1175" s="2"/>
      <c r="GO1175" s="2"/>
      <c r="GP1175" s="2"/>
      <c r="GQ1175" s="2"/>
      <c r="GR1175" s="2"/>
      <c r="GS1175" s="2"/>
      <c r="GT1175" s="2"/>
      <c r="GU1175" s="2"/>
      <c r="GV1175" s="2"/>
      <c r="GW1175" s="2"/>
      <c r="GX1175" s="2"/>
      <c r="GY1175" s="2"/>
      <c r="GZ1175" s="2"/>
      <c r="HA1175" s="2"/>
      <c r="HB1175" s="2"/>
      <c r="HC1175" s="2"/>
      <c r="HD1175" s="2"/>
      <c r="HE1175" s="2"/>
      <c r="HF1175" s="2"/>
      <c r="HG1175" s="2"/>
      <c r="HH1175" s="2"/>
      <c r="HI1175" s="2"/>
      <c r="HJ1175" s="2"/>
      <c r="HK1175" s="2"/>
      <c r="HL1175" s="2"/>
      <c r="HM1175" s="2"/>
      <c r="HN1175" s="2"/>
    </row>
    <row r="1176" spans="1:222" ht="15.75" customHeight="1" x14ac:dyDescent="0.2">
      <c r="A1176" s="3"/>
      <c r="B1176" s="3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  <c r="GL1176" s="2"/>
      <c r="GM1176" s="2"/>
      <c r="GN1176" s="2"/>
      <c r="GO1176" s="2"/>
      <c r="GP1176" s="2"/>
      <c r="GQ1176" s="2"/>
      <c r="GR1176" s="2"/>
      <c r="GS1176" s="2"/>
      <c r="GT1176" s="2"/>
      <c r="GU1176" s="2"/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/>
      <c r="HN1176" s="2"/>
    </row>
    <row r="1177" spans="1:222" ht="15.75" customHeight="1" x14ac:dyDescent="0.2">
      <c r="A1177" s="3"/>
      <c r="B1177" s="3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  <c r="GL1177" s="2"/>
      <c r="GM1177" s="2"/>
      <c r="GN1177" s="2"/>
      <c r="GO1177" s="2"/>
      <c r="GP1177" s="2"/>
      <c r="GQ1177" s="2"/>
      <c r="GR1177" s="2"/>
      <c r="GS1177" s="2"/>
      <c r="GT1177" s="2"/>
      <c r="GU1177" s="2"/>
      <c r="GV1177" s="2"/>
      <c r="GW1177" s="2"/>
      <c r="GX1177" s="2"/>
      <c r="GY1177" s="2"/>
      <c r="GZ1177" s="2"/>
      <c r="HA1177" s="2"/>
      <c r="HB1177" s="2"/>
      <c r="HC1177" s="2"/>
      <c r="HD1177" s="2"/>
      <c r="HE1177" s="2"/>
      <c r="HF1177" s="2"/>
      <c r="HG1177" s="2"/>
      <c r="HH1177" s="2"/>
      <c r="HI1177" s="2"/>
      <c r="HJ1177" s="2"/>
      <c r="HK1177" s="2"/>
      <c r="HL1177" s="2"/>
      <c r="HM1177" s="2"/>
      <c r="HN1177" s="2"/>
    </row>
    <row r="1178" spans="1:222" ht="15.75" customHeight="1" x14ac:dyDescent="0.2">
      <c r="A1178" s="3"/>
      <c r="B1178" s="3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2"/>
      <c r="FZ1178" s="2"/>
      <c r="GA1178" s="2"/>
      <c r="GB1178" s="2"/>
      <c r="GC1178" s="2"/>
      <c r="GD1178" s="2"/>
      <c r="GE1178" s="2"/>
      <c r="GF1178" s="2"/>
      <c r="GG1178" s="2"/>
      <c r="GH1178" s="2"/>
      <c r="GI1178" s="2"/>
      <c r="GJ1178" s="2"/>
      <c r="GK1178" s="2"/>
      <c r="GL1178" s="2"/>
      <c r="GM1178" s="2"/>
      <c r="GN1178" s="2"/>
      <c r="GO1178" s="2"/>
      <c r="GP1178" s="2"/>
      <c r="GQ1178" s="2"/>
      <c r="GR1178" s="2"/>
      <c r="GS1178" s="2"/>
      <c r="GT1178" s="2"/>
      <c r="GU1178" s="2"/>
      <c r="GV1178" s="2"/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/>
      <c r="HN1178" s="2"/>
    </row>
    <row r="1179" spans="1:222" ht="15.75" customHeight="1" x14ac:dyDescent="0.2">
      <c r="A1179" s="3"/>
      <c r="B1179" s="3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/>
      <c r="GH1179" s="2"/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/>
      <c r="HN1179" s="2"/>
    </row>
    <row r="1180" spans="1:222" ht="15.75" customHeight="1" x14ac:dyDescent="0.2">
      <c r="A1180" s="3"/>
      <c r="B1180" s="3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  <c r="GL1180" s="2"/>
      <c r="GM1180" s="2"/>
      <c r="GN1180" s="2"/>
      <c r="GO1180" s="2"/>
      <c r="GP1180" s="2"/>
      <c r="GQ1180" s="2"/>
      <c r="GR1180" s="2"/>
      <c r="GS1180" s="2"/>
      <c r="GT1180" s="2"/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/>
      <c r="HN1180" s="2"/>
    </row>
    <row r="1181" spans="1:222" ht="15.75" customHeight="1" x14ac:dyDescent="0.2">
      <c r="A1181" s="3"/>
      <c r="B1181" s="3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/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/>
      <c r="HN1181" s="2"/>
    </row>
    <row r="1182" spans="1:222" ht="15.75" customHeight="1" x14ac:dyDescent="0.2">
      <c r="A1182" s="3"/>
      <c r="B1182" s="3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/>
      <c r="HN1182" s="2"/>
    </row>
    <row r="1183" spans="1:222" ht="15.75" customHeight="1" x14ac:dyDescent="0.2">
      <c r="A1183" s="3"/>
      <c r="B1183" s="3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2"/>
      <c r="FZ1183" s="2"/>
      <c r="GA1183" s="2"/>
      <c r="GB1183" s="2"/>
      <c r="GC1183" s="2"/>
      <c r="GD1183" s="2"/>
      <c r="GE1183" s="2"/>
      <c r="GF1183" s="2"/>
      <c r="GG1183" s="2"/>
      <c r="GH1183" s="2"/>
      <c r="GI1183" s="2"/>
      <c r="GJ1183" s="2"/>
      <c r="GK1183" s="2"/>
      <c r="GL1183" s="2"/>
      <c r="GM1183" s="2"/>
      <c r="GN1183" s="2"/>
      <c r="GO1183" s="2"/>
      <c r="GP1183" s="2"/>
      <c r="GQ1183" s="2"/>
      <c r="GR1183" s="2"/>
      <c r="GS1183" s="2"/>
      <c r="GT1183" s="2"/>
      <c r="GU1183" s="2"/>
      <c r="GV1183" s="2"/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/>
      <c r="HN1183" s="2"/>
    </row>
    <row r="1184" spans="1:222" ht="15.75" customHeight="1" x14ac:dyDescent="0.2">
      <c r="A1184" s="3"/>
      <c r="B1184" s="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2"/>
      <c r="FZ1184" s="2"/>
      <c r="GA1184" s="2"/>
      <c r="GB1184" s="2"/>
      <c r="GC1184" s="2"/>
      <c r="GD1184" s="2"/>
      <c r="GE1184" s="2"/>
      <c r="GF1184" s="2"/>
      <c r="GG1184" s="2"/>
      <c r="GH1184" s="2"/>
      <c r="GI1184" s="2"/>
      <c r="GJ1184" s="2"/>
      <c r="GK1184" s="2"/>
      <c r="GL1184" s="2"/>
      <c r="GM1184" s="2"/>
      <c r="GN1184" s="2"/>
      <c r="GO1184" s="2"/>
      <c r="GP1184" s="2"/>
      <c r="GQ1184" s="2"/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/>
      <c r="HN1184" s="2"/>
    </row>
    <row r="1185" spans="1:222" ht="15.75" customHeight="1" x14ac:dyDescent="0.2">
      <c r="A1185" s="3"/>
      <c r="B1185" s="3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2"/>
      <c r="FZ1185" s="2"/>
      <c r="GA1185" s="2"/>
      <c r="GB1185" s="2"/>
      <c r="GC1185" s="2"/>
      <c r="GD1185" s="2"/>
      <c r="GE1185" s="2"/>
      <c r="GF1185" s="2"/>
      <c r="GG1185" s="2"/>
      <c r="GH1185" s="2"/>
      <c r="GI1185" s="2"/>
      <c r="GJ1185" s="2"/>
      <c r="GK1185" s="2"/>
      <c r="GL1185" s="2"/>
      <c r="GM1185" s="2"/>
      <c r="GN1185" s="2"/>
      <c r="GO1185" s="2"/>
      <c r="GP1185" s="2"/>
      <c r="GQ1185" s="2"/>
      <c r="GR1185" s="2"/>
      <c r="GS1185" s="2"/>
      <c r="GT1185" s="2"/>
      <c r="GU1185" s="2"/>
      <c r="GV1185" s="2"/>
      <c r="GW1185" s="2"/>
      <c r="GX1185" s="2"/>
      <c r="GY1185" s="2"/>
      <c r="GZ1185" s="2"/>
      <c r="HA1185" s="2"/>
      <c r="HB1185" s="2"/>
      <c r="HC1185" s="2"/>
      <c r="HD1185" s="2"/>
      <c r="HE1185" s="2"/>
      <c r="HF1185" s="2"/>
      <c r="HG1185" s="2"/>
      <c r="HH1185" s="2"/>
      <c r="HI1185" s="2"/>
      <c r="HJ1185" s="2"/>
      <c r="HK1185" s="2"/>
      <c r="HL1185" s="2"/>
      <c r="HM1185" s="2"/>
      <c r="HN1185" s="2"/>
    </row>
    <row r="1186" spans="1:222" ht="15.75" customHeight="1" x14ac:dyDescent="0.2">
      <c r="A1186" s="3"/>
      <c r="B1186" s="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/>
      <c r="HN1186" s="2"/>
    </row>
    <row r="1187" spans="1:222" ht="15.75" customHeight="1" x14ac:dyDescent="0.2">
      <c r="A1187" s="3"/>
      <c r="B1187" s="3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2"/>
      <c r="FZ1187" s="2"/>
      <c r="GA1187" s="2"/>
      <c r="GB1187" s="2"/>
      <c r="GC1187" s="2"/>
      <c r="GD1187" s="2"/>
      <c r="GE1187" s="2"/>
      <c r="GF1187" s="2"/>
      <c r="GG1187" s="2"/>
      <c r="GH1187" s="2"/>
      <c r="GI1187" s="2"/>
      <c r="GJ1187" s="2"/>
      <c r="GK1187" s="2"/>
      <c r="GL1187" s="2"/>
      <c r="GM1187" s="2"/>
      <c r="GN1187" s="2"/>
      <c r="GO1187" s="2"/>
      <c r="GP1187" s="2"/>
      <c r="GQ1187" s="2"/>
      <c r="GR1187" s="2"/>
      <c r="GS1187" s="2"/>
      <c r="GT1187" s="2"/>
      <c r="GU1187" s="2"/>
      <c r="GV1187" s="2"/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/>
      <c r="HN1187" s="2"/>
    </row>
    <row r="1188" spans="1:222" ht="15.75" customHeight="1" x14ac:dyDescent="0.2">
      <c r="A1188" s="3"/>
      <c r="B1188" s="3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2"/>
      <c r="FZ1188" s="2"/>
      <c r="GA1188" s="2"/>
      <c r="GB1188" s="2"/>
      <c r="GC1188" s="2"/>
      <c r="GD1188" s="2"/>
      <c r="GE1188" s="2"/>
      <c r="GF1188" s="2"/>
      <c r="GG1188" s="2"/>
      <c r="GH1188" s="2"/>
      <c r="GI1188" s="2"/>
      <c r="GJ1188" s="2"/>
      <c r="GK1188" s="2"/>
      <c r="GL1188" s="2"/>
      <c r="GM1188" s="2"/>
      <c r="GN1188" s="2"/>
      <c r="GO1188" s="2"/>
      <c r="GP1188" s="2"/>
      <c r="GQ1188" s="2"/>
      <c r="GR1188" s="2"/>
      <c r="GS1188" s="2"/>
      <c r="GT1188" s="2"/>
      <c r="GU1188" s="2"/>
      <c r="GV1188" s="2"/>
      <c r="GW1188" s="2"/>
      <c r="GX1188" s="2"/>
      <c r="GY1188" s="2"/>
      <c r="GZ1188" s="2"/>
      <c r="HA1188" s="2"/>
      <c r="HB1188" s="2"/>
      <c r="HC1188" s="2"/>
      <c r="HD1188" s="2"/>
      <c r="HE1188" s="2"/>
      <c r="HF1188" s="2"/>
      <c r="HG1188" s="2"/>
      <c r="HH1188" s="2"/>
      <c r="HI1188" s="2"/>
      <c r="HJ1188" s="2"/>
      <c r="HK1188" s="2"/>
      <c r="HL1188" s="2"/>
      <c r="HM1188" s="2"/>
      <c r="HN1188" s="2"/>
    </row>
    <row r="1189" spans="1:222" ht="15.75" customHeight="1" x14ac:dyDescent="0.2">
      <c r="A1189" s="3"/>
      <c r="B1189" s="3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/>
      <c r="HN1189" s="2"/>
    </row>
    <row r="1190" spans="1:222" ht="15.75" customHeight="1" x14ac:dyDescent="0.2">
      <c r="A1190" s="3"/>
      <c r="B1190" s="3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/>
      <c r="HN1190" s="2"/>
    </row>
    <row r="1191" spans="1:222" ht="15.75" customHeight="1" x14ac:dyDescent="0.2">
      <c r="A1191" s="3"/>
      <c r="B1191" s="3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/>
      <c r="HN1191" s="2"/>
    </row>
    <row r="1192" spans="1:222" ht="15.75" customHeight="1" x14ac:dyDescent="0.2">
      <c r="A1192" s="3"/>
      <c r="B1192" s="3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2"/>
      <c r="FZ1192" s="2"/>
      <c r="GA1192" s="2"/>
      <c r="GB1192" s="2"/>
      <c r="GC1192" s="2"/>
      <c r="GD1192" s="2"/>
      <c r="GE1192" s="2"/>
      <c r="GF1192" s="2"/>
      <c r="GG1192" s="2"/>
      <c r="GH1192" s="2"/>
      <c r="GI1192" s="2"/>
      <c r="GJ1192" s="2"/>
      <c r="GK1192" s="2"/>
      <c r="GL1192" s="2"/>
      <c r="GM1192" s="2"/>
      <c r="GN1192" s="2"/>
      <c r="GO1192" s="2"/>
      <c r="GP1192" s="2"/>
      <c r="GQ1192" s="2"/>
      <c r="GR1192" s="2"/>
      <c r="GS1192" s="2"/>
      <c r="GT1192" s="2"/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/>
      <c r="HN1192" s="2"/>
    </row>
    <row r="1193" spans="1:222" ht="15.75" customHeight="1" x14ac:dyDescent="0.2">
      <c r="A1193" s="3"/>
      <c r="B1193" s="3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  <c r="GL1193" s="2"/>
      <c r="GM1193" s="2"/>
      <c r="GN1193" s="2"/>
      <c r="GO1193" s="2"/>
      <c r="GP1193" s="2"/>
      <c r="GQ1193" s="2"/>
      <c r="GR1193" s="2"/>
      <c r="GS1193" s="2"/>
      <c r="GT1193" s="2"/>
      <c r="GU1193" s="2"/>
      <c r="GV1193" s="2"/>
      <c r="GW1193" s="2"/>
      <c r="GX1193" s="2"/>
      <c r="GY1193" s="2"/>
      <c r="GZ1193" s="2"/>
      <c r="HA1193" s="2"/>
      <c r="HB1193" s="2"/>
      <c r="HC1193" s="2"/>
      <c r="HD1193" s="2"/>
      <c r="HE1193" s="2"/>
      <c r="HF1193" s="2"/>
      <c r="HG1193" s="2"/>
      <c r="HH1193" s="2"/>
      <c r="HI1193" s="2"/>
      <c r="HJ1193" s="2"/>
      <c r="HK1193" s="2"/>
      <c r="HL1193" s="2"/>
      <c r="HM1193" s="2"/>
      <c r="HN1193" s="2"/>
    </row>
    <row r="1194" spans="1:222" ht="15.75" customHeight="1" x14ac:dyDescent="0.2">
      <c r="A1194" s="3"/>
      <c r="B1194" s="3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2"/>
      <c r="FZ1194" s="2"/>
      <c r="GA1194" s="2"/>
      <c r="GB1194" s="2"/>
      <c r="GC1194" s="2"/>
      <c r="GD1194" s="2"/>
      <c r="GE1194" s="2"/>
      <c r="GF1194" s="2"/>
      <c r="GG1194" s="2"/>
      <c r="GH1194" s="2"/>
      <c r="GI1194" s="2"/>
      <c r="GJ1194" s="2"/>
      <c r="GK1194" s="2"/>
      <c r="GL1194" s="2"/>
      <c r="GM1194" s="2"/>
      <c r="GN1194" s="2"/>
      <c r="GO1194" s="2"/>
      <c r="GP1194" s="2"/>
      <c r="GQ1194" s="2"/>
      <c r="GR1194" s="2"/>
      <c r="GS1194" s="2"/>
      <c r="GT1194" s="2"/>
      <c r="GU1194" s="2"/>
      <c r="GV1194" s="2"/>
      <c r="GW1194" s="2"/>
      <c r="GX1194" s="2"/>
      <c r="GY1194" s="2"/>
      <c r="GZ1194" s="2"/>
      <c r="HA1194" s="2"/>
      <c r="HB1194" s="2"/>
      <c r="HC1194" s="2"/>
      <c r="HD1194" s="2"/>
      <c r="HE1194" s="2"/>
      <c r="HF1194" s="2"/>
      <c r="HG1194" s="2"/>
      <c r="HH1194" s="2"/>
      <c r="HI1194" s="2"/>
      <c r="HJ1194" s="2"/>
      <c r="HK1194" s="2"/>
      <c r="HL1194" s="2"/>
      <c r="HM1194" s="2"/>
      <c r="HN1194" s="2"/>
    </row>
    <row r="1195" spans="1:222" ht="15.75" customHeight="1" x14ac:dyDescent="0.2">
      <c r="A1195" s="3"/>
      <c r="B1195" s="3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</row>
  </sheetData>
  <conditionalFormatting sqref="GA2:GK195 GP2:HF19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covid_data_12June2024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Morakot Choetkiertikul</dc:creator>
  <cp:lastModifiedBy>Morakot Choetkiertikul</cp:lastModifiedBy>
  <dcterms:created xsi:type="dcterms:W3CDTF">2022-07-27T04:14:26Z</dcterms:created>
  <dcterms:modified xsi:type="dcterms:W3CDTF">2024-10-08T03:45:41Z</dcterms:modified>
</cp:coreProperties>
</file>